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Films" sheetId="2" state="visible" r:id="rId2"/>
    <sheet name="Romances" sheetId="3" state="visible" r:id="rId3"/>
    <sheet name="Collaborators" sheetId="4" state="visible" r:id="rId4"/>
    <sheet name="Ensemble Cast" sheetId="5" state="visible" r:id="rId5"/>
    <sheet name="Awards" sheetId="6" state="visible" r:id="rId6"/>
    <sheet name="Sources" sheetId="7" state="visible" r:id="rId7"/>
  </sheets>
  <definedNames>
    <definedName name="_xlnm._FilterDatabase" localSheetId="1" hidden="1">'Films'!$A$1:$AT$161</definedName>
    <definedName name="_xlnm._FilterDatabase" localSheetId="2" hidden="1">'Romances'!$A$1:$AT$91</definedName>
    <definedName name="_xlnm._FilterDatabase" localSheetId="3" hidden="1">'Collaborators'!$A$1:$U$562</definedName>
    <definedName name="_xlnm._FilterDatabase" localSheetId="4" hidden="1">'Ensemble Cast'!$A$1:$M$1117</definedName>
    <definedName name="_xlnm._FilterDatabase" localSheetId="5" hidden="1">'Awards'!$A$1:$M$295</definedName>
    <definedName name="_xlnm._FilterDatabase" localSheetId="6" hidden="1">'Sources'!$A$1:$M$469</definedName>
  </definedNames>
  <calcPr calcId="124519" fullCalcOnLoad="1"/>
</workbook>
</file>

<file path=xl/styles.xml><?xml version="1.0" encoding="utf-8"?>
<styleSheet xmlns="http://schemas.openxmlformats.org/spreadsheetml/2006/main">
  <numFmts count="2">
    <numFmt numFmtId="164" formatCode="yyyy-mm-dd"/>
    <numFmt numFmtId="165" formatCode="0.0"/>
  </numFmts>
  <fonts count="7">
    <font>
      <name val="Calibri"/>
      <family val="2"/>
      <color theme="1"/>
      <sz val="11"/>
      <scheme val="minor"/>
    </font>
    <font>
      <b val="1"/>
      <color rgb="00FFFFFF"/>
    </font>
    <font>
      <b val="1"/>
    </font>
    <font>
      <color rgb="000563C1"/>
      <u val="single"/>
    </font>
    <font>
      <b val="1"/>
      <color rgb="001F3A5F"/>
      <sz val="16"/>
    </font>
    <font>
      <i val="1"/>
      <color rgb="00555555"/>
    </font>
    <font>
      <b val="1"/>
      <color rgb="001F3A5F"/>
      <sz val="12"/>
    </font>
  </fonts>
  <fills count="6">
    <fill>
      <patternFill/>
    </fill>
    <fill>
      <patternFill patternType="gray125"/>
    </fill>
    <fill>
      <patternFill patternType="solid">
        <fgColor rgb="001F3A5F"/>
      </patternFill>
    </fill>
    <fill>
      <patternFill patternType="solid">
        <fgColor rgb="003B5E3F"/>
      </patternFill>
    </fill>
    <fill>
      <patternFill patternType="solid">
        <fgColor rgb="008A5A00"/>
      </patternFill>
    </fill>
    <fill>
      <patternFill patternType="solid">
        <fgColor rgb="00F3F7F0"/>
      </patternFill>
    </fill>
  </fills>
  <borders count="2">
    <border>
      <left/>
      <right/>
      <top/>
      <bottom/>
      <diagonal/>
    </border>
    <border>
      <bottom style="thin">
        <color rgb="00BFC5CC"/>
      </bottom>
    </border>
  </borders>
  <cellStyleXfs count="1">
    <xf numFmtId="0" fontId="0" fillId="0" borderId="0"/>
  </cellStyleXfs>
  <cellXfs count="23">
    <xf numFmtId="0" fontId="0"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1" fillId="2" borderId="0" applyAlignment="1" pivotButton="0" quotePrefix="0" xfId="0">
      <alignment vertical="center" wrapText="1"/>
    </xf>
    <xf numFmtId="0" fontId="0" fillId="0" borderId="0" applyAlignment="1" pivotButton="0" quotePrefix="0" xfId="0">
      <alignment horizontal="left" vertical="top" wrapText="1"/>
    </xf>
    <xf numFmtId="164" fontId="0" fillId="0" borderId="0" applyAlignment="1" pivotButton="0" quotePrefix="0" xfId="0">
      <alignment horizontal="left" vertical="top" wrapText="1"/>
    </xf>
    <xf numFmtId="165" fontId="0" fillId="0" borderId="0" applyAlignment="1" pivotButton="0" quotePrefix="0" xfId="0">
      <alignment horizontal="left" vertical="top" wrapText="1"/>
    </xf>
    <xf numFmtId="1" fontId="0" fillId="0" borderId="0" applyAlignment="1" pivotButton="0" quotePrefix="0" xfId="0">
      <alignment horizontal="left" vertical="top" wrapText="1"/>
    </xf>
    <xf numFmtId="0" fontId="1" fillId="2" borderId="0" pivotButton="0" quotePrefix="0" xfId="0"/>
    <xf numFmtId="0" fontId="1" fillId="4" borderId="0" pivotButton="0" quotePrefix="0" xfId="0"/>
    <xf numFmtId="0" fontId="1" fillId="3"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2" fillId="0" borderId="0" applyAlignment="1" pivotButton="0" quotePrefix="0" xfId="0">
      <alignment horizontal="center" vertical="top" wrapText="1"/>
    </xf>
    <xf numFmtId="164" fontId="0" fillId="0" borderId="0" applyAlignment="1" pivotButton="0" quotePrefix="0" xfId="0">
      <alignment horizontal="right" vertical="top"/>
    </xf>
    <xf numFmtId="1" fontId="0" fillId="0" borderId="0" applyAlignment="1" pivotButton="0" quotePrefix="0" xfId="0">
      <alignment horizontal="center" vertical="top"/>
    </xf>
    <xf numFmtId="0" fontId="0" fillId="0" borderId="0" applyAlignment="1" pivotButton="0" quotePrefix="0" xfId="0">
      <alignment horizontal="center" vertical="top" wrapText="1"/>
    </xf>
    <xf numFmtId="0" fontId="0" fillId="5" borderId="0" applyAlignment="1" pivotButton="0" quotePrefix="0" xfId="0">
      <alignment horizontal="left" vertical="top" wrapText="1"/>
    </xf>
    <xf numFmtId="0" fontId="0" fillId="0" borderId="0" applyAlignment="1" pivotButton="0" quotePrefix="0" xfId="0">
      <alignment horizontal="center" vertical="top"/>
    </xf>
    <xf numFmtId="4" fontId="0" fillId="0" borderId="0" applyAlignment="1" pivotButton="0" quotePrefix="0" xfId="0">
      <alignment horizontal="right" vertical="top"/>
    </xf>
    <xf numFmtId="0" fontId="3"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3"/>
  <chart>
    <title>
      <tx>
        <rich>
          <a:bodyPr/>
          <a:p>
            <a:pPr>
              <a:defRPr/>
            </a:pPr>
            <a:r>
              <a:t>Lover-boy score by release year (per pairing)</a:t>
            </a:r>
          </a:p>
        </rich>
      </tx>
    </title>
    <plotArea>
      <scatterChart>
        <ser>
          <idx val="0"/>
          <order val="0"/>
          <tx>
            <v>Lover-boy score</v>
          </tx>
          <spPr>
            <a:ln>
              <a:noFill/>
              <a:prstDash val="solid"/>
            </a:ln>
          </spPr>
          <marker>
            <symbol val="circle"/>
            <size val="7"/>
            <spPr>
              <a:ln>
                <a:prstDash val="solid"/>
              </a:ln>
            </spPr>
          </marker>
          <xVal>
            <numRef>
              <f>'Romances'!$D$2:$D$91</f>
            </numRef>
          </xVal>
          <yVal>
            <numRef>
              <f>'Romances'!$V$2:$V$91</f>
            </numRef>
          </yVal>
        </ser>
        <axId val="10"/>
        <axId val="20"/>
      </scatterChart>
      <valAx>
        <axId val="10"/>
        <scaling>
          <orientation val="minMax"/>
          <max val="2023"/>
          <min val="1969"/>
        </scaling>
        <delete val="0"/>
        <axPos val="l"/>
        <majorGridlines/>
        <title>
          <tx>
            <rich>
              <a:bodyPr/>
              <a:p>
                <a:pPr>
                  <a:defRPr/>
                </a:pPr>
                <a:r>
                  <a:t>Release year</a:t>
                </a:r>
              </a:p>
            </rich>
          </tx>
        </title>
        <majorTickMark val="none"/>
        <minorTickMark val="none"/>
        <crossAx val="20"/>
      </valAx>
      <valAx>
        <axId val="20"/>
        <scaling>
          <orientation val="minMax"/>
          <max val="10"/>
          <min val="0"/>
        </scaling>
        <delete val="0"/>
        <axPos val="l"/>
        <majorGridlines/>
        <title>
          <tx>
            <rich>
              <a:bodyPr/>
              <a:p>
                <a:pPr>
                  <a:defRPr/>
                </a:pPr>
                <a:r>
                  <a:t>Lover-boy score</a:t>
                </a:r>
              </a:p>
            </rich>
          </tx>
        </title>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Romantic co-star frequency</a:t>
            </a:r>
          </a:p>
        </rich>
      </tx>
    </title>
    <plotArea>
      <barChart>
        <barDir val="bar"/>
        <grouping val="clustered"/>
        <ser>
          <idx val="0"/>
          <order val="0"/>
          <tx>
            <strRef>
              <f>'Overview'!B47</f>
            </strRef>
          </tx>
          <spPr>
            <a:ln>
              <a:prstDash val="solid"/>
            </a:ln>
          </spPr>
          <cat>
            <numRef>
              <f>'Overview'!$A$48:$A$57</f>
            </numRef>
          </cat>
          <val>
            <numRef>
              <f>'Overview'!$B$48:$B$57</f>
            </numRef>
          </val>
        </ser>
        <gapWidth val="150"/>
        <axId val="10"/>
        <axId val="100"/>
      </barChart>
      <catAx>
        <axId val="10"/>
        <scaling>
          <orientation val="maxMin"/>
        </scaling>
        <delete val="0"/>
        <axPos val="l"/>
        <majorTickMark val="none"/>
        <minorTickMark val="none"/>
        <crossAx val="100"/>
        <lblOffset val="100"/>
      </catAx>
      <valAx>
        <axId val="100"/>
        <scaling>
          <orientation val="minMax"/>
        </scaling>
        <delete val="0"/>
        <axPos val="l"/>
        <majorGridlines/>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3"/>
  <chart>
    <title>
      <tx>
        <rich>
          <a:bodyPr/>
          <a:p>
            <a:pPr>
              <a:defRPr/>
            </a:pPr>
            <a:r>
              <a:t>Pair friction vs external opposition</a:t>
            </a:r>
          </a:p>
        </rich>
      </tx>
    </title>
    <plotArea>
      <scatterChart>
        <ser>
          <idx val="0"/>
          <order val="0"/>
          <tx>
            <v>External opposition</v>
          </tx>
          <spPr>
            <a:ln>
              <a:noFill/>
              <a:prstDash val="solid"/>
            </a:ln>
          </spPr>
          <marker>
            <symbol val="circle"/>
            <size val="7"/>
            <spPr>
              <a:ln>
                <a:prstDash val="solid"/>
              </a:ln>
            </spPr>
          </marker>
          <xVal>
            <numRef>
              <f>'Romances'!$Q$2:$Q$91</f>
            </numRef>
          </xVal>
          <yVal>
            <numRef>
              <f>'Romances'!$S$2:$S$91</f>
            </numRef>
          </yVal>
        </ser>
        <axId val="10"/>
        <axId val="20"/>
      </scatterChart>
      <valAx>
        <axId val="10"/>
        <scaling>
          <orientation val="minMax"/>
          <max val="10"/>
          <min val="0"/>
        </scaling>
        <delete val="0"/>
        <axPos val="l"/>
        <majorGridlines/>
        <title>
          <tx>
            <rich>
              <a:bodyPr/>
              <a:p>
                <a:pPr>
                  <a:defRPr/>
                </a:pPr>
                <a:r>
                  <a:t>Pair friction</a:t>
                </a:r>
              </a:p>
            </rich>
          </tx>
        </title>
        <majorTickMark val="none"/>
        <minorTickMark val="none"/>
        <crossAx val="20"/>
      </valAx>
      <valAx>
        <axId val="20"/>
        <scaling>
          <orientation val="minMax"/>
          <max val="10"/>
          <min val="0"/>
        </scaling>
        <delete val="0"/>
        <axPos val="l"/>
        <majorGridlines/>
        <title>
          <tx>
            <rich>
              <a:bodyPr/>
              <a:p>
                <a:pPr>
                  <a:defRPr/>
                </a:pPr>
                <a:r>
                  <a:t>External opposition</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Average romance centrality by decade</a:t>
            </a:r>
          </a:p>
        </rich>
      </tx>
    </title>
    <plotArea>
      <barChart>
        <barDir val="col"/>
        <grouping val="clustered"/>
        <ser>
          <idx val="0"/>
          <order val="0"/>
          <tx>
            <strRef>
              <f>'Overview'!C60</f>
            </strRef>
          </tx>
          <spPr>
            <a:ln>
              <a:prstDash val="solid"/>
            </a:ln>
          </spPr>
          <cat>
            <numRef>
              <f>'Overview'!$A$61:$A$67</f>
            </numRef>
          </cat>
          <val>
            <numRef>
              <f>'Overview'!$C$61:$C$67</f>
            </numRef>
          </val>
        </ser>
        <gapWidth val="150"/>
        <axId val="10"/>
        <axId val="100"/>
      </barChart>
      <catAx>
        <axId val="10"/>
        <scaling>
          <orientation val="minMax"/>
        </scaling>
        <delete val="0"/>
        <axPos val="l"/>
        <majorTickMark val="none"/>
        <minorTickMark val="none"/>
        <crossAx val="100"/>
        <lblOffset val="100"/>
      </catAx>
      <valAx>
        <axId val="100"/>
        <scaling>
          <orientation val="minMax"/>
          <max val="10"/>
          <min val="0"/>
        </scaling>
        <delete val="0"/>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3</row>
      <rowOff>0</rowOff>
    </from>
    <ext cx="5760000" cy="2700000"/>
    <graphicFrame>
      <nvGraphicFramePr>
        <cNvPr id="1" name="Chart 1"/>
        <cNvGraphicFramePr/>
      </nvGraphicFramePr>
      <xfrm/>
      <a:graphic>
        <a:graphicData uri="http://schemas.openxmlformats.org/drawingml/2006/chart">
          <c:chart r:id="rId1"/>
        </a:graphicData>
      </a:graphic>
    </graphicFrame>
    <clientData/>
  </oneCellAnchor>
  <oneCellAnchor>
    <from>
      <col>6</col>
      <colOff>0</colOff>
      <row>20</row>
      <rowOff>0</rowOff>
    </from>
    <ext cx="5760000" cy="2700000"/>
    <graphicFrame>
      <nvGraphicFramePr>
        <cNvPr id="2" name="Chart 2"/>
        <cNvGraphicFramePr/>
      </nvGraphicFramePr>
      <xfrm/>
      <a:graphic>
        <a:graphicData uri="http://schemas.openxmlformats.org/drawingml/2006/chart">
          <c:chart r:id="rId2"/>
        </a:graphicData>
      </a:graphic>
    </graphicFrame>
    <clientData/>
  </oneCellAnchor>
  <oneCellAnchor>
    <from>
      <col>6</col>
      <colOff>0</colOff>
      <row>37</row>
      <rowOff>0</rowOff>
    </from>
    <ext cx="5760000" cy="2700000"/>
    <graphicFrame>
      <nvGraphicFramePr>
        <cNvPr id="3" name="Chart 3"/>
        <cNvGraphicFramePr/>
      </nvGraphicFramePr>
      <xfrm/>
      <a:graphic>
        <a:graphicData uri="http://schemas.openxmlformats.org/drawingml/2006/chart">
          <c:chart r:id="rId3"/>
        </a:graphicData>
      </a:graphic>
    </graphicFrame>
    <clientData/>
  </oneCellAnchor>
  <oneCellAnchor>
    <from>
      <col>6</col>
      <colOff>0</colOff>
      <row>54</row>
      <rowOff>0</rowOff>
    </from>
    <ext cx="5760000" cy="2700000"/>
    <graphicFrame>
      <nvGraphicFramePr>
        <cNvPr id="4" name="Chart 4"/>
        <cNvGraphicFramePr/>
      </nvGraphicFramePr>
      <xfrm/>
      <a:graphic>
        <a:graphicData uri="http://schemas.openxmlformats.org/drawingml/2006/chart">
          <c:chart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7.xml.rels><Relationships xmlns="http://schemas.openxmlformats.org/package/2006/relationships"><Relationship Type="http://schemas.openxmlformats.org/officeDocument/2006/relationships/hyperlink" Target="https://en.wikipedia.org/wiki/Rishi_Kapoor_filmography" TargetMode="External" Id="rId1" /><Relationship Type="http://schemas.openxmlformats.org/officeDocument/2006/relationships/hyperlink" Target="https://en.wikipedia.org/wiki/Shree_420" TargetMode="External" Id="rId2" /><Relationship Type="http://schemas.openxmlformats.org/officeDocument/2006/relationships/hyperlink" Target="https://en.wikipedia.org/wiki/Mera_Naam_Joker" TargetMode="External" Id="rId3" /><Relationship Type="http://schemas.openxmlformats.org/officeDocument/2006/relationships/hyperlink" Target="https://en.wikipedia.org/wiki/Bobby_(1973_film)" TargetMode="External" Id="rId4" /><Relationship Type="http://schemas.openxmlformats.org/officeDocument/2006/relationships/hyperlink" Target="https://en.wikipedia.org/wiki/Zehreela_Insaan" TargetMode="External" Id="rId5" /><Relationship Type="http://schemas.openxmlformats.org/officeDocument/2006/relationships/hyperlink" Target="https://en.wikipedia.org/wiki/Khel_Khel_Mein_(1975_film)" TargetMode="External" Id="rId6" /><Relationship Type="http://schemas.openxmlformats.org/officeDocument/2006/relationships/hyperlink" Target="https://en.wikipedia.org/wiki/Rafoo_Chakkar" TargetMode="External" Id="rId7" /><Relationship Type="http://schemas.openxmlformats.org/officeDocument/2006/relationships/hyperlink" Target="https://en.wikipedia.org/wiki/Zinda_Dil" TargetMode="External" Id="rId8" /><Relationship Type="http://schemas.openxmlformats.org/officeDocument/2006/relationships/hyperlink" Target="https://en.wikipedia.org/wiki/Raaja" TargetMode="External" Id="rId9" /><Relationship Type="http://schemas.openxmlformats.org/officeDocument/2006/relationships/hyperlink" Target="https://en.wikipedia.org/wiki/Kabhi_Kabhie" TargetMode="External" Id="rId10" /><Relationship Type="http://schemas.openxmlformats.org/officeDocument/2006/relationships/hyperlink" Target="https://en.wikipedia.org/wiki/Laila_Majnu_(1976_film)" TargetMode="External" Id="rId11" /><Relationship Type="http://schemas.openxmlformats.org/officeDocument/2006/relationships/hyperlink" Target="https://en.wikipedia.org/wiki/Rangila_Ratan" TargetMode="External" Id="rId12" /><Relationship Type="http://schemas.openxmlformats.org/officeDocument/2006/relationships/hyperlink" Target="https://en.wikipedia.org/wiki/Ginny_Aur_Johnny" TargetMode="External" Id="rId13" /><Relationship Type="http://schemas.openxmlformats.org/officeDocument/2006/relationships/hyperlink" Target="https://en.wikipedia.org/wiki/Barood_(1976_film)" TargetMode="External" Id="rId14" /><Relationship Type="http://schemas.openxmlformats.org/officeDocument/2006/relationships/hyperlink" Target="https://en.wikipedia.org/wiki/Amar_Akbar_Anthony" TargetMode="External" Id="rId15" /><Relationship Type="http://schemas.openxmlformats.org/officeDocument/2006/relationships/hyperlink" Target="https://en.wikipedia.org/wiki/Hum_Kisise_Kum_Naheen" TargetMode="External" Id="rId16" /><Relationship Type="http://schemas.openxmlformats.org/officeDocument/2006/relationships/hyperlink" Target="https://en.wikipedia.org/wiki/Doosara_Aadmi" TargetMode="External" Id="rId17" /><Relationship Type="http://schemas.openxmlformats.org/officeDocument/2006/relationships/hyperlink" Target="https://en.wikipedia.org/wiki/Chala_Murari_Hero_Banne" TargetMode="External" Id="rId18" /><Relationship Type="http://schemas.openxmlformats.org/officeDocument/2006/relationships/hyperlink" Target="https://en.wikipedia.org/wiki/Naya_Daur_(1978_film)" TargetMode="External" Id="rId19" /><Relationship Type="http://schemas.openxmlformats.org/officeDocument/2006/relationships/hyperlink" Target="https://en.wikipedia.org/wiki/Badalte_Rishtey" TargetMode="External" Id="rId20" /><Relationship Type="http://schemas.openxmlformats.org/officeDocument/2006/relationships/hyperlink" Target="https://en.wikipedia.org/wiki/Anjane_Mein" TargetMode="External" Id="rId21" /><Relationship Type="http://schemas.openxmlformats.org/officeDocument/2006/relationships/hyperlink" Target="https://en.wikipedia.org/wiki/Pati_Patni_Aur_Woh_(1978_film)" TargetMode="External" Id="rId22" /><Relationship Type="http://schemas.openxmlformats.org/officeDocument/2006/relationships/hyperlink" Target="https://en.wikipedia.org/wiki/Phool_Khile_Hain_Gulshan_Gulshan_(film)" TargetMode="External" Id="rId23" /><Relationship Type="http://schemas.openxmlformats.org/officeDocument/2006/relationships/hyperlink" Target="https://en.wikipedia.org/wiki/Sargam_(1979_film)" TargetMode="External" Id="rId24" /><Relationship Type="http://schemas.openxmlformats.org/officeDocument/2006/relationships/hyperlink" Target="https://en.wikipedia.org/wiki/Jhoota_Kahin_Ka" TargetMode="External" Id="rId25" /><Relationship Type="http://schemas.openxmlformats.org/officeDocument/2006/relationships/hyperlink" Target="https://en.wikipedia.org/wiki/Duniya_Meri_Jeb_Mein" TargetMode="External" Id="rId26" /><Relationship Type="http://schemas.openxmlformats.org/officeDocument/2006/relationships/hyperlink" Target="https://en.wikipedia.org/wiki/Salaam_Memsaab" TargetMode="External" Id="rId27" /><Relationship Type="http://schemas.openxmlformats.org/officeDocument/2006/relationships/hyperlink" Target="https://en.wikipedia.org/wiki/Do_Premee" TargetMode="External" Id="rId28" /><Relationship Type="http://schemas.openxmlformats.org/officeDocument/2006/relationships/hyperlink" Target="https://en.wikipedia.org/wiki/Dhan_Daulat" TargetMode="External" Id="rId29" /><Relationship Type="http://schemas.openxmlformats.org/officeDocument/2006/relationships/hyperlink" Target="https://en.wikipedia.org/wiki/Aap_Ke_Deewane" TargetMode="External" Id="rId30" /><Relationship Type="http://schemas.openxmlformats.org/officeDocument/2006/relationships/hyperlink" Target="https://en.wikipedia.org/wiki/Karz_(film)" TargetMode="External" Id="rId31" /><Relationship Type="http://schemas.openxmlformats.org/officeDocument/2006/relationships/hyperlink" Target="https://en.wikipedia.org/wiki/Naseeb_(1981_film)" TargetMode="External" Id="rId32" /><Relationship Type="http://schemas.openxmlformats.org/officeDocument/2006/relationships/hyperlink" Target="https://en.wikipedia.org/wiki/Biwi-O-Biwi" TargetMode="External" Id="rId33" /><Relationship Type="http://schemas.openxmlformats.org/officeDocument/2006/relationships/hyperlink" Target="https://en.wikipedia.org/wiki/Yeh_Vaada_Raha_(film)" TargetMode="External" Id="rId34" /><Relationship Type="http://schemas.openxmlformats.org/officeDocument/2006/relationships/hyperlink" Target="https://en.wikipedia.org/wiki/Katilon_Ke_Kaatil" TargetMode="External" Id="rId35" /><Relationship Type="http://schemas.openxmlformats.org/officeDocument/2006/relationships/hyperlink" Target="https://en.wikipedia.org/wiki/Zamaane_Ko_Dikhana_Hai" TargetMode="External" Id="rId36" /><Relationship Type="http://schemas.openxmlformats.org/officeDocument/2006/relationships/hyperlink" Target="https://en.wikipedia.org/wiki/Prem_Rog" TargetMode="External" Id="rId37" /><Relationship Type="http://schemas.openxmlformats.org/officeDocument/2006/relationships/hyperlink" Target="https://en.wikipedia.org/wiki/Deedar-E-Yaar" TargetMode="External" Id="rId38" /><Relationship Type="http://schemas.openxmlformats.org/officeDocument/2006/relationships/hyperlink" Target="https://en.wikipedia.org/wiki/Bade_Dil_Wala" TargetMode="External" Id="rId39" /><Relationship Type="http://schemas.openxmlformats.org/officeDocument/2006/relationships/hyperlink" Target="https://en.wikipedia.org/wiki/Coolie_(1983_Hindi_film)" TargetMode="External" Id="rId40" /><Relationship Type="http://schemas.openxmlformats.org/officeDocument/2006/relationships/hyperlink" Target="https://en.wikipedia.org/wiki/Naukar_Biwi_Ka" TargetMode="External" Id="rId41" /><Relationship Type="http://schemas.openxmlformats.org/officeDocument/2006/relationships/hyperlink" Target="https://en.wikipedia.org/wiki/Aan_Aur_Shaan" TargetMode="External" Id="rId42" /><Relationship Type="http://schemas.openxmlformats.org/officeDocument/2006/relationships/hyperlink" Target="https://en.wikipedia.org/wiki/Duniya_(1984_film)" TargetMode="External" Id="rId43" /><Relationship Type="http://schemas.openxmlformats.org/officeDocument/2006/relationships/hyperlink" Target="https://en.wikipedia.org/wiki/Yeh_Ishq_Nahin_Aasaan" TargetMode="External" Id="rId44" /><Relationship Type="http://schemas.openxmlformats.org/officeDocument/2006/relationships/hyperlink" Target="https://en.wikipedia.org/wiki/Zamana_(1985_film)" TargetMode="External" Id="rId45" /><Relationship Type="http://schemas.openxmlformats.org/officeDocument/2006/relationships/hyperlink" Target="https://en.wikipedia.org/wiki/Tawaif_(film)" TargetMode="External" Id="rId46" /><Relationship Type="http://schemas.openxmlformats.org/officeDocument/2006/relationships/hyperlink" Target="https://en.wikipedia.org/wiki/Rahi_Badal_Gaye" TargetMode="External" Id="rId47" /><Relationship Type="http://schemas.openxmlformats.org/officeDocument/2006/relationships/hyperlink" Target="https://en.wikipedia.org/wiki/Sitamgar" TargetMode="External" Id="rId48" /><Relationship Type="http://schemas.openxmlformats.org/officeDocument/2006/relationships/hyperlink" Target="https://en.wikipedia.org/wiki/Saagar_(1985_film)" TargetMode="External" Id="rId49" /><Relationship Type="http://schemas.openxmlformats.org/officeDocument/2006/relationships/hyperlink" Target="https://en.wikipedia.org/wiki/Ram_Tere_Kitne_Nam" TargetMode="External" Id="rId50" /><Relationship Type="http://schemas.openxmlformats.org/officeDocument/2006/relationships/hyperlink" Target="https://en.wikipedia.org/wiki/Allah_Rakha_(film)" TargetMode="External" Id="rId51" /><Relationship Type="http://schemas.openxmlformats.org/officeDocument/2006/relationships/hyperlink" Target="https://en.wikipedia.org/wiki/Ek_Chadar_Maili_Si" TargetMode="External" Id="rId52" /><Relationship Type="http://schemas.openxmlformats.org/officeDocument/2006/relationships/hyperlink" Target="https://en.wikipedia.org/wiki/Dosti_Dushmani" TargetMode="External" Id="rId53" /><Relationship Type="http://schemas.openxmlformats.org/officeDocument/2006/relationships/hyperlink" Target="https://en.wikipedia.org/wiki/Nagina_(1986_film)" TargetMode="External" Id="rId54" /><Relationship Type="http://schemas.openxmlformats.org/officeDocument/2006/relationships/hyperlink" Target="https://en.wikipedia.org/wiki/Naseeb_Apna_Apna_(1986_film)" TargetMode="External" Id="rId55" /><Relationship Type="http://schemas.openxmlformats.org/officeDocument/2006/relationships/hyperlink" Target="https://en.wikipedia.org/wiki/Pyar_Ke_Kabil" TargetMode="External" Id="rId56" /><Relationship Type="http://schemas.openxmlformats.org/officeDocument/2006/relationships/hyperlink" Target="https://en.wikipedia.org/wiki/Hawalaat" TargetMode="External" Id="rId57" /><Relationship Type="http://schemas.openxmlformats.org/officeDocument/2006/relationships/hyperlink" Target="https://en.wikipedia.org/wiki/Khudgarz" TargetMode="External" Id="rId58" /><Relationship Type="http://schemas.openxmlformats.org/officeDocument/2006/relationships/hyperlink" Target="https://en.wikipedia.org/wiki/Khazana_(1987_film)" TargetMode="External" Id="rId59" /><Relationship Type="http://schemas.openxmlformats.org/officeDocument/2006/relationships/hyperlink" Target="https://en.wikipedia.org/wiki/Sindoor_(1987_film)" TargetMode="External" Id="rId60" /><Relationship Type="http://schemas.openxmlformats.org/officeDocument/2006/relationships/hyperlink" Target="https://en.wikipedia.org/wiki/Ghar_Ghar_Ki_Kahani_(1988_film)" TargetMode="External" Id="rId61" /><Relationship Type="http://schemas.openxmlformats.org/officeDocument/2006/relationships/hyperlink" Target="https://en.wikipedia.org/wiki/Vijay_(1988_film)" TargetMode="External" Id="rId62" /><Relationship Type="http://schemas.openxmlformats.org/officeDocument/2006/relationships/hyperlink" Target="https://en.wikipedia.org/wiki/Akarshan" TargetMode="External" Id="rId63" /><Relationship Type="http://schemas.openxmlformats.org/officeDocument/2006/relationships/hyperlink" Target="https://en.wikipedia.org/wiki/Bade_Ghar_Ki_Beti" TargetMode="External" Id="rId64" /><Relationship Type="http://schemas.openxmlformats.org/officeDocument/2006/relationships/hyperlink" Target="https://en.wikipedia.org/wiki/Paraya_Ghar" TargetMode="External" Id="rId65" /><Relationship Type="http://schemas.openxmlformats.org/officeDocument/2006/relationships/hyperlink" Target="https://en.wikipedia.org/wiki/Khoj_(1989_film)" TargetMode="External" Id="rId66" /><Relationship Type="http://schemas.openxmlformats.org/officeDocument/2006/relationships/hyperlink" Target="https://en.wikipedia.org/wiki/Chandni_(1989_film)" TargetMode="External" Id="rId67" /><Relationship Type="http://schemas.openxmlformats.org/officeDocument/2006/relationships/hyperlink" Target="https://en.wikipedia.org/wiki/Hathyar_(1989_film)" TargetMode="External" Id="rId68" /><Relationship Type="http://schemas.openxmlformats.org/officeDocument/2006/relationships/hyperlink" Target="https://en.wikipedia.org/wiki/Gharana_(1989_film)" TargetMode="External" Id="rId69" /><Relationship Type="http://schemas.openxmlformats.org/officeDocument/2006/relationships/hyperlink" Target="https://en.wikipedia.org/wiki/Nigahen:_Nagina_Part_II" TargetMode="External" Id="rId70" /><Relationship Type="http://schemas.openxmlformats.org/officeDocument/2006/relationships/hyperlink" Target="https://en.wikipedia.org/wiki/Amiri_Garibi" TargetMode="External" Id="rId71" /><Relationship Type="http://schemas.openxmlformats.org/officeDocument/2006/relationships/hyperlink" Target="https://en.wikipedia.org/wiki/Azaad_Desh_Ke_Gulam" TargetMode="External" Id="rId72" /><Relationship Type="http://schemas.openxmlformats.org/officeDocument/2006/relationships/hyperlink" Target="https://en.wikipedia.org/wiki/Sher_Dil_(Indian_film)" TargetMode="External" Id="rId73" /><Relationship Type="http://schemas.openxmlformats.org/officeDocument/2006/relationships/hyperlink" Target="https://en.wikipedia.org/wiki/Sheshnaag_(film)" TargetMode="External" Id="rId74" /><Relationship Type="http://schemas.openxmlformats.org/officeDocument/2006/relationships/hyperlink" Target="https://en.wikipedia.org/wiki/Ajooba" TargetMode="External" Id="rId75" /><Relationship Type="http://schemas.openxmlformats.org/officeDocument/2006/relationships/hyperlink" Target="https://en.wikipedia.org/wiki/Henna_(film)" TargetMode="External" Id="rId76" /><Relationship Type="http://schemas.openxmlformats.org/officeDocument/2006/relationships/hyperlink" Target="https://en.wikipedia.org/wiki/Ranbhoomi" TargetMode="External" Id="rId77" /><Relationship Type="http://schemas.openxmlformats.org/officeDocument/2006/relationships/hyperlink" Target="https://en.wikipedia.org/wiki/Banjaran" TargetMode="External" Id="rId78" /><Relationship Type="http://schemas.openxmlformats.org/officeDocument/2006/relationships/hyperlink" Target="https://en.wikipedia.org/wiki/Ghar_Parivar" TargetMode="External" Id="rId79" /><Relationship Type="http://schemas.openxmlformats.org/officeDocument/2006/relationships/hyperlink" Target="https://en.wikipedia.org/wiki/Kasak_(1992_film)" TargetMode="External" Id="rId80" /><Relationship Type="http://schemas.openxmlformats.org/officeDocument/2006/relationships/hyperlink" Target="https://en.wikipedia.org/wiki/Deewana_(1992_film)" TargetMode="External" Id="rId81" /><Relationship Type="http://schemas.openxmlformats.org/officeDocument/2006/relationships/hyperlink" Target="https://en.wikipedia.org/wiki/Bol_Radha_Bol" TargetMode="External" Id="rId82" /><Relationship Type="http://schemas.openxmlformats.org/officeDocument/2006/relationships/hyperlink" Target="https://en.wikipedia.org/wiki/Honeymoon_(1992_film)" TargetMode="External" Id="rId83" /><Relationship Type="http://schemas.openxmlformats.org/officeDocument/2006/relationships/hyperlink" Target="https://en.wikipedia.org/wiki/Rishta_Ho_To_Aisa" TargetMode="External" Id="rId84" /><Relationship Type="http://schemas.openxmlformats.org/officeDocument/2006/relationships/hyperlink" Target="https://en.wikipedia.org/wiki/Shreemaan_Aashique" TargetMode="External" Id="rId85" /><Relationship Type="http://schemas.openxmlformats.org/officeDocument/2006/relationships/hyperlink" Target="https://en.wikipedia.org/wiki/Damini" TargetMode="External" Id="rId86" /><Relationship Type="http://schemas.openxmlformats.org/officeDocument/2006/relationships/hyperlink" Target="https://en.wikipedia.org/wiki/Izzat_Ki_Roti" TargetMode="External" Id="rId87" /><Relationship Type="http://schemas.openxmlformats.org/officeDocument/2006/relationships/hyperlink" Target="https://en.wikipedia.org/wiki/Dhartiputra" TargetMode="External" Id="rId88" /><Relationship Type="http://schemas.openxmlformats.org/officeDocument/2006/relationships/hyperlink" Target="https://en.wikipedia.org/wiki/Anmol" TargetMode="External" Id="rId89" /><Relationship Type="http://schemas.openxmlformats.org/officeDocument/2006/relationships/hyperlink" Target="https://en.wikipedia.org/wiki/Gurudev_(film)" TargetMode="External" Id="rId90" /><Relationship Type="http://schemas.openxmlformats.org/officeDocument/2006/relationships/hyperlink" Target="https://en.wikipedia.org/wiki/Sahibaan" TargetMode="External" Id="rId91" /><Relationship Type="http://schemas.openxmlformats.org/officeDocument/2006/relationships/hyperlink" Target="https://en.wikipedia.org/wiki/Saajan_Ka_Ghar" TargetMode="External" Id="rId92" /><Relationship Type="http://schemas.openxmlformats.org/officeDocument/2006/relationships/hyperlink" Target="https://en.wikipedia.org/wiki/Pehla_Pehla_Pyar" TargetMode="External" Id="rId93" /><Relationship Type="http://schemas.openxmlformats.org/officeDocument/2006/relationships/hyperlink" Target="https://en.wikipedia.org/wiki/Eena_Meena_Deeka" TargetMode="External" Id="rId94" /><Relationship Type="http://schemas.openxmlformats.org/officeDocument/2006/relationships/hyperlink" Target="https://en.wikipedia.org/wiki/Prem_Yog" TargetMode="External" Id="rId95" /><Relationship Type="http://schemas.openxmlformats.org/officeDocument/2006/relationships/hyperlink" Target="https://en.wikipedia.org/wiki/Ghar_Ki_Izzat_(1994_film)" TargetMode="External" Id="rId96" /><Relationship Type="http://schemas.openxmlformats.org/officeDocument/2006/relationships/hyperlink" Target="https://en.wikipedia.org/wiki/Saajan_Ki_Baahon_Mein" TargetMode="External" Id="rId97" /><Relationship Type="http://schemas.openxmlformats.org/officeDocument/2006/relationships/hyperlink" Target="https://en.wikipedia.org/wiki/Hum_Dono_(1995_film)" TargetMode="External" Id="rId98" /><Relationship Type="http://schemas.openxmlformats.org/officeDocument/2006/relationships/hyperlink" Target="https://en.wikipedia.org/wiki/Yaraana_(1995_film)" TargetMode="External" Id="rId99" /><Relationship Type="http://schemas.openxmlformats.org/officeDocument/2006/relationships/hyperlink" Target="https://en.wikipedia.org/wiki/Prem_Granth" TargetMode="External" Id="rId100" /><Relationship Type="http://schemas.openxmlformats.org/officeDocument/2006/relationships/hyperlink" Target="https://en.wikipedia.org/wiki/Daraar" TargetMode="External" Id="rId101" /><Relationship Type="http://schemas.openxmlformats.org/officeDocument/2006/relationships/hyperlink" Target="https://en.wikipedia.org/wiki/Kaun_Sachcha_Kaun_Jhootha" TargetMode="External" Id="rId102" /><Relationship Type="http://schemas.openxmlformats.org/officeDocument/2006/relationships/hyperlink" Target="https://en.wikipedia.org/wiki/Karobaar" TargetMode="External" Id="rId103" /><Relationship Type="http://schemas.openxmlformats.org/officeDocument/2006/relationships/hyperlink" Target="https://en.wikipedia.org/wiki/Raju_Chacha" TargetMode="External" Id="rId104" /><Relationship Type="http://schemas.openxmlformats.org/officeDocument/2006/relationships/hyperlink" Target="https://en.wikipedia.org/wiki/Kuch_Khatti_Kuch_Meethi" TargetMode="External" Id="rId105" /><Relationship Type="http://schemas.openxmlformats.org/officeDocument/2006/relationships/hyperlink" Target="https://en.wikipedia.org/wiki/Yeh_Hai_Jalwa" TargetMode="External" Id="rId106" /><Relationship Type="http://schemas.openxmlformats.org/officeDocument/2006/relationships/hyperlink" Target="https://en.wikipedia.org/wiki/Kucch_To_Hai" TargetMode="External" Id="rId107" /><Relationship Type="http://schemas.openxmlformats.org/officeDocument/2006/relationships/hyperlink" Target="https://en.wikipedia.org/wiki/Love_at_Times_Square" TargetMode="External" Id="rId108" /><Relationship Type="http://schemas.openxmlformats.org/officeDocument/2006/relationships/hyperlink" Target="https://en.wikipedia.org/wiki/Tehzeeb_(2003_film)" TargetMode="External" Id="rId109" /><Relationship Type="http://schemas.openxmlformats.org/officeDocument/2006/relationships/hyperlink" Target="https://en.wikipedia.org/wiki/Hum_Tum_(film)" TargetMode="External" Id="rId110" /><Relationship Type="http://schemas.openxmlformats.org/officeDocument/2006/relationships/hyperlink" Target="https://en.wikipedia.org/wiki/Pyaar_Mein_Twist" TargetMode="External" Id="rId111" /><Relationship Type="http://schemas.openxmlformats.org/officeDocument/2006/relationships/hyperlink" Target="https://en.wikipedia.org/wiki/Fanaa_(2006_film)" TargetMode="External" Id="rId112" /><Relationship Type="http://schemas.openxmlformats.org/officeDocument/2006/relationships/hyperlink" Target="https://en.wikipedia.org/wiki/Love_Ke_Chakkar_Mein" TargetMode="External" Id="rId113" /><Relationship Type="http://schemas.openxmlformats.org/officeDocument/2006/relationships/hyperlink" Target="https://en.wikipedia.org/wiki/Namastey_London" TargetMode="External" Id="rId114" /><Relationship Type="http://schemas.openxmlformats.org/officeDocument/2006/relationships/hyperlink" Target="https://en.wikipedia.org/wiki/Don't_Stop_Dreaming" TargetMode="External" Id="rId115" /><Relationship Type="http://schemas.openxmlformats.org/officeDocument/2006/relationships/hyperlink" Target="https://en.wikipedia.org/wiki/Om_Shanti_Om" TargetMode="External" Id="rId116" /><Relationship Type="http://schemas.openxmlformats.org/officeDocument/2006/relationships/hyperlink" Target="https://en.wikipedia.org/wiki/Sambar_Salsa" TargetMode="External" Id="rId117" /><Relationship Type="http://schemas.openxmlformats.org/officeDocument/2006/relationships/hyperlink" Target="https://en.wikipedia.org/wiki/Thoda_Pyaar_Thoda_Magic" TargetMode="External" Id="rId118" /><Relationship Type="http://schemas.openxmlformats.org/officeDocument/2006/relationships/hyperlink" Target="https://en.wikipedia.org/wiki/Halla_Bol" TargetMode="External" Id="rId119" /><Relationship Type="http://schemas.openxmlformats.org/officeDocument/2006/relationships/hyperlink" Target="https://en.wikipedia.org/wiki/Luck_by_Chance" TargetMode="External" Id="rId120" /><Relationship Type="http://schemas.openxmlformats.org/officeDocument/2006/relationships/hyperlink" Target="https://en.wikipedia.org/wiki/Delhi-6" TargetMode="External" Id="rId121" /><Relationship Type="http://schemas.openxmlformats.org/officeDocument/2006/relationships/hyperlink" Target="https://en.wikipedia.org/wiki/Kal_Kissne_Dekha" TargetMode="External" Id="rId122" /><Relationship Type="http://schemas.openxmlformats.org/officeDocument/2006/relationships/hyperlink" Target="https://en.wikipedia.org/wiki/Love_Aaj_Kal_(2009_film)" TargetMode="External" Id="rId123" /><Relationship Type="http://schemas.openxmlformats.org/officeDocument/2006/relationships/hyperlink" Target="https://en.wikipedia.org/wiki/Chintu_Ji" TargetMode="External" Id="rId124" /><Relationship Type="http://schemas.openxmlformats.org/officeDocument/2006/relationships/hyperlink" Target="https://en.wikipedia.org/wiki/Sadiyaan" TargetMode="External" Id="rId125" /><Relationship Type="http://schemas.openxmlformats.org/officeDocument/2006/relationships/hyperlink" Target="https://en.wikipedia.org/wiki/Do_Dooni_Chaar" TargetMode="External" Id="rId126" /><Relationship Type="http://schemas.openxmlformats.org/officeDocument/2006/relationships/hyperlink" Target="https://en.wikipedia.org/wiki/Patiala_House_(film)" TargetMode="External" Id="rId127" /><Relationship Type="http://schemas.openxmlformats.org/officeDocument/2006/relationships/hyperlink" Target="https://en.wikipedia.org/wiki/Tell_Me_O_Kkhuda" TargetMode="External" Id="rId128" /><Relationship Type="http://schemas.openxmlformats.org/officeDocument/2006/relationships/hyperlink" Target="https://en.wikipedia.org/wiki/Agneepath_(2012_film)" TargetMode="External" Id="rId129" /><Relationship Type="http://schemas.openxmlformats.org/officeDocument/2006/relationships/hyperlink" Target="https://en.wikipedia.org/wiki/Housefull_2" TargetMode="External" Id="rId130" /><Relationship Type="http://schemas.openxmlformats.org/officeDocument/2006/relationships/hyperlink" Target="https://en.wikipedia.org/wiki/Student_of_the_Year" TargetMode="External" Id="rId131" /><Relationship Type="http://schemas.openxmlformats.org/officeDocument/2006/relationships/hyperlink" Target="https://en.wikipedia.org/wiki/Jab_Tak_Hai_Jaan" TargetMode="External" Id="rId132" /><Relationship Type="http://schemas.openxmlformats.org/officeDocument/2006/relationships/hyperlink" Target="https://en.wikipedia.org/wiki/Chashme_Baddoor_(2013_film)" TargetMode="External" Id="rId133" /><Relationship Type="http://schemas.openxmlformats.org/officeDocument/2006/relationships/hyperlink" Target="https://en.wikipedia.org/wiki/Aurangzeb_(film)" TargetMode="External" Id="rId134" /><Relationship Type="http://schemas.openxmlformats.org/officeDocument/2006/relationships/hyperlink" Target="https://en.wikipedia.org/wiki/D-Day_(2013_film)" TargetMode="External" Id="rId135" /><Relationship Type="http://schemas.openxmlformats.org/officeDocument/2006/relationships/hyperlink" Target="https://en.wikipedia.org/wiki/Shuddh_Desi_Romance" TargetMode="External" Id="rId136" /><Relationship Type="http://schemas.openxmlformats.org/officeDocument/2006/relationships/hyperlink" Target="https://en.wikipedia.org/wiki/Besharam_(2013_film)" TargetMode="External" Id="rId137" /><Relationship Type="http://schemas.openxmlformats.org/officeDocument/2006/relationships/hyperlink" Target="https://en.wikipedia.org/wiki/Bewakoofiyaan" TargetMode="External" Id="rId138" /><Relationship Type="http://schemas.openxmlformats.org/officeDocument/2006/relationships/hyperlink" Target="https://en.wikipedia.org/wiki/Kaanchi_(2014_film)" TargetMode="External" Id="rId139" /><Relationship Type="http://schemas.openxmlformats.org/officeDocument/2006/relationships/hyperlink" Target="https://en.wikipedia.org/wiki/All_Is_Well_(2015_film)" TargetMode="External" Id="rId140" /><Relationship Type="http://schemas.openxmlformats.org/officeDocument/2006/relationships/hyperlink" Target="https://en.wikipedia.org/wiki/Wedding_Pullav" TargetMode="External" Id="rId141" /><Relationship Type="http://schemas.openxmlformats.org/officeDocument/2006/relationships/hyperlink" Target="https://en.wikipedia.org/wiki/Chalk_n_Duster" TargetMode="External" Id="rId142" /><Relationship Type="http://schemas.openxmlformats.org/officeDocument/2006/relationships/hyperlink" Target="https://en.wikipedia.org/wiki/Sanam_Re" TargetMode="External" Id="rId143" /><Relationship Type="http://schemas.openxmlformats.org/officeDocument/2006/relationships/hyperlink" Target="https://en.wikipedia.org/wiki/Kapoor_&amp;_Sons" TargetMode="External" Id="rId144" /><Relationship Type="http://schemas.openxmlformats.org/officeDocument/2006/relationships/hyperlink" Target="https://en.wikipedia.org/wiki/Patel_Ki_Punjabi_Shaadi" TargetMode="External" Id="rId145" /><Relationship Type="http://schemas.openxmlformats.org/officeDocument/2006/relationships/hyperlink" Target="https://en.wikipedia.org/wiki/102_Not_Out" TargetMode="External" Id="rId146" /><Relationship Type="http://schemas.openxmlformats.org/officeDocument/2006/relationships/hyperlink" Target="https://en.wikipedia.org/wiki/Manto_(2018_film)" TargetMode="External" Id="rId147" /><Relationship Type="http://schemas.openxmlformats.org/officeDocument/2006/relationships/hyperlink" Target="https://en.wikipedia.org/wiki/Mulk_(film)" TargetMode="External" Id="rId148" /><Relationship Type="http://schemas.openxmlformats.org/officeDocument/2006/relationships/hyperlink" Target="https://en.wikipedia.org/wiki/Rajma_Chawal" TargetMode="External" Id="rId149" /><Relationship Type="http://schemas.openxmlformats.org/officeDocument/2006/relationships/hyperlink" Target="https://en.wikipedia.org/wiki/Jhootha_Kahin_Ka" TargetMode="External" Id="rId150" /><Relationship Type="http://schemas.openxmlformats.org/officeDocument/2006/relationships/hyperlink" Target="https://en.wikipedia.org/wiki/The_Body_(2019_film)" TargetMode="External" Id="rId151" /><Relationship Type="http://schemas.openxmlformats.org/officeDocument/2006/relationships/hyperlink" Target="https://en.wikipedia.org/wiki/Sharmaji_Namkeen" TargetMode="External" Id="rId152" /><Relationship Type="http://schemas.openxmlformats.org/officeDocument/2006/relationships/hyperlink" Target="https://en.wikipedia.org/wiki/Laxmikant%E2%80%93Pyarelal" TargetMode="External" Id="rId153" /><Relationship Type="http://schemas.openxmlformats.org/officeDocument/2006/relationships/hyperlink" Target="https://en.wikipedia.org/wiki/R._D._Burman" TargetMode="External" Id="rId154" /><Relationship Type="http://schemas.openxmlformats.org/officeDocument/2006/relationships/hyperlink" Target="https://en.wikipedia.org/wiki/Yash_Raj_Films" TargetMode="External" Id="rId155" /><Relationship Type="http://schemas.openxmlformats.org/officeDocument/2006/relationships/hyperlink" Target="https://en.wikipedia.org/wiki/Kader_Khan" TargetMode="External" Id="rId156" /><Relationship Type="http://schemas.openxmlformats.org/officeDocument/2006/relationships/hyperlink" Target="https://en.wikipedia.org/wiki/Rajesh_Roshan" TargetMode="External" Id="rId157" /><Relationship Type="http://schemas.openxmlformats.org/officeDocument/2006/relationships/hyperlink" Target="https://en.wikipedia.org/wiki/Sachin_Bhowmick" TargetMode="External" Id="rId158" /><Relationship Type="http://schemas.openxmlformats.org/officeDocument/2006/relationships/hyperlink" Target="https://en.wikipedia.org/wiki/Aditya_Chopra" TargetMode="External" Id="rId159" /><Relationship Type="http://schemas.openxmlformats.org/officeDocument/2006/relationships/hyperlink" Target="https://en.wikipedia.org/wiki/Anu_Malik" TargetMode="External" Id="rId160" /><Relationship Type="http://schemas.openxmlformats.org/officeDocument/2006/relationships/hyperlink" Target="https://en.wikipedia.org/wiki/Bappi_Lahiri" TargetMode="External" Id="rId161" /><Relationship Type="http://schemas.openxmlformats.org/officeDocument/2006/relationships/hyperlink" Target="https://en.wikipedia.org/wiki/Salim%E2%80%93Sulaiman" TargetMode="External" Id="rId162" /><Relationship Type="http://schemas.openxmlformats.org/officeDocument/2006/relationships/hyperlink" Target="https://en.wikipedia.org/wiki/Jainendra_Jain_(screenwriter)" TargetMode="External" Id="rId163" /><Relationship Type="http://schemas.openxmlformats.org/officeDocument/2006/relationships/hyperlink" Target="https://en.wikipedia.org/wiki/Nadeem%E2%80%93Shravan" TargetMode="External" Id="rId164" /><Relationship Type="http://schemas.openxmlformats.org/officeDocument/2006/relationships/hyperlink" Target="https://en.wikipedia.org/wiki/R._K._Films" TargetMode="External" Id="rId165" /><Relationship Type="http://schemas.openxmlformats.org/officeDocument/2006/relationships/hyperlink" Target="https://en.wikipedia.org/wiki/Rahi_Masoom_Raza" TargetMode="External" Id="rId166" /><Relationship Type="http://schemas.openxmlformats.org/officeDocument/2006/relationships/hyperlink" Target="https://en.wikipedia.org/wiki/Daisy_Irani_(actress)" TargetMode="External" Id="rId167" /><Relationship Type="http://schemas.openxmlformats.org/officeDocument/2006/relationships/hyperlink" Target="https://en.wikipedia.org/wiki/Rahul_Rawail" TargetMode="External" Id="rId168" /><Relationship Type="http://schemas.openxmlformats.org/officeDocument/2006/relationships/hyperlink" Target="https://en.wikipedia.org/wiki/K._Ravi_Shankar" TargetMode="External" Id="rId169" /><Relationship Type="http://schemas.openxmlformats.org/officeDocument/2006/relationships/hyperlink" Target="https://en.wikipedia.org/wiki/K._C._Bokadia" TargetMode="External" Id="rId170" /><Relationship Type="http://schemas.openxmlformats.org/officeDocument/2006/relationships/hyperlink" Target="https://en.wikipedia.org/wiki/Anand%E2%80%93Milind" TargetMode="External" Id="rId171" /><Relationship Type="http://schemas.openxmlformats.org/officeDocument/2006/relationships/hyperlink" Target="https://en.wikipedia.org/wiki/David_Dhawan" TargetMode="External" Id="rId172" /><Relationship Type="http://schemas.openxmlformats.org/officeDocument/2006/relationships/hyperlink" Target="https://en.wikipedia.org/wiki/Harmesh_Malhotra" TargetMode="External" Id="rId173" /><Relationship Type="http://schemas.openxmlformats.org/officeDocument/2006/relationships/hyperlink" Target="https://en.wikipedia.org/wiki/Kalyanji%E2%80%93Anandji" TargetMode="External" Id="rId174" /><Relationship Type="http://schemas.openxmlformats.org/officeDocument/2006/relationships/hyperlink" Target="https://en.wikipedia.org/wiki/Raj_Kapoor" TargetMode="External" Id="rId175" /><Relationship Type="http://schemas.openxmlformats.org/officeDocument/2006/relationships/hyperlink" Target="https://en.wikipedia.org/wiki/Ranbir_Pushp" TargetMode="External" Id="rId176" /><Relationship Type="http://schemas.openxmlformats.org/officeDocument/2006/relationships/hyperlink" Target="https://en.wikipedia.org/wiki/Rumi_Jaffery" TargetMode="External" Id="rId177" /><Relationship Type="http://schemas.openxmlformats.org/officeDocument/2006/relationships/hyperlink" Target="https://en.wikipedia.org/wiki/Yash_Chopra" TargetMode="External" Id="rId178" /><Relationship Type="http://schemas.openxmlformats.org/officeDocument/2006/relationships/hyperlink" Target="https://en.wikipedia.org/wiki/Dharma_Productions" TargetMode="External" Id="rId179" /><Relationship Type="http://schemas.openxmlformats.org/officeDocument/2006/relationships/hyperlink" Target="https://en.wikipedia.org/wiki/Jatin%E2%80%93Lalit" TargetMode="External" Id="rId180" /><Relationship Type="http://schemas.openxmlformats.org/officeDocument/2006/relationships/hyperlink" Target="https://en.wikipedia.org/wiki/Javed_Akhtar" TargetMode="External" Id="rId181" /><Relationship Type="http://schemas.openxmlformats.org/officeDocument/2006/relationships/hyperlink" Target="https://en.wikipedia.org/wiki/Ketan_Desai_(director)" TargetMode="External" Id="rId182" /><Relationship Type="http://schemas.openxmlformats.org/officeDocument/2006/relationships/hyperlink" Target="https://en.wikipedia.org/wiki/Khwaja_Ahmad_Abbas" TargetMode="External" Id="rId183" /><Relationship Type="http://schemas.openxmlformats.org/officeDocument/2006/relationships/hyperlink" Target="https://en.wikipedia.org/wiki/Manmohan_Desai" TargetMode="External" Id="rId184" /><Relationship Type="http://schemas.openxmlformats.org/officeDocument/2006/relationships/hyperlink" Target="https://en.wikipedia.org/wiki/Rakesh_Roshan" TargetMode="External" Id="rId185" /><Relationship Type="http://schemas.openxmlformats.org/officeDocument/2006/relationships/hyperlink" Target="https://en.wikipedia.org/wiki/Ramesh_Talwar" TargetMode="External" Id="rId186" /><Relationship Type="http://schemas.openxmlformats.org/officeDocument/2006/relationships/hyperlink" Target="https://en.wikipedia.org/wiki/Ravi_Tandon" TargetMode="External" Id="rId187" /><Relationship Type="http://schemas.openxmlformats.org/officeDocument/2006/relationships/hyperlink" Target="https://en.wikipedia.org/wiki/Sagar_Sarhadi" TargetMode="External" Id="rId188" /><Relationship Type="http://schemas.openxmlformats.org/officeDocument/2006/relationships/hyperlink" Target="https://en.wikipedia.org/wiki/Shankar%E2%80%93Ehsaan%E2%80%93Loy" TargetMode="External" Id="rId189" /><Relationship Type="http://schemas.openxmlformats.org/officeDocument/2006/relationships/hyperlink" Target="https://en.wikipedia.org/wiki/A._R._Rahman" TargetMode="External" Id="rId190" /><Relationship Type="http://schemas.openxmlformats.org/officeDocument/2006/relationships/hyperlink" Target="https://en.wikipedia.org/wiki/Amaal_Mallik" TargetMode="External" Id="rId191" /><Relationship Type="http://schemas.openxmlformats.org/officeDocument/2006/relationships/hyperlink" Target="https://en.wikipedia.org/wiki/Bhushan_Kumar" TargetMode="External" Id="rId192" /><Relationship Type="http://schemas.openxmlformats.org/officeDocument/2006/relationships/hyperlink" Target="https://en.wikipedia.org/wiki/Himesh_Reshammiya" TargetMode="External" Id="rId193" /><Relationship Type="http://schemas.openxmlformats.org/officeDocument/2006/relationships/hyperlink" Target="https://en.wikipedia.org/wiki/Yash_Johar" TargetMode="External" Id="rId194" /><Relationship Type="http://schemas.openxmlformats.org/officeDocument/2006/relationships/hyperlink" Target="https://en.wikipedia.org/wiki/Honey_Irani" TargetMode="External" Id="rId195" /><Relationship Type="http://schemas.openxmlformats.org/officeDocument/2006/relationships/hyperlink" Target="https://en.wikipedia.org/wiki/Javed_Siddiqui" TargetMode="External" Id="rId196" /><Relationship Type="http://schemas.openxmlformats.org/officeDocument/2006/relationships/hyperlink" Target="https://en.wikipedia.org/wiki/Karan_Johar" TargetMode="External" Id="rId197" /><Relationship Type="http://schemas.openxmlformats.org/officeDocument/2006/relationships/hyperlink" Target="https://en.wikipedia.org/wiki/Krishan_Kumar_(actor)" TargetMode="External" Id="rId198" /><Relationship Type="http://schemas.openxmlformats.org/officeDocument/2006/relationships/hyperlink" Target="https://en.wikipedia.org/wiki/Kunal_Kohli" TargetMode="External" Id="rId199" /><Relationship Type="http://schemas.openxmlformats.org/officeDocument/2006/relationships/hyperlink" Target="https://en.wikipedia.org/wiki/Sajid%E2%80%93Wajid" TargetMode="External" Id="rId200" /><Relationship Type="http://schemas.openxmlformats.org/officeDocument/2006/relationships/hyperlink" Target="https://en.wikipedia.org/wiki/Sandeep_Chowta" TargetMode="External" Id="rId201" /><Relationship Type="http://schemas.openxmlformats.org/officeDocument/2006/relationships/hyperlink" Target="https://en.wikipedia.org/wiki/Shiv%E2%80%93Hari" TargetMode="External" Id="rId202" /><Relationship Type="http://schemas.openxmlformats.org/officeDocument/2006/relationships/hyperlink" Target="https://en.wikipedia.org/wiki/Umesh_Shukla" TargetMode="External" Id="rId203" /><Relationship Type="http://schemas.openxmlformats.org/officeDocument/2006/relationships/hyperlink" Target="https://en.wikipedia.org/wiki/Viacom18_Studios" TargetMode="External" Id="rId204" /><Relationship Type="http://schemas.openxmlformats.org/officeDocument/2006/relationships/hyperlink" Target="https://en.wikipedia.org/wiki/Aadesh_Shrivastava" TargetMode="External" Id="rId205" /><Relationship Type="http://schemas.openxmlformats.org/officeDocument/2006/relationships/hyperlink" Target="https://en.wikipedia.org/wiki/Abrar_Alvi" TargetMode="External" Id="rId206" /><Relationship Type="http://schemas.openxmlformats.org/officeDocument/2006/relationships/hyperlink" Target="https://en.wikipedia.org/wiki/Aditya_Raj_Kapoor" TargetMode="External" Id="rId207" /><Relationship Type="http://schemas.openxmlformats.org/officeDocument/2006/relationships/hyperlink" Target="https://en.wikipedia.org/wiki/Adnan_Sami" TargetMode="External" Id="rId208" /><Relationship Type="http://schemas.openxmlformats.org/officeDocument/2006/relationships/hyperlink" Target="https://en.wikipedia.org/wiki/Anand_Raj_Anand" TargetMode="External" Id="rId209" /><Relationship Type="http://schemas.openxmlformats.org/officeDocument/2006/relationships/hyperlink" Target="https://en.wikipedia.org/wiki/Anees_Bazmee" TargetMode="External" Id="rId210" /><Relationship Type="http://schemas.openxmlformats.org/officeDocument/2006/relationships/hyperlink" Target="https://en.wikipedia.org/wiki/Arko_Pravo_Mukherjee" TargetMode="External" Id="rId211" /><Relationship Type="http://schemas.openxmlformats.org/officeDocument/2006/relationships/hyperlink" Target="https://en.wikipedia.org/wiki/Asrani" TargetMode="External" Id="rId212" /><Relationship Type="http://schemas.openxmlformats.org/officeDocument/2006/relationships/hyperlink" Target="https://en.wikipedia.org/wiki/B._R._Chopra" TargetMode="External" Id="rId213" /><Relationship Type="http://schemas.openxmlformats.org/officeDocument/2006/relationships/hyperlink" Target="https://en.wikipedia.org/wiki/Deepak_Mukut" TargetMode="External" Id="rId214" /><Relationship Type="http://schemas.openxmlformats.org/officeDocument/2006/relationships/hyperlink" Target="https://en.wikipedia.org/wiki/Excel_Entertainment" TargetMode="External" Id="rId215" /><Relationship Type="http://schemas.openxmlformats.org/officeDocument/2006/relationships/hyperlink" Target="https://en.wikipedia.org/wiki/Farhan_Akhtar" TargetMode="External" Id="rId216" /><Relationship Type="http://schemas.openxmlformats.org/officeDocument/2006/relationships/hyperlink" Target="https://en.wikipedia.org/wiki/Gauri_Khan" TargetMode="External" Id="rId217" /><Relationship Type="http://schemas.openxmlformats.org/officeDocument/2006/relationships/hyperlink" Target="https://en.wikipedia.org/wiki/Gulshan_Nanda" TargetMode="External" Id="rId218" /><Relationship Type="http://schemas.openxmlformats.org/officeDocument/2006/relationships/hyperlink" Target="https://en.wikipedia.org/wiki/H._S._Rawail" TargetMode="External" Id="rId219" /><Relationship Type="http://schemas.openxmlformats.org/officeDocument/2006/relationships/hyperlink" Target="https://en.wikipedia.org/wiki/Habib_Faisal" TargetMode="External" Id="rId220" /><Relationship Type="http://schemas.openxmlformats.org/officeDocument/2006/relationships/hyperlink" Target="https://en.wikipedia.org/wiki/Harish_Shah" TargetMode="External" Id="rId221" /><Relationship Type="http://schemas.openxmlformats.org/officeDocument/2006/relationships/hyperlink" Target="https://en.wikipedia.org/wiki/Inder_Raj_Anand" TargetMode="External" Id="rId222" /><Relationship Type="http://schemas.openxmlformats.org/officeDocument/2006/relationships/hyperlink" Target="https://en.wikipedia.org/wiki/Iqbal_Durrani" TargetMode="External" Id="rId223" /><Relationship Type="http://schemas.openxmlformats.org/officeDocument/2006/relationships/hyperlink" Target="https://en.wikipedia.org/wiki/K._K._Singh" TargetMode="External" Id="rId224" /><Relationship Type="http://schemas.openxmlformats.org/officeDocument/2006/relationships/hyperlink" Target="https://en.wikipedia.org/wiki/Kamlesh_Pandey" TargetMode="External" Id="rId225" /><Relationship Type="http://schemas.openxmlformats.org/officeDocument/2006/relationships/hyperlink" Target="https://en.wikipedia.org/wiki/Kamna_Chandra" TargetMode="External" Id="rId226" /><Relationship Type="http://schemas.openxmlformats.org/officeDocument/2006/relationships/hyperlink" Target="https://en.wikipedia.org/wiki/Meet_Bros_Anjjan" TargetMode="External" Id="rId227" /><Relationship Type="http://schemas.openxmlformats.org/officeDocument/2006/relationships/hyperlink" Target="https://en.wikipedia.org/wiki/Mithoon" TargetMode="External" Id="rId228" /><Relationship Type="http://schemas.openxmlformats.org/officeDocument/2006/relationships/hyperlink" Target="https://en.wikipedia.org/wiki/Nasir_Hussain" TargetMode="External" Id="rId229" /><Relationship Type="http://schemas.openxmlformats.org/officeDocument/2006/relationships/hyperlink" Target="https://en.wikipedia.org/wiki/Nikkhil_Advani" TargetMode="External" Id="rId230" /><Relationship Type="http://schemas.openxmlformats.org/officeDocument/2006/relationships/hyperlink" Target="https://en.wikipedia.org/wiki/Phani_Majumdar" TargetMode="External" Id="rId231" /><Relationship Type="http://schemas.openxmlformats.org/officeDocument/2006/relationships/hyperlink" Target="https://en.wikipedia.org/wiki/Pritam" TargetMode="External" Id="rId232" /><Relationship Type="http://schemas.openxmlformats.org/officeDocument/2006/relationships/hyperlink" Target="https://en.wikipedia.org/wiki/Raj_Kanwar" TargetMode="External" Id="rId233" /><Relationship Type="http://schemas.openxmlformats.org/officeDocument/2006/relationships/hyperlink" Target="https://en.wikipedia.org/wiki/Rajiv_Kapoor" TargetMode="External" Id="rId234" /><Relationship Type="http://schemas.openxmlformats.org/officeDocument/2006/relationships/hyperlink" Target="https://en.wikipedia.org/wiki/Rajkumar_Santoshi" TargetMode="External" Id="rId235" /><Relationship Type="http://schemas.openxmlformats.org/officeDocument/2006/relationships/hyperlink" Target="https://en.wikipedia.org/wiki/Raju_Singh" TargetMode="External" Id="rId236" /><Relationship Type="http://schemas.openxmlformats.org/officeDocument/2006/relationships/hyperlink" Target="https://en.wikipedia.org/wiki/Randhir_Kapoor" TargetMode="External" Id="rId237" /><Relationship Type="http://schemas.openxmlformats.org/officeDocument/2006/relationships/hyperlink" Target="https://en.wikipedia.org/wiki/Ravindra_Jain" TargetMode="External" Id="rId238" /><Relationship Type="http://schemas.openxmlformats.org/officeDocument/2006/relationships/hyperlink" Target="https://en.wikipedia.org/wiki/Red_Chillies_Entertainment" TargetMode="External" Id="rId239" /><Relationship Type="http://schemas.openxmlformats.org/officeDocument/2006/relationships/hyperlink" Target="https://en.wikipedia.org/wiki/Rishi_Kapoor" TargetMode="External" Id="rId240" /><Relationship Type="http://schemas.openxmlformats.org/officeDocument/2006/relationships/hyperlink" Target="https://en.wikipedia.org/wiki/Ritesh_Sidhwani" TargetMode="External" Id="rId241" /><Relationship Type="http://schemas.openxmlformats.org/officeDocument/2006/relationships/hyperlink" Target="https://en.wikipedia.org/wiki/Sandeep_Shirodkar" TargetMode="External" Id="rId242" /><Relationship Type="http://schemas.openxmlformats.org/officeDocument/2006/relationships/hyperlink" Target="https://en.wikipedia.org/wiki/Shankar%E2%80%93Jaikishan" TargetMode="External" Id="rId243" /><Relationship Type="http://schemas.openxmlformats.org/officeDocument/2006/relationships/hyperlink" Target="https://en.wikipedia.org/wiki/Sikandar_Khanna" TargetMode="External" Id="rId244" /><Relationship Type="http://schemas.openxmlformats.org/officeDocument/2006/relationships/hyperlink" Target="https://en.wikipedia.org/wiki/Sneha_Khanwalkar" TargetMode="External" Id="rId245" /><Relationship Type="http://schemas.openxmlformats.org/officeDocument/2006/relationships/hyperlink" Target="https://en.wikipedia.org/wiki/Subhash_Ghai" TargetMode="External" Id="rId246" /><Relationship Type="http://schemas.openxmlformats.org/officeDocument/2006/relationships/hyperlink" Target="https://en.wikipedia.org/wiki/Sukhwinder_Singh" TargetMode="External" Id="rId247" /><Relationship Type="http://schemas.openxmlformats.org/officeDocument/2006/relationships/hyperlink" Target="https://en.wikipedia.org/wiki/T-Series_(company)" TargetMode="External" Id="rId248" /><Relationship Type="http://schemas.openxmlformats.org/officeDocument/2006/relationships/hyperlink" Target="https://en.wikipedia.org/wiki/T._Rama_Rao" TargetMode="External" Id="rId249" /><Relationship Type="http://schemas.openxmlformats.org/officeDocument/2006/relationships/hyperlink" Target="https://en.wikipedia.org/wiki/Tanishk_Bagchi" TargetMode="External" Id="rId250" /><Relationship Type="http://schemas.openxmlformats.org/officeDocument/2006/relationships/hyperlink" Target="https://en.wikipedia.org/wiki/Tarsame_Singh_Saini" TargetMode="External" Id="rId251" /><Relationship Type="http://schemas.openxmlformats.org/officeDocument/2006/relationships/hyperlink" Target="https://en.wikipedia.org/wiki/Tinnu_Anand" TargetMode="External" Id="rId252" /><Relationship Type="http://schemas.openxmlformats.org/officeDocument/2006/relationships/hyperlink" Target="https://en.wikipedia.org/wiki/Vanraj_Bhatia" TargetMode="External" Id="rId253" /><Relationship Type="http://schemas.openxmlformats.org/officeDocument/2006/relationships/hyperlink" Target="https://en.wikipedia.org/wiki/Vishal%E2%80%93Shekhar" TargetMode="External" Id="rId254" /><Relationship Type="http://schemas.openxmlformats.org/officeDocument/2006/relationships/hyperlink" Target="https://en.wikipedia.org/wiki/AA_Films" TargetMode="External" Id="rId255" /><Relationship Type="http://schemas.openxmlformats.org/officeDocument/2006/relationships/hyperlink" Target="https://en.wikipedia.org/wiki/Abbas%E2%80%93Mustan" TargetMode="External" Id="rId256" /><Relationship Type="http://schemas.openxmlformats.org/officeDocument/2006/relationships/hyperlink" Target="https://en.wikipedia.org/wiki/Abhinav_Kashyap" TargetMode="External" Id="rId257" /><Relationship Type="http://schemas.openxmlformats.org/officeDocument/2006/relationships/hyperlink" Target="https://en.wikipedia.org/wiki/Abhishek_Chaubey" TargetMode="External" Id="rId258" /><Relationship Type="http://schemas.openxmlformats.org/officeDocument/2006/relationships/hyperlink" Target="https://en.wikipedia.org/wiki/Ajay_Devgn" TargetMode="External" Id="rId259" /><Relationship Type="http://schemas.openxmlformats.org/officeDocument/2006/relationships/hyperlink" Target="https://en.wikipedia.org/wiki/Ajay-Atul" TargetMode="External" Id="rId260" /><Relationship Type="http://schemas.openxmlformats.org/officeDocument/2006/relationships/hyperlink" Target="https://en.wikipedia.org/wiki/Ajit_Andhare" TargetMode="External" Id="rId261" /><Relationship Type="http://schemas.openxmlformats.org/officeDocument/2006/relationships/hyperlink" Target="https://en.wikipedia.org/wiki/Akhtar_ul_Iman" TargetMode="External" Id="rId262" /><Relationship Type="http://schemas.openxmlformats.org/officeDocument/2006/relationships/hyperlink" Target="https://en.wikipedia.org/wiki/Aly_Morani" TargetMode="External" Id="rId263" /><Relationship Type="http://schemas.openxmlformats.org/officeDocument/2006/relationships/hyperlink" Target="https://en.wikipedia.org/wiki/Anil_Devgan" TargetMode="External" Id="rId264" /><Relationship Type="http://schemas.openxmlformats.org/officeDocument/2006/relationships/hyperlink" Target="https://en.wikipedia.org/wiki/Anil_Ganguly" TargetMode="External" Id="rId265" /><Relationship Type="http://schemas.openxmlformats.org/officeDocument/2006/relationships/hyperlink" Target="https://en.wikipedia.org/wiki/Anil_V_Kumar" TargetMode="External" Id="rId266" /><Relationship Type="http://schemas.openxmlformats.org/officeDocument/2006/relationships/hyperlink" Target="https://en.wikipedia.org/wiki/Ankit_Tiwari" TargetMode="External" Id="rId267" /><Relationship Type="http://schemas.openxmlformats.org/officeDocument/2006/relationships/hyperlink" Target="https://en.wikipedia.org/wiki/Anubhav_Sinha" TargetMode="External" Id="rId268" /><Relationship Type="http://schemas.openxmlformats.org/officeDocument/2006/relationships/hyperlink" Target="https://en.wikipedia.org/wiki/Anurag_Basu" TargetMode="External" Id="rId269" /><Relationship Type="http://schemas.openxmlformats.org/officeDocument/2006/relationships/hyperlink" Target="https://en.wikipedia.org/wiki/Anurag_Saikia" TargetMode="External" Id="rId270" /><Relationship Type="http://schemas.openxmlformats.org/officeDocument/2006/relationships/hyperlink" Target="https://en.wikipedia.org/wiki/Anvita_Dutt" TargetMode="External" Id="rId271" /><Relationship Type="http://schemas.openxmlformats.org/officeDocument/2006/relationships/hyperlink" Target="https://en.wikipedia.org/wiki/Arindam_Chaudhuri" TargetMode="External" Id="rId272" /><Relationship Type="http://schemas.openxmlformats.org/officeDocument/2006/relationships/hyperlink" Target="https://en.wikipedia.org/wiki/Arjun_Hingorani" TargetMode="External" Id="rId273" /><Relationship Type="http://schemas.openxmlformats.org/officeDocument/2006/relationships/hyperlink" Target="https://en.wikipedia.org/wiki/Arun_Kaul" TargetMode="External" Id="rId274" /><Relationship Type="http://schemas.openxmlformats.org/officeDocument/2006/relationships/hyperlink" Target="https://en.wikipedia.org/wiki/Badshah_(rapper)" TargetMode="External" Id="rId275" /><Relationship Type="http://schemas.openxmlformats.org/officeDocument/2006/relationships/hyperlink" Target="https://en.wikipedia.org/wiki/Benny_Dayal" TargetMode="External" Id="rId276" /><Relationship Type="http://schemas.openxmlformats.org/officeDocument/2006/relationships/hyperlink" Target="https://en.wikipedia.org/wiki/Bhappi_Sonie" TargetMode="External" Id="rId277" /><Relationship Type="http://schemas.openxmlformats.org/officeDocument/2006/relationships/hyperlink" Target="https://en.wikipedia.org/wiki/Binod_Pradhan" TargetMode="External" Id="rId278" /><Relationship Type="http://schemas.openxmlformats.org/officeDocument/2006/relationships/hyperlink" Target="https://en.wikipedia.org/wiki/Clinton_Cerejo" TargetMode="External" Id="rId279" /><Relationship Type="http://schemas.openxmlformats.org/officeDocument/2006/relationships/hyperlink" Target="https://en.wikipedia.org/wiki/DAR_Motion_Pictures" TargetMode="External" Id="rId280" /><Relationship Type="http://schemas.openxmlformats.org/officeDocument/2006/relationships/hyperlink" Target="https://en.wikipedia.org/wiki/Daboo_Malik" TargetMode="External" Id="rId281" /><Relationship Type="http://schemas.openxmlformats.org/officeDocument/2006/relationships/hyperlink" Target="https://en.wikipedia.org/wiki/Deepak_Sareen" TargetMode="External" Id="rId282" /><Relationship Type="http://schemas.openxmlformats.org/officeDocument/2006/relationships/hyperlink" Target="https://en.wikipedia.org/wiki/Dev_Anand" TargetMode="External" Id="rId283" /><Relationship Type="http://schemas.openxmlformats.org/officeDocument/2006/relationships/hyperlink" Target="https://en.wikipedia.org/wiki/Devika_Bhagat" TargetMode="External" Id="rId284" /><Relationship Type="http://schemas.openxmlformats.org/officeDocument/2006/relationships/hyperlink" Target="https://en.wikipedia.org/wiki/Dinesh_Vijan" TargetMode="External" Id="rId285" /><Relationship Type="http://schemas.openxmlformats.org/officeDocument/2006/relationships/hyperlink" Target="https://en.wikipedia.org/wiki/Divya_Khosla_Kumar" TargetMode="External" Id="rId286" /><Relationship Type="http://schemas.openxmlformats.org/officeDocument/2006/relationships/hyperlink" Target="https://en.wikipedia.org/wiki/Ekta_Kapoor" TargetMode="External" Id="rId287" /><Relationship Type="http://schemas.openxmlformats.org/officeDocument/2006/relationships/hyperlink" Target="https://en.wikipedia.org/wiki/Emmay_Entertainment" TargetMode="External" Id="rId288" /><Relationship Type="http://schemas.openxmlformats.org/officeDocument/2006/relationships/hyperlink" Target="https://en.wikipedia.org/wiki/Eros_International" TargetMode="External" Id="rId289" /><Relationship Type="http://schemas.openxmlformats.org/officeDocument/2006/relationships/hyperlink" Target="https://en.wikipedia.org/wiki/Farah_Khan" TargetMode="External" Id="rId290" /><Relationship Type="http://schemas.openxmlformats.org/officeDocument/2006/relationships/hyperlink" Target="https://en.wikipedia.org/wiki/G._P._Sippy" TargetMode="External" Id="rId291" /><Relationship Type="http://schemas.openxmlformats.org/officeDocument/2006/relationships/hyperlink" Target="https://en.wikipedia.org/wiki/Gennadi_Vasilyev" TargetMode="External" Id="rId292" /><Relationship Type="http://schemas.openxmlformats.org/officeDocument/2006/relationships/hyperlink" Target="https://en.wikipedia.org/wiki/Gorky_Film_Studio" TargetMode="External" Id="rId293" /><Relationship Type="http://schemas.openxmlformats.org/officeDocument/2006/relationships/hyperlink" Target="https://en.wikipedia.org/wiki/Guddu_Dhanoa" TargetMode="External" Id="rId294" /><Relationship Type="http://schemas.openxmlformats.org/officeDocument/2006/relationships/hyperlink" Target="https://en.wikipedia.org/wiki/Gulab_Singh_Tanwar" TargetMode="External" Id="rId295" /><Relationship Type="http://schemas.openxmlformats.org/officeDocument/2006/relationships/hyperlink" Target="https://en.wikipedia.org/wiki/Haseena_Moin" TargetMode="External" Id="rId296" /><Relationship Type="http://schemas.openxmlformats.org/officeDocument/2006/relationships/hyperlink" Target="https://en.wikipedia.org/wiki/Hema_Malini" TargetMode="External" Id="rId297" /><Relationship Type="http://schemas.openxmlformats.org/officeDocument/2006/relationships/hyperlink" Target="https://en.wikipedia.org/wiki/Hriday_Shetty" TargetMode="External" Id="rId298" /><Relationship Type="http://schemas.openxmlformats.org/officeDocument/2006/relationships/hyperlink" Target="https://en.wikipedia.org/wiki/Hussain_Dalal" TargetMode="External" Id="rId299" /><Relationship Type="http://schemas.openxmlformats.org/officeDocument/2006/relationships/hyperlink" Target="https://en.wikipedia.org/wiki/Ismail_Darbar" TargetMode="External" Id="rId300" /><Relationship Type="http://schemas.openxmlformats.org/officeDocument/2006/relationships/hyperlink" Target="https://en.wikipedia.org/wiki/J._P._Dutta" TargetMode="External" Id="rId301" /><Relationship Type="http://schemas.openxmlformats.org/officeDocument/2006/relationships/hyperlink" Target="https://en.wikipedia.org/wiki/Imtiaz_Ali_(director)" TargetMode="External" Id="rId302" /><Relationship Type="http://schemas.openxmlformats.org/officeDocument/2006/relationships/hyperlink" Target="https://en.wikipedia.org/wiki/Jaideep_Sahni" TargetMode="External" Id="rId303" /><Relationship Type="http://schemas.openxmlformats.org/officeDocument/2006/relationships/hyperlink" Target="https://en.wikipedia.org/wiki/Jaidev" TargetMode="External" Id="rId304" /><Relationship Type="http://schemas.openxmlformats.org/officeDocument/2006/relationships/hyperlink" Target="https://en.wikipedia.org/wiki/Jeet_Gannguli" TargetMode="External" Id="rId305" /><Relationship Type="http://schemas.openxmlformats.org/officeDocument/2006/relationships/hyperlink" Target="https://en.wikipedia.org/wiki/Jeetendra" TargetMode="External" Id="rId306" /><Relationship Type="http://schemas.openxmlformats.org/officeDocument/2006/relationships/hyperlink" Target="https://en.wikipedia.org/wiki/Jeethu_Joseph" TargetMode="External" Id="rId307" /><Relationship Type="http://schemas.openxmlformats.org/officeDocument/2006/relationships/hyperlink" Target="https://en.wikipedia.org/wiki/K._Bapayya" TargetMode="External" Id="rId308" /><Relationship Type="http://schemas.openxmlformats.org/officeDocument/2006/relationships/hyperlink" Target="https://en.wikipedia.org/wiki/K._Pappu" TargetMode="External" Id="rId309" /><Relationship Type="http://schemas.openxmlformats.org/officeDocument/2006/relationships/hyperlink" Target="https://en.wikipedia.org/wiki/K._Rangaraj" TargetMode="External" Id="rId310" /><Relationship Type="http://schemas.openxmlformats.org/officeDocument/2006/relationships/hyperlink" Target="https://en.wikipedia.org/wiki/K._Shankar" TargetMode="External" Id="rId311" /><Relationship Type="http://schemas.openxmlformats.org/officeDocument/2006/relationships/hyperlink" Target="https://en.wikipedia.org/wiki/K._Viswanath" TargetMode="External" Id="rId312" /><Relationship Type="http://schemas.openxmlformats.org/officeDocument/2006/relationships/hyperlink" Target="https://en.wikipedia.org/wiki/Kaleidoscope_Entertainment" TargetMode="External" Id="rId313" /><Relationship Type="http://schemas.openxmlformats.org/officeDocument/2006/relationships/hyperlink" Target="https://en.wikipedia.org/wiki/Karan_Malhotra" TargetMode="External" Id="rId314" /><Relationship Type="http://schemas.openxmlformats.org/officeDocument/2006/relationships/hyperlink" Target="https://en.wikipedia.org/wiki/Keshu_Ramsay" TargetMode="External" Id="rId315" /><Relationship Type="http://schemas.openxmlformats.org/officeDocument/2006/relationships/hyperlink" Target="https://en.wikipedia.org/wiki/Khalid_Mohamed" TargetMode="External" Id="rId316" /><Relationship Type="http://schemas.openxmlformats.org/officeDocument/2006/relationships/hyperlink" Target="https://en.wikipedia.org/wiki/Mohammed_Zahur_Khayyam" TargetMode="External" Id="rId317" /><Relationship Type="http://schemas.openxmlformats.org/officeDocument/2006/relationships/hyperlink" Target="https://en.wikipedia.org/wiki/Kiran_Ramsay" TargetMode="External" Id="rId318" /><Relationship Type="http://schemas.openxmlformats.org/officeDocument/2006/relationships/hyperlink" Target="https://en.wikipedia.org/wiki/Karim_Morani" TargetMode="External" Id="rId319" /><Relationship Type="http://schemas.openxmlformats.org/officeDocument/2006/relationships/hyperlink" Target="https://en.wikipedia.org/wiki/Leena_Yadav" TargetMode="External" Id="rId320" /><Relationship Type="http://schemas.openxmlformats.org/officeDocument/2006/relationships/hyperlink" Target="https://en.wikipedia.org/wiki/Lucky_Ali" TargetMode="External" Id="rId321" /><Relationship Type="http://schemas.openxmlformats.org/officeDocument/2006/relationships/hyperlink" Target="https://en.wikipedia.org/wiki/Madan_Mohan_(composer)" TargetMode="External" Id="rId322" /><Relationship Type="http://schemas.openxmlformats.org/officeDocument/2006/relationships/hyperlink" Target="https://en.wikipedia.org/wiki/Maddock_Films" TargetMode="External" Id="rId323" /><Relationship Type="http://schemas.openxmlformats.org/officeDocument/2006/relationships/hyperlink" Target="https://en.wikipedia.org/wiki/Mahesh_Bhatt" TargetMode="External" Id="rId324" /><Relationship Type="http://schemas.openxmlformats.org/officeDocument/2006/relationships/hyperlink" Target="https://en.wikipedia.org/wiki/Maneesh_Sharma" TargetMode="External" Id="rId325" /><Relationship Type="http://schemas.openxmlformats.org/officeDocument/2006/relationships/hyperlink" Target="https://en.wikipedia.org/wiki/Mani_Ratnam" TargetMode="External" Id="rId326" /><Relationship Type="http://schemas.openxmlformats.org/officeDocument/2006/relationships/hyperlink" Target="https://en.wikipedia.org/wiki/Manivannan" TargetMode="External" Id="rId327" /><Relationship Type="http://schemas.openxmlformats.org/officeDocument/2006/relationships/hyperlink" Target="https://en.wikipedia.org/wiki/Manmohan_Singh_(director)" TargetMode="External" Id="rId328" /><Relationship Type="http://schemas.openxmlformats.org/officeDocument/2006/relationships/hyperlink" Target="https://en.wikipedia.org/wiki/Mayur_Puri" TargetMode="External" Id="rId329" /><Relationship Type="http://schemas.openxmlformats.org/officeDocument/2006/relationships/hyperlink" Target="https://en.wikipedia.org/wiki/Mehboob_Studio" TargetMode="External" Id="rId330" /><Relationship Type="http://schemas.openxmlformats.org/officeDocument/2006/relationships/hyperlink" Target="https://en.wikipedia.org/wiki/Mehmood_(actor)" TargetMode="External" Id="rId331" /><Relationship Type="http://schemas.openxmlformats.org/officeDocument/2006/relationships/hyperlink" Target="https://en.wikipedia.org/wiki/Mukta_Arts" TargetMode="External" Id="rId332" /><Relationship Type="http://schemas.openxmlformats.org/officeDocument/2006/relationships/hyperlink" Target="https://en.wikipedia.org/wiki/Mushtaq_Shiekh" TargetMode="External" Id="rId333" /><Relationship Type="http://schemas.openxmlformats.org/officeDocument/2006/relationships/hyperlink" Target="https://en.wikipedia.org/wiki/Nadiadwala_Grandson_Entertainment" TargetMode="External" Id="rId334" /><Relationship Type="http://schemas.openxmlformats.org/officeDocument/2006/relationships/hyperlink" Target="https://en.wikipedia.org/wiki/Nandita_Das" TargetMode="External" Id="rId335" /><Relationship Type="http://schemas.openxmlformats.org/officeDocument/2006/relationships/hyperlink" Target="https://en.wikipedia.org/wiki/Narendra_Bedi" TargetMode="External" Id="rId336" /><Relationship Type="http://schemas.openxmlformats.org/officeDocument/2006/relationships/hyperlink" Target="https://en.wikipedia.org/wiki/Nikhil-Vinay" TargetMode="External" Id="rId337" /><Relationship Type="http://schemas.openxmlformats.org/officeDocument/2006/relationships/hyperlink" Target="https://en.wikipedia.org/wiki/Niranjan_Iyengar" TargetMode="External" Id="rId338" /><Relationship Type="http://schemas.openxmlformats.org/officeDocument/2006/relationships/hyperlink" Target="https://en.wikipedia.org/wiki/Niren_Bhatt" TargetMode="External" Id="rId339" /><Relationship Type="http://schemas.openxmlformats.org/officeDocument/2006/relationships/hyperlink" Target="https://en.wikipedia.org/wiki/Nishi_(actress)" TargetMode="External" Id="rId340" /><Relationship Type="http://schemas.openxmlformats.org/officeDocument/2006/relationships/hyperlink" Target="https://en.wikipedia.org/wiki/Nucleya" TargetMode="External" Id="rId341" /><Relationship Type="http://schemas.openxmlformats.org/officeDocument/2006/relationships/hyperlink" Target="https://en.wikipedia.org/wiki/Mushtaq_Jalili" TargetMode="External" Id="rId342" /><Relationship Type="http://schemas.openxmlformats.org/officeDocument/2006/relationships/hyperlink" Target="https://en.wikipedia.org/wiki/Nupur_Asthana" TargetMode="External" Id="rId343" /><Relationship Type="http://schemas.openxmlformats.org/officeDocument/2006/relationships/hyperlink" Target="https://en.wikipedia.org/wiki/Nutan" TargetMode="External" Id="rId344" /><Relationship Type="http://schemas.openxmlformats.org/officeDocument/2006/relationships/hyperlink" Target="https://en.wikipedia.org/wiki/Oriol_Paulo" TargetMode="External" Id="rId345" /><Relationship Type="http://schemas.openxmlformats.org/officeDocument/2006/relationships/hyperlink" Target="https://en.wikipedia.org/wiki/P._Madhavan" TargetMode="External" Id="rId346" /><Relationship Type="http://schemas.openxmlformats.org/officeDocument/2006/relationships/hyperlink" Target="https://en.wikipedia.org/wiki/Palagummi_Padmaraju" TargetMode="External" Id="rId347" /><Relationship Type="http://schemas.openxmlformats.org/officeDocument/2006/relationships/hyperlink" Target="https://en.wikipedia.org/wiki/Pamela_Chopra" TargetMode="External" Id="rId348" /><Relationship Type="http://schemas.openxmlformats.org/officeDocument/2006/relationships/hyperlink" Target="https://en.wikipedia.org/wiki/Partho_Ghosh" TargetMode="External" Id="rId349" /><Relationship Type="http://schemas.openxmlformats.org/officeDocument/2006/relationships/hyperlink" Target="https://en.wikipedia.org/wiki/Percept_Picture_Company" TargetMode="External" Id="rId350" /><Relationship Type="http://schemas.openxmlformats.org/officeDocument/2006/relationships/hyperlink" Target="https://en.wikipedia.org/wiki/Pooja_Entertainment" TargetMode="External" Id="rId351" /><Relationship Type="http://schemas.openxmlformats.org/officeDocument/2006/relationships/hyperlink" Target="https://en.wikipedia.org/wiki/Pramod_Chakravorty" TargetMode="External" Id="rId352" /><Relationship Type="http://schemas.openxmlformats.org/officeDocument/2006/relationships/hyperlink" Target="https://en.wikipedia.org/wiki/Prasoon_Joshi" TargetMode="External" Id="rId353" /><Relationship Type="http://schemas.openxmlformats.org/officeDocument/2006/relationships/hyperlink" Target="https://en.wikipedia.org/wiki/Pritish_Nandy" TargetMode="External" Id="rId354" /><Relationship Type="http://schemas.openxmlformats.org/officeDocument/2006/relationships/hyperlink" Target="https://en.wikipedia.org/wiki/Puttanna_Kanagal" TargetMode="External" Id="rId355" /><Relationship Type="http://schemas.openxmlformats.org/officeDocument/2006/relationships/hyperlink" Target="https://en.wikipedia.org/wiki/Pyramid_Saimira" TargetMode="External" Id="rId356" /><Relationship Type="http://schemas.openxmlformats.org/officeDocument/2006/relationships/hyperlink" Target="https://en.wikipedia.org/wiki/Raamlaxman" TargetMode="External" Id="rId357" /><Relationship Type="http://schemas.openxmlformats.org/officeDocument/2006/relationships/hyperlink" Target="https://en.wikipedia.org/wiki/Raftaar" TargetMode="External" Id="rId358" /><Relationship Type="http://schemas.openxmlformats.org/officeDocument/2006/relationships/hyperlink" Target="https://en.wikipedia.org/wiki/Raghu_Dixit" TargetMode="External" Id="rId359" /><Relationship Type="http://schemas.openxmlformats.org/officeDocument/2006/relationships/hyperlink" Target="https://en.wikipedia.org/wiki/Rahul_Jain_(singer)" TargetMode="External" Id="rId360" /><Relationship Type="http://schemas.openxmlformats.org/officeDocument/2006/relationships/hyperlink" Target="https://en.wikipedia.org/wiki/Rajendra_Krishan" TargetMode="External" Id="rId361" /><Relationship Type="http://schemas.openxmlformats.org/officeDocument/2006/relationships/hyperlink" Target="https://en.wikipedia.org/wiki/Rajinder_Singh_Bedi" TargetMode="External" Id="rId362" /><Relationship Type="http://schemas.openxmlformats.org/officeDocument/2006/relationships/hyperlink" Target="https://en.wikipedia.org/wiki/Rajkumar_Kohli" TargetMode="External" Id="rId363" /><Relationship Type="http://schemas.openxmlformats.org/officeDocument/2006/relationships/hyperlink" Target="https://en.wikipedia.org/wiki/Rakeysh_Omprakash_Mehra" TargetMode="External" Id="rId364" /><Relationship Type="http://schemas.openxmlformats.org/officeDocument/2006/relationships/hyperlink" Target="https://en.wikipedia.org/wiki/Raj_Khosla" TargetMode="External" Id="rId365" /><Relationship Type="http://schemas.openxmlformats.org/officeDocument/2006/relationships/hyperlink" Target="https://en.wikipedia.org/wiki/Raj_N._Sippy" TargetMode="External" Id="rId366" /><Relationship Type="http://schemas.openxmlformats.org/officeDocument/2006/relationships/hyperlink" Target="https://en.wikipedia.org/wiki/Ramesh_Behl" TargetMode="External" Id="rId367" /><Relationship Type="http://schemas.openxmlformats.org/officeDocument/2006/relationships/hyperlink" Target="https://en.wikipedia.org/wiki/Ramesh_Sippy" TargetMode="External" Id="rId368" /><Relationship Type="http://schemas.openxmlformats.org/officeDocument/2006/relationships/hyperlink" Target="https://en.wikipedia.org/wiki/Ratan_Khatri" TargetMode="External" Id="rId369" /><Relationship Type="http://schemas.openxmlformats.org/officeDocument/2006/relationships/hyperlink" Target="https://en.wikipedia.org/wiki/Ray_Panthaki" TargetMode="External" Id="rId370" /><Relationship Type="http://schemas.openxmlformats.org/officeDocument/2006/relationships/hyperlink" Target="https://en.wikipedia.org/wiki/Reema_Rakesh_Nath" TargetMode="External" Id="rId371" /><Relationship Type="http://schemas.openxmlformats.org/officeDocument/2006/relationships/hyperlink" Target="https://en.wikipedia.org/wiki/Rensil_D%27Silva" TargetMode="External" Id="rId372" /><Relationship Type="http://schemas.openxmlformats.org/officeDocument/2006/relationships/hyperlink" Target="https://en.wikipedia.org/wiki/Ritesh_Shah" TargetMode="External" Id="rId373" /><Relationship Type="http://schemas.openxmlformats.org/officeDocument/2006/relationships/hyperlink" Target="https://en.wikipedia.org/wiki/Robin_Bhatt" TargetMode="External" Id="rId374" /><Relationship Type="http://schemas.openxmlformats.org/officeDocument/2006/relationships/hyperlink" Target="https://en.wikipedia.org/wiki/Rohena_Gera" TargetMode="External" Id="rId375" /><Relationship Type="http://schemas.openxmlformats.org/officeDocument/2006/relationships/hyperlink" Target="https://en.wikipedia.org/wiki/Ronnie_Screwvala" TargetMode="External" Id="rId376" /><Relationship Type="http://schemas.openxmlformats.org/officeDocument/2006/relationships/hyperlink" Target="https://en.wikipedia.org/wiki/S._A._Chandrasekhar" TargetMode="External" Id="rId377" /><Relationship Type="http://schemas.openxmlformats.org/officeDocument/2006/relationships/hyperlink" Target="https://en.wikipedia.org/wiki/S._D._Burman" TargetMode="External" Id="rId378" /><Relationship Type="http://schemas.openxmlformats.org/officeDocument/2006/relationships/hyperlink" Target="https://en.wikipedia.org/wiki/S._M._Abbas" TargetMode="External" Id="rId379" /><Relationship Type="http://schemas.openxmlformats.org/officeDocument/2006/relationships/hyperlink" Target="https://en.wikipedia.org/wiki/Sachin%E2%80%93Jigar" TargetMode="External" Id="rId380" /><Relationship Type="http://schemas.openxmlformats.org/officeDocument/2006/relationships/hyperlink" Target="https://en.wikipedia.org/wiki/Saif_Ali_Khan" TargetMode="External" Id="rId381" /><Relationship Type="http://schemas.openxmlformats.org/officeDocument/2006/relationships/hyperlink" Target="https://en.wikipedia.org/wiki/Sajid_Khan_(director)" TargetMode="External" Id="rId382" /><Relationship Type="http://schemas.openxmlformats.org/officeDocument/2006/relationships/hyperlink" Target="https://en.wikipedia.org/wiki/Sajid_Nadiadwala" TargetMode="External" Id="rId383" /><Relationship Type="http://schemas.openxmlformats.org/officeDocument/2006/relationships/hyperlink" Target="https://en.wikipedia.org/wiki/Salim_Khan" TargetMode="External" Id="rId384" /><Relationship Type="http://schemas.openxmlformats.org/officeDocument/2006/relationships/hyperlink" Target="https://en.wikipedia.org/wiki/Samir_Ganguly" TargetMode="External" Id="rId385" /><Relationship Type="http://schemas.openxmlformats.org/officeDocument/2006/relationships/hyperlink" Target="https://en.wikipedia.org/wiki/Sandesh_Shandilya" TargetMode="External" Id="rId386" /><Relationship Type="http://schemas.openxmlformats.org/officeDocument/2006/relationships/hyperlink" Target="https://en.wikipedia.org/wiki/Sandow_M._M._A._Chinnappa_Thevar" TargetMode="External" Id="rId387" /><Relationship Type="http://schemas.openxmlformats.org/officeDocument/2006/relationships/hyperlink" Target="https://en.wikipedia.org/wiki/Sanjay_Chhel" TargetMode="External" Id="rId388" /><Relationship Type="http://schemas.openxmlformats.org/officeDocument/2006/relationships/hyperlink" Target="https://en.wikipedia.org/wiki/Sanjoy_Chowdhury" TargetMode="External" Id="rId389" /><Relationship Type="http://schemas.openxmlformats.org/officeDocument/2006/relationships/hyperlink" Target="https://en.wikipedia.org/wiki/Santosh_Anand" TargetMode="External" Id="rId390" /><Relationship Type="http://schemas.openxmlformats.org/officeDocument/2006/relationships/hyperlink" Target="https://en.wikipedia.org/wiki/Santosh_Saroj" TargetMode="External" Id="rId391" /><Relationship Type="http://schemas.openxmlformats.org/officeDocument/2006/relationships/hyperlink" Target="https://en.wikipedia.org/wiki/Saumya_Joshi" TargetMode="External" Id="rId392" /><Relationship Type="http://schemas.openxmlformats.org/officeDocument/2006/relationships/hyperlink" Target="https://en.wikipedia.org/wiki/Shafi_Inamdar" TargetMode="External" Id="rId393" /><Relationship Type="http://schemas.openxmlformats.org/officeDocument/2006/relationships/hyperlink" Target="https://en.wikipedia.org/wiki/Shakun_Batra" TargetMode="External" Id="rId394" /><Relationship Type="http://schemas.openxmlformats.org/officeDocument/2006/relationships/hyperlink" Target="https://en.wikipedia.org/wiki/Shamir_Tandon" TargetMode="External" Id="rId395" /><Relationship Type="http://schemas.openxmlformats.org/officeDocument/2006/relationships/hyperlink" Target="https://en.wikipedia.org/wiki/Shashi_Kapoor" TargetMode="External" Id="rId396" /><Relationship Type="http://schemas.openxmlformats.org/officeDocument/2006/relationships/hyperlink" Target="https://en.wikipedia.org/wiki/Shibani_Bathija" TargetMode="External" Id="rId397" /><Relationship Type="http://schemas.openxmlformats.org/officeDocument/2006/relationships/hyperlink" Target="https://en.wikipedia.org/wiki/Shoba_Chandrasekhar" TargetMode="External" Id="rId398" /><Relationship Type="http://schemas.openxmlformats.org/officeDocument/2006/relationships/hyperlink" Target="https://en.wikipedia.org/wiki/Shobha_Kapoor" TargetMode="External" Id="rId399" /><Relationship Type="http://schemas.openxmlformats.org/officeDocument/2006/relationships/hyperlink" Target="https://en.wikipedia.org/wiki/Shyam_Goel" TargetMode="External" Id="rId400" /><Relationship Type="http://schemas.openxmlformats.org/officeDocument/2006/relationships/hyperlink" Target="https://en.wikipedia.org/wiki/Siddharth_Anand" TargetMode="External" Id="rId401" /><Relationship Type="http://schemas.openxmlformats.org/officeDocument/2006/relationships/hyperlink" Target="https://en.wikipedia.org/wiki/Smeep_Kang" TargetMode="External" Id="rId402" /><Relationship Type="http://schemas.openxmlformats.org/officeDocument/2006/relationships/hyperlink" Target="https://en.wikipedia.org/wiki/Subhash_Kapoor" TargetMode="External" Id="rId403" /><Relationship Type="http://schemas.openxmlformats.org/officeDocument/2006/relationships/hyperlink" Target="https://en.wikipedia.org/wiki/Farebi" TargetMode="External" Id="rId404" /><Relationship Type="http://schemas.openxmlformats.org/officeDocument/2006/relationships/hyperlink" Target="https://en.wikipedia.org/wiki/Sudhir_Mishra" TargetMode="External" Id="rId405" /><Relationship Type="http://schemas.openxmlformats.org/officeDocument/2006/relationships/hyperlink" Target="https://en.wikipedia.org/wiki/Sujit_Kumar" TargetMode="External" Id="rId406" /><Relationship Type="http://schemas.openxmlformats.org/officeDocument/2006/relationships/hyperlink" Target="https://en.wikipedia.org/wiki/Sumit_Arora" TargetMode="External" Id="rId407" /><Relationship Type="http://schemas.openxmlformats.org/officeDocument/2006/relationships/hyperlink" Target="https://en.wikipedia.org/wiki/Surinder_Kapoor" TargetMode="External" Id="rId408" /><Relationship Type="http://schemas.openxmlformats.org/officeDocument/2006/relationships/hyperlink" Target="https://en.wikipedia.org/wiki/Surinder_Sodhi" TargetMode="External" Id="rId409" /><Relationship Type="http://schemas.openxmlformats.org/officeDocument/2006/relationships/hyperlink" Target="https://en.wikipedia.org/wiki/Sushma_Ahuja" TargetMode="External" Id="rId410" /><Relationship Type="http://schemas.openxmlformats.org/officeDocument/2006/relationships/hyperlink" Target="https://en.wikipedia.org/wiki/T-Series_(company)" TargetMode="External" Id="rId411" /><Relationship Type="http://schemas.openxmlformats.org/officeDocument/2006/relationships/hyperlink" Target="https://en.wikipedia.org/wiki/T._R._Subba_Rao" TargetMode="External" Id="rId412" /><Relationship Type="http://schemas.openxmlformats.org/officeDocument/2006/relationships/hyperlink" Target="https://en.wikipedia.org/wiki/Tushar_Hiranandani" TargetMode="External" Id="rId413" /><Relationship Type="http://schemas.openxmlformats.org/officeDocument/2006/relationships/hyperlink" Target="https://en.wikipedia.org/wiki/Twinkle_Khanna" TargetMode="External" Id="rId414" /><Relationship Type="http://schemas.openxmlformats.org/officeDocument/2006/relationships/hyperlink" Target="https://en.wikipedia.org/wiki/Usha_Khanna" TargetMode="External" Id="rId415" /><Relationship Type="http://schemas.openxmlformats.org/officeDocument/2006/relationships/hyperlink" Target="https://en.wikipedia.org/wiki/Uttank_Vora" TargetMode="External" Id="rId416" /><Relationship Type="http://schemas.openxmlformats.org/officeDocument/2006/relationships/hyperlink" Target="https://en.wikipedia.org/wiki/V._D._Kalra" TargetMode="External" Id="rId417" /><Relationship Type="http://schemas.openxmlformats.org/officeDocument/2006/relationships/hyperlink" Target="https://en.wikipedia.org/wiki/Valentin_Yezhov" TargetMode="External" Id="rId418" /><Relationship Type="http://schemas.openxmlformats.org/officeDocument/2006/relationships/hyperlink" Target="https://en.wikipedia.org/wiki/Vashu_Bhagnani" TargetMode="External" Id="rId419" /><Relationship Type="http://schemas.openxmlformats.org/officeDocument/2006/relationships/hyperlink" Target="https://en.wikipedia.org/wiki/Veeru_Devgan" TargetMode="External" Id="rId420" /><Relationship Type="http://schemas.openxmlformats.org/officeDocument/2006/relationships/hyperlink" Target="https://en.wikipedia.org/wiki/Venus_Records_%26_Tapes" TargetMode="External" Id="rId421" /><Relationship Type="http://schemas.openxmlformats.org/officeDocument/2006/relationships/hyperlink" Target="https://en.wikipedia.org/wiki/Vinod_Mehra" TargetMode="External" Id="rId422" /><Relationship Type="http://schemas.openxmlformats.org/officeDocument/2006/relationships/hyperlink" Target="https://en.wikipedia.org/wiki/Vipul_Amrutlal_Shah" TargetMode="External" Id="rId423" /><Relationship Type="http://schemas.openxmlformats.org/officeDocument/2006/relationships/hyperlink" Target="https://en.wikipedia.org/wiki/Vivek_Sharma" TargetMode="External" Id="rId424" /><Relationship Type="http://schemas.openxmlformats.org/officeDocument/2006/relationships/hyperlink" Target="https://en.wikipedia.org/wiki/Walt_Disney_Pictures" TargetMode="External" Id="rId425" /><Relationship Type="http://schemas.openxmlformats.org/officeDocument/2006/relationships/hyperlink" Target="https://en.wikipedia.org/wiki/Yash_Johar" TargetMode="External" Id="rId426" /><Relationship Type="http://schemas.openxmlformats.org/officeDocument/2006/relationships/hyperlink" Target="https://en.wikipedia.org/wiki/Yo_Yo_Honey_Singh" TargetMode="External" Id="rId427" /><Relationship Type="http://schemas.openxmlformats.org/officeDocument/2006/relationships/hyperlink" Target="https://en.wikipedia.org/wiki/Zakir_Hussain_(musician)" TargetMode="External" Id="rId428" /><Relationship Type="http://schemas.openxmlformats.org/officeDocument/2006/relationships/hyperlink" Target="https://en.wikipedia.org/wiki/Zoya_Akhtar" TargetMode="External" Id="rId429" /><Relationship Type="http://schemas.openxmlformats.org/officeDocument/2006/relationships/hyperlink" Target="https://en.wikipedia.org/wiki/3rd_National_Film_Awards" TargetMode="External" Id="rId430" /><Relationship Type="http://schemas.openxmlformats.org/officeDocument/2006/relationships/hyperlink" Target="https://en.wikipedia.org/wiki/4th_Filmfare_Awards" TargetMode="External" Id="rId431" /><Relationship Type="http://schemas.openxmlformats.org/officeDocument/2006/relationships/hyperlink" Target="https://en.wikipedia.org/wiki/18th_National_Film_Awards" TargetMode="External" Id="rId432" /><Relationship Type="http://schemas.openxmlformats.org/officeDocument/2006/relationships/hyperlink" Target="https://en.wikipedia.org/wiki/19th_Filmfare_Awards" TargetMode="External" Id="rId433" /><Relationship Type="http://schemas.openxmlformats.org/officeDocument/2006/relationships/hyperlink" Target="https://en.wikipedia.org/wiki/21st_Filmfare_Awards" TargetMode="External" Id="rId434" /><Relationship Type="http://schemas.openxmlformats.org/officeDocument/2006/relationships/hyperlink" Target="https://en.wikipedia.org/wiki/23rd_Filmfare_Awards" TargetMode="External" Id="rId435" /><Relationship Type="http://schemas.openxmlformats.org/officeDocument/2006/relationships/hyperlink" Target="https://en.wikipedia.org/wiki/24th_Filmfare_Awards" TargetMode="External" Id="rId436" /><Relationship Type="http://schemas.openxmlformats.org/officeDocument/2006/relationships/hyperlink" Target="https://en.wikipedia.org/wiki/25th_Filmfare_Awards" TargetMode="External" Id="rId437" /><Relationship Type="http://schemas.openxmlformats.org/officeDocument/2006/relationships/hyperlink" Target="https://en.wikipedia.org/wiki/25th_National_Film_Awards" TargetMode="External" Id="rId438" /><Relationship Type="http://schemas.openxmlformats.org/officeDocument/2006/relationships/hyperlink" Target="https://en.wikipedia.org/wiki/26th_Filmfare_Awards" TargetMode="External" Id="rId439" /><Relationship Type="http://schemas.openxmlformats.org/officeDocument/2006/relationships/hyperlink" Target="https://en.wikipedia.org/wiki/27th_Filmfare_Awards" TargetMode="External" Id="rId440" /><Relationship Type="http://schemas.openxmlformats.org/officeDocument/2006/relationships/hyperlink" Target="https://en.wikipedia.org/wiki/28th_Filmfare_Awards" TargetMode="External" Id="rId441" /><Relationship Type="http://schemas.openxmlformats.org/officeDocument/2006/relationships/hyperlink" Target="https://en.wikipedia.org/wiki/29th_Filmfare_Awards" TargetMode="External" Id="rId442" /><Relationship Type="http://schemas.openxmlformats.org/officeDocument/2006/relationships/hyperlink" Target="https://en.wikipedia.org/wiki/30th_Filmfare_Awards" TargetMode="External" Id="rId443" /><Relationship Type="http://schemas.openxmlformats.org/officeDocument/2006/relationships/hyperlink" Target="https://en.wikipedia.org/wiki/31st_Filmfare_Awards" TargetMode="External" Id="rId444" /><Relationship Type="http://schemas.openxmlformats.org/officeDocument/2006/relationships/hyperlink" Target="https://en.wikipedia.org/wiki/33rd_Filmfare_Awards" TargetMode="External" Id="rId445" /><Relationship Type="http://schemas.openxmlformats.org/officeDocument/2006/relationships/hyperlink" Target="https://en.wikipedia.org/wiki/34th_Filmfare_Awards" TargetMode="External" Id="rId446" /><Relationship Type="http://schemas.openxmlformats.org/officeDocument/2006/relationships/hyperlink" Target="https://en.wikipedia.org/wiki/37th_National_Film_Awards" TargetMode="External" Id="rId447" /><Relationship Type="http://schemas.openxmlformats.org/officeDocument/2006/relationships/hyperlink" Target="https://en.wikipedia.org/wiki/35th_Filmfare_Awards" TargetMode="External" Id="rId448" /><Relationship Type="http://schemas.openxmlformats.org/officeDocument/2006/relationships/hyperlink" Target="https://en.wikipedia.org/wiki/37th_Filmfare_Awards" TargetMode="External" Id="rId449" /><Relationship Type="http://schemas.openxmlformats.org/officeDocument/2006/relationships/hyperlink" Target="https://en.wikipedia.org/wiki/38th_Filmfare_Awards" TargetMode="External" Id="rId450" /><Relationship Type="http://schemas.openxmlformats.org/officeDocument/2006/relationships/hyperlink" Target="https://en.wikipedia.org/wiki/40th_National_Film_Awards" TargetMode="External" Id="rId451" /><Relationship Type="http://schemas.openxmlformats.org/officeDocument/2006/relationships/hyperlink" Target="https://en.wikipedia.org/wiki/39th_Filmfare_Awards" TargetMode="External" Id="rId452" /><Relationship Type="http://schemas.openxmlformats.org/officeDocument/2006/relationships/hyperlink" Target="https://en.wikipedia.org/wiki/41st_Filmfare_Awards" TargetMode="External" Id="rId453" /><Relationship Type="http://schemas.openxmlformats.org/officeDocument/2006/relationships/hyperlink" Target="https://en.wikipedia.org/wiki/42nd_Filmfare_Awards" TargetMode="External" Id="rId454" /><Relationship Type="http://schemas.openxmlformats.org/officeDocument/2006/relationships/hyperlink" Target="https://en.wikipedia.org/wiki/49th_Filmfare_Awards" TargetMode="External" Id="rId455" /><Relationship Type="http://schemas.openxmlformats.org/officeDocument/2006/relationships/hyperlink" Target="https://en.wikipedia.org/wiki/52nd_National_Film_Awards" TargetMode="External" Id="rId456" /><Relationship Type="http://schemas.openxmlformats.org/officeDocument/2006/relationships/hyperlink" Target="https://en.wikipedia.org/wiki/50th_Filmfare_Awards" TargetMode="External" Id="rId457" /><Relationship Type="http://schemas.openxmlformats.org/officeDocument/2006/relationships/hyperlink" Target="https://en.wikipedia.org/wiki/52nd_Filmfare_Awards" TargetMode="External" Id="rId458" /><Relationship Type="http://schemas.openxmlformats.org/officeDocument/2006/relationships/hyperlink" Target="https://en.wikipedia.org/wiki/53rd_Filmfare_Awards" TargetMode="External" Id="rId459" /><Relationship Type="http://schemas.openxmlformats.org/officeDocument/2006/relationships/hyperlink" Target="https://en.wikipedia.org/wiki/55th_National_Film_Awards" TargetMode="External" Id="rId460" /><Relationship Type="http://schemas.openxmlformats.org/officeDocument/2006/relationships/hyperlink" Target="https://en.wikipedia.org/wiki/55th_Filmfare_Awards" TargetMode="External" Id="rId461" /><Relationship Type="http://schemas.openxmlformats.org/officeDocument/2006/relationships/hyperlink" Target="https://en.wikipedia.org/wiki/57th_National_Film_Awards" TargetMode="External" Id="rId462" /><Relationship Type="http://schemas.openxmlformats.org/officeDocument/2006/relationships/hyperlink" Target="https://en.wikipedia.org/wiki/58th_National_Film_Awards" TargetMode="External" Id="rId463" /><Relationship Type="http://schemas.openxmlformats.org/officeDocument/2006/relationships/hyperlink" Target="https://en.wikipedia.org/wiki/56th_Filmfare_Awards" TargetMode="External" Id="rId464" /><Relationship Type="http://schemas.openxmlformats.org/officeDocument/2006/relationships/hyperlink" Target="https://en.wikipedia.org/wiki/58th_Filmfare_Awards" TargetMode="External" Id="rId465" /><Relationship Type="http://schemas.openxmlformats.org/officeDocument/2006/relationships/hyperlink" Target="https://en.wikipedia.org/wiki/59th_Filmfare_Awards" TargetMode="External" Id="rId466" /><Relationship Type="http://schemas.openxmlformats.org/officeDocument/2006/relationships/hyperlink" Target="https://en.wikipedia.org/wiki/62nd_Filmfare_Awards" TargetMode="External" Id="rId467" /><Relationship Type="http://schemas.openxmlformats.org/officeDocument/2006/relationships/hyperlink" Target="https://en.wikipedia.org/wiki/64th_Filmfare_Awards" TargetMode="External" Id="rId468" /></Relationships>
</file>

<file path=xl/worksheets/sheet1.xml><?xml version="1.0" encoding="utf-8"?>
<worksheet xmlns="http://schemas.openxmlformats.org/spreadsheetml/2006/main">
  <sheetPr>
    <outlinePr summaryBelow="1" summaryRight="1"/>
    <pageSetUpPr/>
  </sheetPr>
  <dimension ref="A1:AN72"/>
  <sheetViews>
    <sheetView workbookViewId="0">
      <selection activeCell="A1" sqref="A1"/>
    </sheetView>
  </sheetViews>
  <sheetFormatPr baseColWidth="8" defaultRowHeight="15"/>
  <cols>
    <col width="40" customWidth="1" min="1" max="1"/>
    <col width="38" customWidth="1" min="2" max="2"/>
    <col width="14" customWidth="1" min="3" max="3"/>
    <col width="52" customWidth="1" min="4" max="4"/>
    <col width="14" customWidth="1" min="5" max="5"/>
    <col width="3" customWidth="1" min="6" max="6"/>
    <col hidden="1" width="13" customWidth="1" min="40" max="40"/>
  </cols>
  <sheetData>
    <row r="1">
      <c r="A1" s="1" t="inlineStr">
        <is>
          <t>Rishi Kapoor: Filmography Overview</t>
        </is>
      </c>
      <c r="AN1" t="inlineStr">
        <is>
          <t>Overall Relationship Classification</t>
        </is>
      </c>
    </row>
    <row r="2">
      <c r="A2" s="2" t="inlineStr">
        <is>
          <t>Generated 2026-10-04 from the research files. Research cutoff: 2026-09-25. Released feature-film acting appearances by Rishi Kapoor (4 September 1952 - 30 April 2020), whose screen career runs from a child walk-on in his father Raj Kapoor's Shree 420 (1955) to the posthumously released Sharmaji Namkeen (2022). Includes lead, co-lead, supporting and antagonist roles, cameos and guest appearances, appearances as himself, child roles, and his English-language work (Don't Stop Dreaming and Sambar Salsa, both 2007). The spine is the Wikipedia article 'Rishi Kapoor filmography', which is a real article rather than a redirect; its acting table gives 163 rows, of which 160 are kept. Excluded: Ek Do Teen Chaar (1980), Vijay Anand's multi-starrer that was launched, scheduled for 3 October 1980 and never completed, and which the Shashi Kapoor run excluded for the same reason; Apna Ghar (1989), which the Shashi Kapoor filmography marks unreleased and whose role Rishi's own row gives as 'N/A'; and Raj Kapoor (1987), a documentary about his father in which he appears as himself. Also excluded, and not part of the acting table: Aa Ab Laut Chalen (1999), which he directed without acting in, and television, comprising the posthumous documentary series The Romantics (2023). Nine of the 160 films have no Wikipedia article of their own and carry only title, year and character from the filmography table plus whatever non-Wikipedia sourcing could be found: Gunahgaar (1980), Pahunche Huwey Log (1986), Hamara Khandaan (1988), Janam Janam (1988), Naqab (1989), Inteha Pyar Ki (1992), Sadhna (1993), Mohabbat Ki Arzoo (1994) and Jai Hind (1999). Three of those nine are article-less only because their titles redirect elsewhere, and each had to be caught by hand: Hamara Khandaan is a {{Redirect from film}} into [[List of Hindi films of 1988]]; Naqab is linked as [[Naqab 1989|Naqab]], a malformed target with no article under any spelling; and Janam Janam redirects to [[Dilwale (2015 film)#Soundtrack]] because it is the name of a song in that film, which silently attached Rohit Shetty's 2015 film to a 1988 Rishi Kapoor credit until the impossible release date exposed it. All three repairs are session-local and recorded in extract_config.json. Release year is the Indian theatrical year the filmography table and the film articles give. The Body (December 2019) was the last film released in his lifetime. Career phases below are provisional and should be revisited once phase 2 has filled the narrative and score fields. Awards scope: every result in which Rishi Kapoor is himself the recipient is recorded, from any organisation; all Filmfare and National Film Award results for his films are recorded in full, wins and nominations alike; and from every other organisation only film-level honours are recorded, meaning Best Film, Best Director and festival prizes to the film itself. Co-star, music and technical results from bodies such as IIFA, the Screen Awards, Zee Cine, Stardust, the Producers Guild and Mirchi are therefore deliberately absent, as are the two 1974 BFJA wins for Bobby and the Screen technical nominations for Raju Chacha. A festival selection is not an award, so Manto's Cannes Un Certain Regard berth is not given an Awards row, and Henna's selection as India's official Academy Award submission, which was not accepted as a nominee, is recorded in Films rather than Awards because it is neither a win nor a nomination.</t>
        </is>
      </c>
      <c r="AN2" t="inlineStr">
        <is>
          <t>Frictionless idealized romance</t>
        </is>
      </c>
    </row>
    <row r="3">
      <c r="AN3" t="inlineStr">
        <is>
          <t>United couple versus external world</t>
        </is>
      </c>
    </row>
    <row r="4">
      <c r="A4" s="3" t="inlineStr">
        <is>
          <t>Career summary</t>
        </is>
      </c>
      <c r="AN4" t="inlineStr">
        <is>
          <t>Friendship to love</t>
        </is>
      </c>
    </row>
    <row r="5">
      <c r="A5" s="4" t="inlineStr">
        <is>
          <t>Metric</t>
        </is>
      </c>
      <c r="B5" s="4" t="inlineStr">
        <is>
          <t>Value</t>
        </is>
      </c>
      <c r="C5" s="4" t="inlineStr">
        <is>
          <t>Method</t>
        </is>
      </c>
      <c r="D5" s="4" t="inlineStr">
        <is>
          <t>Notes</t>
        </is>
      </c>
      <c r="AN5" t="inlineStr">
        <is>
          <t>Rivals to lovers</t>
        </is>
      </c>
    </row>
    <row r="6" ht="19" customHeight="1">
      <c r="A6" s="5" t="inlineStr">
        <is>
          <t>Actor</t>
        </is>
      </c>
      <c r="B6" s="5" t="inlineStr">
        <is>
          <t>Rishi Kapoor</t>
        </is>
      </c>
      <c r="C6" s="5" t="inlineStr">
        <is>
          <t>Research file</t>
        </is>
      </c>
      <c r="D6" s="5" t="inlineStr"/>
      <c r="AN6" t="inlineStr">
        <is>
          <t>Playful conflict masking attraction</t>
        </is>
      </c>
    </row>
    <row r="7" ht="19" customHeight="1">
      <c r="A7" s="5" t="inlineStr">
        <is>
          <t>Career period</t>
        </is>
      </c>
      <c r="B7" s="5">
        <f>IF(COUNT(Films!$D$2:$D$161)=0,"n/a",MIN(Films!$D$2:$D$161)&amp;"–"&amp;MAX(Films!$D$2:$D$161))</f>
        <v/>
      </c>
      <c r="C7" s="5" t="inlineStr">
        <is>
          <t>Formula</t>
        </is>
      </c>
      <c r="D7" s="5" t="inlineStr">
        <is>
          <t>First to latest theatrical release year in Films</t>
        </is>
      </c>
      <c r="AN7" t="inlineStr">
        <is>
          <t>Genuine incompatibility gradually resolved</t>
        </is>
      </c>
    </row>
    <row r="8" ht="19" customHeight="1">
      <c r="A8" s="5" t="inlineStr">
        <is>
          <t>Research cutoff date</t>
        </is>
      </c>
      <c r="B8" s="6" t="n">
        <v>46290</v>
      </c>
      <c r="C8" s="5" t="inlineStr">
        <is>
          <t>Research file</t>
        </is>
      </c>
      <c r="D8" s="5" t="inlineStr"/>
      <c r="AN8" t="inlineStr">
        <is>
          <t>Established relationship</t>
        </is>
      </c>
    </row>
    <row r="9" ht="19" customHeight="1">
      <c r="A9" s="5" t="inlineStr">
        <is>
          <t>Total released acting films</t>
        </is>
      </c>
      <c r="B9" s="5">
        <f>COUNTA(Films!$A$2:$A$161)</f>
        <v/>
      </c>
      <c r="C9" s="5" t="inlineStr">
        <is>
          <t>Formula</t>
        </is>
      </c>
      <c r="D9" s="5" t="inlineStr"/>
      <c r="AN9" t="inlineStr">
        <is>
          <t>Marriage under strain</t>
        </is>
      </c>
    </row>
    <row r="10" ht="19" customHeight="1">
      <c r="A10" s="5" t="inlineStr">
        <is>
          <t>Lead and co-lead films</t>
        </is>
      </c>
      <c r="B10" s="5">
        <f>COUNTIF(Films!$T$2:$T$161,"Lead")+COUNTIF(Films!$T$2:$T$161,"Co-lead")+COUNTIF(Films!$T$2:$T$161,"Ensemble lead")</f>
        <v/>
      </c>
      <c r="C10" s="5" t="inlineStr">
        <is>
          <t>Formula</t>
        </is>
      </c>
      <c r="D10" s="5" t="inlineStr">
        <is>
          <t>Role Type: Lead, Co-lead, Ensemble lead</t>
        </is>
      </c>
      <c r="AN10" t="inlineStr">
        <is>
          <t>Relationship damaged by mistrust</t>
        </is>
      </c>
    </row>
    <row r="11" ht="19" customHeight="1">
      <c r="A11" s="5" t="inlineStr">
        <is>
          <t>Supporting roles</t>
        </is>
      </c>
      <c r="B11" s="5">
        <f>COUNTIF(Films!$T$2:$T$161,"Supporting")+COUNTIF(Films!$T$2:$T$161,"Antagonist")</f>
        <v/>
      </c>
      <c r="C11" s="5" t="inlineStr">
        <is>
          <t>Formula</t>
        </is>
      </c>
      <c r="D11" s="5" t="inlineStr">
        <is>
          <t>Role Type: Supporting, Antagonist</t>
        </is>
      </c>
      <c r="AN11" t="inlineStr">
        <is>
          <t>Relationship manipulated by outsiders</t>
        </is>
      </c>
    </row>
    <row r="12" ht="19" customHeight="1">
      <c r="A12" s="5" t="inlineStr">
        <is>
          <t>Cameos and special appearances</t>
        </is>
      </c>
      <c r="B12" s="5">
        <f>COUNTIF(Films!$T$2:$T$161,"Cameo")+COUNTIF(Films!$T$2:$T$161,"Extended special appearance")+COUNTIF(Films!$T$2:$T$161,"Self appearance")</f>
        <v/>
      </c>
      <c r="C12" s="5" t="inlineStr">
        <is>
          <t>Formula</t>
        </is>
      </c>
      <c r="D12" s="5" t="inlineStr">
        <is>
          <t>Role Type: Cameo, Extended special appearance, Self appearance</t>
        </is>
      </c>
      <c r="AN12" t="inlineStr">
        <is>
          <t>Forbidden love</t>
        </is>
      </c>
    </row>
    <row r="13" ht="19" customHeight="1">
      <c r="A13" s="5" t="inlineStr">
        <is>
          <t>Voice, narration and child roles</t>
        </is>
      </c>
      <c r="B13" s="5">
        <f>COUNTIF(Films!$T$2:$T$161,"Voice role")+COUNTIF(Films!$T$2:$T$161,"Narrator")+COUNTIF(Films!$T$2:$T$161,"Child role")</f>
        <v/>
      </c>
      <c r="C13" s="5" t="inlineStr">
        <is>
          <t>Formula</t>
        </is>
      </c>
      <c r="D13" s="5" t="inlineStr">
        <is>
          <t>Role Type: Voice role, Narrator, Child role</t>
        </is>
      </c>
      <c r="AN13" t="inlineStr">
        <is>
          <t>Unrequited love</t>
        </is>
      </c>
    </row>
    <row r="14" ht="19" customHeight="1">
      <c r="A14" s="5" t="inlineStr">
        <is>
          <t>Films with central romance</t>
        </is>
      </c>
      <c r="B14" s="5">
        <f>COUNTIF(Films!$AE$2:$AE$161,"Central")</f>
        <v/>
      </c>
      <c r="C14" s="5" t="inlineStr">
        <is>
          <t>Formula</t>
        </is>
      </c>
      <c r="D14" s="5" t="inlineStr">
        <is>
          <t>Romance Presence: Central</t>
        </is>
      </c>
      <c r="AN14" t="inlineStr">
        <is>
          <t>Love triangle</t>
        </is>
      </c>
    </row>
    <row r="15" ht="19" customHeight="1">
      <c r="A15" s="5" t="inlineStr">
        <is>
          <t>Films with major romance</t>
        </is>
      </c>
      <c r="B15" s="5">
        <f>COUNTIF(Films!$AE$2:$AE$161,"Major")</f>
        <v/>
      </c>
      <c r="C15" s="5" t="inlineStr">
        <is>
          <t>Formula</t>
        </is>
      </c>
      <c r="D15" s="5" t="inlineStr">
        <is>
          <t>Romance Presence: Major</t>
        </is>
      </c>
      <c r="AN15" t="inlineStr">
        <is>
          <t>Tragic lovers</t>
        </is>
      </c>
    </row>
    <row r="16" ht="19" customHeight="1">
      <c r="A16" s="5" t="inlineStr">
        <is>
          <t>Films with secondary romance</t>
        </is>
      </c>
      <c r="B16" s="5">
        <f>COUNTIF(Films!$AE$2:$AE$161,"Secondary")</f>
        <v/>
      </c>
      <c r="C16" s="5" t="inlineStr">
        <is>
          <t>Formula</t>
        </is>
      </c>
      <c r="D16" s="5" t="inlineStr">
        <is>
          <t>Romance Presence: Secondary</t>
        </is>
      </c>
      <c r="AN16" t="inlineStr">
        <is>
          <t>Unequal or coercive relationship</t>
        </is>
      </c>
    </row>
    <row r="17" ht="19" customHeight="1">
      <c r="A17" s="5" t="inlineStr">
        <is>
          <t>Films with minor or implied romance</t>
        </is>
      </c>
      <c r="B17" s="5">
        <f>COUNTIF(Films!$AE$2:$AE$161,"Minor")+COUNTIF(Films!$AE$2:$AE$161,"Implied")</f>
        <v/>
      </c>
      <c r="C17" s="5" t="inlineStr">
        <is>
          <t>Formula</t>
        </is>
      </c>
      <c r="D17" s="5" t="inlineStr">
        <is>
          <t>Romance Presence: Minor, Implied</t>
        </is>
      </c>
      <c r="AN17" t="inlineStr">
        <is>
          <t>Obsessive pursuit</t>
        </is>
      </c>
    </row>
    <row r="18" ht="19" customHeight="1">
      <c r="A18" s="5" t="inlineStr">
        <is>
          <t>Films without meaningful romance</t>
        </is>
      </c>
      <c r="B18" s="5">
        <f>COUNTIF(Films!$AE$2:$AE$161,"None")</f>
        <v/>
      </c>
      <c r="C18" s="5" t="inlineStr">
        <is>
          <t>Formula</t>
        </is>
      </c>
      <c r="D18" s="5" t="inlineStr">
        <is>
          <t>Romance Presence: None</t>
        </is>
      </c>
      <c r="AN18" t="inlineStr">
        <is>
          <t>Romance subordinate to another genre</t>
        </is>
      </c>
    </row>
    <row r="19" ht="19" customHeight="1">
      <c r="A19" s="5" t="inlineStr">
        <is>
          <t>Distinct principal female co-stars</t>
        </is>
      </c>
      <c r="B19" s="5" t="n">
        <v>58</v>
      </c>
      <c r="C19" s="5" t="inlineStr">
        <is>
          <t>Build script</t>
        </is>
      </c>
      <c r="D19" s="5" t="inlineStr">
        <is>
          <t>Distinct names in Principal Female Lead or Leads</t>
        </is>
      </c>
      <c r="AN19" t="inlineStr">
        <is>
          <t>Multiple romantic relationships</t>
        </is>
      </c>
    </row>
    <row r="20" ht="19" customHeight="1">
      <c r="A20" s="5" t="inlineStr">
        <is>
          <t>Romantic pairings recorded</t>
        </is>
      </c>
      <c r="B20" s="5">
        <f>COUNTA(Romances!$A$2:$A$91)</f>
        <v/>
      </c>
      <c r="C20" s="5" t="inlineStr">
        <is>
          <t>Formula</t>
        </is>
      </c>
      <c r="D20" s="5" t="inlineStr"/>
      <c r="AN20" t="inlineStr">
        <is>
          <t>No meaningful romance</t>
        </is>
      </c>
    </row>
    <row r="21" ht="19" customHeight="1">
      <c r="A21" s="5" t="inlineStr">
        <is>
          <t>Most frequent romantic co-star</t>
        </is>
      </c>
      <c r="B21" s="5" t="inlineStr">
        <is>
          <t>Neetu Singh (10 films)</t>
        </is>
      </c>
      <c r="C21" s="5" t="inlineStr">
        <is>
          <t>Build script</t>
        </is>
      </c>
      <c r="D21" s="5" t="inlineStr">
        <is>
          <t>Films with a Romances row for her</t>
        </is>
      </c>
    </row>
    <row r="22" ht="34" customHeight="1">
      <c r="A22" s="5" t="inlineStr">
        <is>
          <t>Most frequent director</t>
        </is>
      </c>
      <c r="B22" s="5" t="inlineStr">
        <is>
          <t>David Dhawan; Harmesh Malhotra; Kalpataru (5 films each)</t>
        </is>
      </c>
      <c r="C22" s="5" t="inlineStr">
        <is>
          <t>Build script</t>
        </is>
      </c>
      <c r="D22" s="5" t="inlineStr"/>
    </row>
    <row r="23" ht="19" customHeight="1">
      <c r="A23" s="5" t="inlineStr">
        <is>
          <t>Most frequent producer or production banner</t>
        </is>
      </c>
      <c r="B23" s="5" t="inlineStr">
        <is>
          <t>Yash Raj Films (11 films)</t>
        </is>
      </c>
      <c r="C23" s="5" t="inlineStr">
        <is>
          <t>Build script</t>
        </is>
      </c>
      <c r="D23" s="5" t="inlineStr">
        <is>
          <t>From Production Banner</t>
        </is>
      </c>
    </row>
    <row r="24" ht="19" customHeight="1">
      <c r="A24" s="5" t="inlineStr">
        <is>
          <t>Most frequent music director</t>
        </is>
      </c>
      <c r="B24" s="5" t="inlineStr">
        <is>
          <t>Laxmikant–Pyarelal (32 films)</t>
        </is>
      </c>
      <c r="C24" s="5" t="inlineStr">
        <is>
          <t>Build script</t>
        </is>
      </c>
      <c r="D24" s="5" t="inlineStr">
        <is>
          <t>From Song Composer</t>
        </is>
      </c>
    </row>
    <row r="25" ht="19" customHeight="1">
      <c r="A25" s="5" t="inlineStr">
        <is>
          <t>Average pair-friction score</t>
        </is>
      </c>
      <c r="B25" s="7">
        <f>IFERROR(ROUND(AVERAGE(Romances!$Q$2:$Q$91),1),"n/a")</f>
        <v/>
      </c>
      <c r="C25" s="5" t="inlineStr">
        <is>
          <t>Formula</t>
        </is>
      </c>
      <c r="D25" s="5" t="inlineStr">
        <is>
          <t>Per pairing</t>
        </is>
      </c>
    </row>
    <row r="26" ht="19" customHeight="1">
      <c r="A26" s="5" t="inlineStr">
        <is>
          <t>Average external-opposition score</t>
        </is>
      </c>
      <c r="B26" s="7">
        <f>IFERROR(ROUND(AVERAGE(Romances!$S$2:$S$91),1),"n/a")</f>
        <v/>
      </c>
      <c r="C26" s="5" t="inlineStr">
        <is>
          <t>Formula</t>
        </is>
      </c>
      <c r="D26" s="5" t="inlineStr">
        <is>
          <t>Per pairing</t>
        </is>
      </c>
    </row>
    <row r="27" ht="19" customHeight="1">
      <c r="A27" s="5" t="inlineStr">
        <is>
          <t>Average lover-boy score</t>
        </is>
      </c>
      <c r="B27" s="7">
        <f>IFERROR(ROUND(AVERAGE(Romances!$V$2:$V$91),1),"n/a")</f>
        <v/>
      </c>
      <c r="C27" s="5" t="inlineStr">
        <is>
          <t>Formula</t>
        </is>
      </c>
      <c r="D27" s="5" t="inlineStr">
        <is>
          <t>Per pairing</t>
        </is>
      </c>
    </row>
    <row r="28" ht="19" customHeight="1">
      <c r="A28" s="5" t="inlineStr">
        <is>
          <t>Average romance-centrality score</t>
        </is>
      </c>
      <c r="B28" s="7">
        <f>IFERROR(ROUND(AVERAGE(Films!$AF$2:$AF$161),1),"n/a")</f>
        <v/>
      </c>
      <c r="C28" s="5" t="inlineStr">
        <is>
          <t>Formula</t>
        </is>
      </c>
      <c r="D28" s="5" t="inlineStr">
        <is>
          <t>Per film</t>
        </is>
      </c>
    </row>
    <row r="29" ht="34" customHeight="1">
      <c r="A29" s="5" t="inlineStr">
        <is>
          <t>Highest-grossing film</t>
        </is>
      </c>
      <c r="B29" s="5" t="inlineStr">
        <is>
          <t>Jab Tak Hai Jaan (2012): 236 INR crore</t>
        </is>
      </c>
      <c r="C29" s="5" t="inlineStr">
        <is>
          <t>Build script</t>
        </is>
      </c>
      <c r="D29" s="5" t="inlineStr">
        <is>
          <t>Largest nominal worldwide gross among 11 film(s) reported in INR crore; not inflation-adjusted</t>
        </is>
      </c>
    </row>
    <row r="30" ht="34" customHeight="1">
      <c r="A30" s="5" t="inlineStr">
        <is>
          <t>Award wins received by the actor</t>
        </is>
      </c>
      <c r="B30" s="5">
        <f>COUNTIFS(Awards!$I$2:$I$295,"Win",Awards!$G$2:$G$295,"*Rishi Kapoor*")</f>
        <v/>
      </c>
      <c r="C30" s="5" t="inlineStr">
        <is>
          <t>Formula</t>
        </is>
      </c>
      <c r="D30" s="5" t="inlineStr">
        <is>
          <t>Awards rows whose Recipient includes the actor, in any capacity: acting, directing, producing, honours</t>
        </is>
      </c>
    </row>
    <row r="31" ht="19" customHeight="1">
      <c r="A31" s="5" t="inlineStr">
        <is>
          <t>Acting award wins</t>
        </is>
      </c>
      <c r="B31" s="5">
        <f>COUNTIFS(Awards!$I$2:$I$295,"Win",Awards!$G$2:$G$295,"*Rishi Kapoor*",Awards!$H$2:$H$295,"Actor")</f>
        <v/>
      </c>
      <c r="C31" s="5" t="inlineStr">
        <is>
          <t>Formula</t>
        </is>
      </c>
      <c r="D31" s="5" t="inlineStr">
        <is>
          <t>As above, limited to Recipient Type 'Actor'</t>
        </is>
      </c>
    </row>
    <row r="32" ht="19" customHeight="1">
      <c r="A32" s="5" t="inlineStr">
        <is>
          <t>Award nominations received by the actor</t>
        </is>
      </c>
      <c r="B32" s="5">
        <f>COUNTIFS(Awards!$I$2:$I$295,"Nomination",Awards!$G$2:$G$295,"*Rishi Kapoor*")</f>
        <v/>
      </c>
      <c r="C32" s="5" t="inlineStr">
        <is>
          <t>Formula</t>
        </is>
      </c>
      <c r="D32" s="5" t="inlineStr">
        <is>
          <t>Nominations that did not win</t>
        </is>
      </c>
    </row>
    <row r="33" ht="19" customHeight="1">
      <c r="A33" s="5" t="inlineStr">
        <is>
          <t>Award wins for his films (all recipients)</t>
        </is>
      </c>
      <c r="B33" s="5">
        <f>COUNTIF(Awards!$I$2:$I$295,"Win")</f>
        <v/>
      </c>
      <c r="C33" s="5" t="inlineStr">
        <is>
          <t>Formula</t>
        </is>
      </c>
      <c r="D33" s="5" t="inlineStr"/>
    </row>
    <row r="34" ht="19" customHeight="1">
      <c r="A34" s="5" t="inlineStr">
        <is>
          <t>Source-confidence summary (films)</t>
        </is>
      </c>
      <c r="B34" s="5">
        <f>"High "&amp;COUNTIF(Films!$AS$2:$AS$161,"High")&amp;" · "&amp;"Medium "&amp;COUNTIF(Films!$AS$2:$AS$161,"Medium")&amp;" · "&amp;"Low "&amp;COUNTIF(Films!$AS$2:$AS$161,"Low")&amp;" · "&amp;"Unknown "&amp;COUNTIF(Films!$AS$2:$AS$161,"Unknown")</f>
        <v/>
      </c>
      <c r="C34" s="5" t="inlineStr">
        <is>
          <t>Formula</t>
        </is>
      </c>
      <c r="D34" s="5" t="inlineStr">
        <is>
          <t>Confidence Grade in Films</t>
        </is>
      </c>
    </row>
    <row r="35" ht="34" customHeight="1">
      <c r="A35" s="5" t="inlineStr">
        <is>
          <t>Sources by reliability tier</t>
        </is>
      </c>
      <c r="B35" s="5">
        <f>"A "&amp;COUNTIF(Sources!$L$2:$L$469,"A")&amp;" · "&amp;"B "&amp;COUNTIF(Sources!$L$2:$L$469,"B")&amp;" · "&amp;"C "&amp;COUNTIF(Sources!$L$2:$L$469,"C")&amp;" · "&amp;"D "&amp;COUNTIF(Sources!$L$2:$L$469,"D")</f>
        <v/>
      </c>
      <c r="C35" s="5" t="inlineStr">
        <is>
          <t>Formula</t>
        </is>
      </c>
      <c r="D35" s="5" t="inlineStr">
        <is>
          <t>A official · B reputable press · C reference databases · D weak</t>
        </is>
      </c>
    </row>
    <row r="37">
      <c r="A37" s="3" t="inlineStr">
        <is>
          <t>Career phases</t>
        </is>
      </c>
    </row>
    <row r="38">
      <c r="A38" s="4" t="inlineStr">
        <is>
          <t>Phase</t>
        </is>
      </c>
      <c r="B38" s="4" t="inlineStr">
        <is>
          <t>Years</t>
        </is>
      </c>
      <c r="C38" s="4" t="inlineStr">
        <is>
          <t>Films</t>
        </is>
      </c>
      <c r="D38" s="4" t="inlineStr">
        <is>
          <t>Summary</t>
        </is>
      </c>
      <c r="E38" s="4" t="inlineStr">
        <is>
          <t>Avg lover-boy score</t>
        </is>
      </c>
    </row>
    <row r="39" ht="109" customHeight="1">
      <c r="A39" s="5" t="inlineStr">
        <is>
          <t>Child appearances</t>
        </is>
      </c>
      <c r="B39" s="5" t="inlineStr">
        <is>
          <t>1955–1970</t>
        </is>
      </c>
      <c r="C39" s="8">
        <f>COUNTIFS(Films!$D$2:$D$161,"&gt;=1955",Films!$D$2:$D$161,"&lt;=1970")</f>
        <v/>
      </c>
      <c r="D39" s="5" t="inlineStr">
        <is>
          <t>Two appearances, both in his father's films and fifteen years apart. At roughly three years old he walks through the song 'Pyar Hua Iqrar Hua' in Shree 420 (1955), credited by the filmography table as himself but noted as a child artist. His credited debut is as the adolescent Raju in Mera Naam Joker (1970), for which he won the National Film Award for Best Child Artist.</t>
        </is>
      </c>
      <c r="E39" s="7">
        <f>IFERROR(ROUND(AVERAGEIFS(Romances!$V$2:$V$91,Romances!$D$2:$D$91,"&gt;=1955",Romances!$D$2:$D$91,"&lt;=1970"),1),"n/a")</f>
        <v/>
      </c>
    </row>
    <row r="40" ht="109" customHeight="1">
      <c r="A40" s="5" t="inlineStr">
        <is>
          <t>Romantic lead debut and first stardom</t>
        </is>
      </c>
      <c r="B40" s="5" t="inlineStr">
        <is>
          <t>1973–1979</t>
        </is>
      </c>
      <c r="C40" s="8">
        <f>COUNTIFS(Films!$D$2:$D$161,"&gt;=1973",Films!$D$2:$D$161,"&lt;=1979")</f>
        <v/>
      </c>
      <c r="D40" s="5" t="inlineStr">
        <is>
          <t>After a two-year gap he takes the lead in Bobby (1973), opposite Dimple Kapadia's debut, and works steadily through the decade in romances and musicals including Zehreela Insaan, Khel Khel Mein, Rafoo Chakkar, the multi-starrer Amar Akbar Anthony and Sargam. About 25 films, and the stretch that fixes the romantic-hero persona the main Wikipedia article names Bobby, Rafoo Chakkar and Sargam among.</t>
        </is>
      </c>
      <c r="E40" s="7">
        <f>IFERROR(ROUND(AVERAGEIFS(Romances!$V$2:$V$91,Romances!$D$2:$D$91,"&gt;=1973",Romances!$D$2:$D$91,"&lt;=1979"),1),"n/a")</f>
        <v/>
      </c>
    </row>
    <row r="41" ht="94" customHeight="1">
      <c r="A41" s="5" t="inlineStr">
        <is>
          <t>Peak leading-man years</t>
        </is>
      </c>
      <c r="B41" s="5" t="inlineStr">
        <is>
          <t>1980–1989</t>
        </is>
      </c>
      <c r="C41" s="8">
        <f>COUNTIFS(Films!$D$2:$D$161,"&gt;=1980",Films!$D$2:$D$161,"&lt;=1989")</f>
        <v/>
      </c>
      <c r="D41" s="5" t="inlineStr">
        <is>
          <t>His densest decade at about 51 films, and the one that carries most of the titles his public persona rests on: Karz (1980), Prem Rog (1982), Saagar (1985, reuniting him with Dimple Kapadia twelve years after Bobby) and Chandni (1989). The period also holds a long run of guest appearances as a singer or as himself, several of them in songs rather than scenes.</t>
        </is>
      </c>
      <c r="E41" s="7">
        <f>IFERROR(ROUND(AVERAGEIFS(Romances!$V$2:$V$91,Romances!$D$2:$D$91,"&gt;=1980",Romances!$D$2:$D$91,"&lt;=1989"),1),"n/a")</f>
        <v/>
      </c>
    </row>
    <row r="42" ht="79" customHeight="1">
      <c r="A42" s="5" t="inlineStr">
        <is>
          <t>Thinning lead roles and a turn behind the camera</t>
        </is>
      </c>
      <c r="B42" s="5" t="inlineStr">
        <is>
          <t>1990–1999</t>
        </is>
      </c>
      <c r="C42" s="8">
        <f>COUNTIFS(Films!$D$2:$D$161,"&gt;=1990",Films!$D$2:$D$161,"&lt;=1999")</f>
        <v/>
      </c>
      <c r="D42" s="5" t="inlineStr">
        <is>
          <t>About 36 films, with the lead roles gradually giving way to older and secondary parts, and several of the decade's titles surviving without Wikipedia articles. He directed Aa Ab Laut Chalen (1999) without acting in it, the one directorial credit of his career and outside the scope of this workbook.</t>
        </is>
      </c>
      <c r="E42" s="7">
        <f>IFERROR(ROUND(AVERAGEIFS(Romances!$V$2:$V$91,Romances!$D$2:$D$91,"&gt;=1990",Romances!$D$2:$D$91,"&lt;=1999"),1),"n/a")</f>
        <v/>
      </c>
    </row>
    <row r="43" ht="79" customHeight="1">
      <c r="A43" s="5" t="inlineStr">
        <is>
          <t>Reinvention as a character actor</t>
        </is>
      </c>
      <c r="B43" s="5" t="inlineStr">
        <is>
          <t>2000–2009</t>
        </is>
      </c>
      <c r="C43" s="8">
        <f>COUNTIFS(Films!$D$2:$D$161,"&gt;=2000",Films!$D$2:$D$161,"&lt;=2009")</f>
        <v/>
      </c>
      <c r="D43" s="5" t="inlineStr">
        <is>
          <t>About 22 films, the fewest of any full decade, across which he moves decisively out of leads and into fathers, uncles and authority figures, including Hum Tum (2004), Fanaa (2006), a guest appearance as himself in Om Shanti Om (2007), two English-language films in 2007, and Love Aaj Kal (2009).</t>
        </is>
      </c>
      <c r="E43" s="7">
        <f>IFERROR(ROUND(AVERAGEIFS(Romances!$V$2:$V$91,Romances!$D$2:$D$91,"&gt;=2000",Romances!$D$2:$D$91,"&lt;=2009"),1),"n/a")</f>
        <v/>
      </c>
    </row>
    <row r="44" ht="109" customHeight="1">
      <c r="A44" s="5" t="inlineStr">
        <is>
          <t>Late character-actor phase and posthumous release</t>
        </is>
      </c>
      <c r="B44" s="5" t="inlineStr">
        <is>
          <t>2010–2022</t>
        </is>
      </c>
      <c r="C44" s="8">
        <f>COUNTIFS(Films!$D$2:$D$161,"&gt;=2010",Films!$D$2:$D$161,"&lt;=2022")</f>
        <v/>
      </c>
      <c r="D44" s="5" t="inlineStr">
        <is>
          <t>About 28 films in which the supporting and character work becomes the career rather than a coda, among them Do Dooni Chaar, Agneepath, D-Day, Kapoor &amp; Sons (2016), Mulk and 102 Not Out (2018). The Body (December 2019) was the last film released in his lifetime; he died on 30 April 2020, and Sharmaji Namkeen (2022) was released posthumously with his role completed by another actor.</t>
        </is>
      </c>
      <c r="E44" s="7">
        <f>IFERROR(ROUND(AVERAGEIFS(Romances!$V$2:$V$91,Romances!$D$2:$D$91,"&gt;=2010",Romances!$D$2:$D$91,"&lt;=2022"),1),"n/a")</f>
        <v/>
      </c>
    </row>
    <row r="46">
      <c r="A46" s="3" t="inlineStr">
        <is>
          <t>Romantic co-stars (top 10)</t>
        </is>
      </c>
    </row>
    <row r="47">
      <c r="A47" s="4" t="inlineStr">
        <is>
          <t>Actress</t>
        </is>
      </c>
      <c r="B47" s="4" t="inlineStr">
        <is>
          <t>Films with a pairing</t>
        </is>
      </c>
    </row>
    <row r="48" ht="19" customHeight="1">
      <c r="A48" s="5" t="inlineStr">
        <is>
          <t>Neetu Singh</t>
        </is>
      </c>
      <c r="B48" s="5" t="n">
        <v>10</v>
      </c>
    </row>
    <row r="49" ht="19" customHeight="1">
      <c r="A49" s="5" t="inlineStr">
        <is>
          <t>Juhi Chawla</t>
        </is>
      </c>
      <c r="B49" s="5" t="n">
        <v>8</v>
      </c>
    </row>
    <row r="50" ht="19" customHeight="1">
      <c r="A50" s="5" t="inlineStr">
        <is>
          <t>Dimple Kapadia</t>
        </is>
      </c>
      <c r="B50" s="5" t="n">
        <v>4</v>
      </c>
    </row>
    <row r="51" ht="19" customHeight="1">
      <c r="A51" s="5" t="inlineStr">
        <is>
          <t>Tina Munim</t>
        </is>
      </c>
      <c r="B51" s="5" t="n">
        <v>4</v>
      </c>
    </row>
    <row r="52" ht="19" customHeight="1">
      <c r="A52" s="5" t="inlineStr">
        <is>
          <t>Padmini Kolhapure</t>
        </is>
      </c>
      <c r="B52" s="5" t="n">
        <v>4</v>
      </c>
    </row>
    <row r="53" ht="19" customHeight="1">
      <c r="A53" s="5" t="inlineStr">
        <is>
          <t>Sridevi</t>
        </is>
      </c>
      <c r="B53" s="5" t="n">
        <v>4</v>
      </c>
    </row>
    <row r="54" ht="19" customHeight="1">
      <c r="A54" s="5" t="inlineStr">
        <is>
          <t>Jaya Prada</t>
        </is>
      </c>
      <c r="B54" s="5" t="n">
        <v>3</v>
      </c>
    </row>
    <row r="55" ht="19" customHeight="1">
      <c r="A55" s="5" t="inlineStr">
        <is>
          <t>Poonam Dhillon</t>
        </is>
      </c>
      <c r="B55" s="5" t="n">
        <v>3</v>
      </c>
    </row>
    <row r="56" ht="19" customHeight="1">
      <c r="A56" s="5" t="inlineStr">
        <is>
          <t>Meenakshi Seshadri</t>
        </is>
      </c>
      <c r="B56" s="5" t="n">
        <v>3</v>
      </c>
    </row>
    <row r="57" ht="19" customHeight="1">
      <c r="A57" s="5" t="inlineStr">
        <is>
          <t>Neetu Kapoor</t>
        </is>
      </c>
      <c r="B57" s="5" t="n">
        <v>3</v>
      </c>
    </row>
    <row r="59">
      <c r="A59" s="3" t="inlineStr">
        <is>
          <t>Romance centrality by decade</t>
        </is>
      </c>
    </row>
    <row r="60">
      <c r="A60" s="4" t="inlineStr">
        <is>
          <t>Decade</t>
        </is>
      </c>
      <c r="B60" s="4" t="inlineStr">
        <is>
          <t>Films</t>
        </is>
      </c>
      <c r="C60" s="4" t="inlineStr">
        <is>
          <t>Avg romance centrality</t>
        </is>
      </c>
    </row>
    <row r="61" ht="19" customHeight="1">
      <c r="A61" s="5" t="inlineStr">
        <is>
          <t>1950s</t>
        </is>
      </c>
      <c r="B61" s="8" t="n">
        <v>1</v>
      </c>
      <c r="C61" s="7" t="n">
        <v>8</v>
      </c>
    </row>
    <row r="62" ht="19" customHeight="1">
      <c r="A62" s="5" t="inlineStr">
        <is>
          <t>1970s</t>
        </is>
      </c>
      <c r="B62" s="8" t="n">
        <v>25</v>
      </c>
      <c r="C62" s="7" t="n">
        <v>7.2</v>
      </c>
    </row>
    <row r="63" ht="19" customHeight="1">
      <c r="A63" s="5" t="inlineStr">
        <is>
          <t>1980s</t>
        </is>
      </c>
      <c r="B63" s="8" t="n">
        <v>48</v>
      </c>
      <c r="C63" s="7" t="n">
        <v>7.7</v>
      </c>
    </row>
    <row r="64" ht="19" customHeight="1">
      <c r="A64" s="5" t="inlineStr">
        <is>
          <t>1990s</t>
        </is>
      </c>
      <c r="B64" s="8" t="n">
        <v>36</v>
      </c>
      <c r="C64" s="7" t="n">
        <v>7.7</v>
      </c>
    </row>
    <row r="65" ht="19" customHeight="1">
      <c r="A65" s="5" t="inlineStr">
        <is>
          <t>2000s</t>
        </is>
      </c>
      <c r="B65" s="8" t="n">
        <v>22</v>
      </c>
      <c r="C65" s="7" t="n">
        <v>7.9</v>
      </c>
    </row>
    <row r="66" ht="19" customHeight="1">
      <c r="A66" s="5" t="inlineStr">
        <is>
          <t>2010s</t>
        </is>
      </c>
      <c r="B66" s="8" t="n">
        <v>27</v>
      </c>
      <c r="C66" s="7" t="n">
        <v>6.9</v>
      </c>
    </row>
    <row r="67" ht="19" customHeight="1">
      <c r="A67" s="5" t="inlineStr">
        <is>
          <t>2020s</t>
        </is>
      </c>
      <c r="B67" s="8" t="n">
        <v>1</v>
      </c>
      <c r="C67" s="7" t="n">
        <v>6</v>
      </c>
    </row>
    <row r="69">
      <c r="A69" s="3" t="inlineStr">
        <is>
          <t>Column colour key</t>
        </is>
      </c>
    </row>
    <row r="70">
      <c r="A70" s="9" t="inlineStr">
        <is>
          <t>Fact</t>
        </is>
      </c>
      <c r="B70" t="inlineStr">
        <is>
          <t>Fact: credits, dates, figures and descriptive fields</t>
        </is>
      </c>
    </row>
    <row r="71">
      <c r="A71" s="10" t="inlineStr">
        <is>
          <t>Score</t>
        </is>
      </c>
      <c r="B71" t="inlineStr">
        <is>
          <t>Score (0–10): cells shaded white (0) to orange (10)</t>
        </is>
      </c>
    </row>
    <row r="72">
      <c r="A72" s="11" t="inlineStr">
        <is>
          <t>Analysis</t>
        </is>
      </c>
      <c r="B72" t="inlineStr">
        <is>
          <t>Interpretive analysis: header green, cells tinted green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T16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26" customWidth="1" min="2" max="2"/>
    <col width="12" customWidth="1" min="3" max="3"/>
    <col width="9" customWidth="1" min="4" max="4"/>
    <col width="9" customWidth="1" min="5" max="5"/>
    <col width="14" customWidth="1" min="6" max="6"/>
    <col width="16" customWidth="1" min="7" max="7"/>
    <col width="16" customWidth="1" min="8" max="8"/>
    <col width="10" customWidth="1" min="9" max="9"/>
    <col width="22" customWidth="1" min="10" max="10"/>
    <col width="26" customWidth="1" min="11" max="11"/>
    <col width="24" customWidth="1" min="12" max="12"/>
    <col width="26" customWidth="1" min="13" max="13"/>
    <col width="26" customWidth="1" min="14" max="14"/>
    <col width="22" customWidth="1" min="15" max="15"/>
    <col width="22" customWidth="1" min="16" max="16"/>
    <col width="22" customWidth="1" min="17" max="17"/>
    <col width="20" customWidth="1" min="18" max="18"/>
    <col width="22" customWidth="1" min="19" max="19"/>
    <col width="20" customWidth="1" min="20" max="20"/>
    <col width="11" customWidth="1" min="21" max="21"/>
    <col width="22" customWidth="1" min="22" max="22"/>
    <col width="26" customWidth="1" min="23" max="23"/>
    <col width="60" customWidth="1" min="24" max="24"/>
    <col width="36" customWidth="1" min="25" max="25"/>
    <col width="36" customWidth="1" min="26" max="26"/>
    <col width="40" customWidth="1" min="27" max="27"/>
    <col width="18" customWidth="1" min="28" max="28"/>
    <col width="30" customWidth="1" min="29" max="29"/>
    <col width="26" customWidth="1" min="30" max="30"/>
    <col width="14" customWidth="1" min="31" max="31"/>
    <col width="10" customWidth="1" min="32" max="32"/>
    <col width="30" customWidth="1" min="33" max="33"/>
    <col width="15" customWidth="1" min="34" max="34"/>
    <col width="15" customWidth="1" min="35" max="35"/>
    <col width="15" customWidth="1" min="36" max="36"/>
    <col width="15" customWidth="1" min="37" max="37"/>
    <col width="15" customWidth="1" min="38" max="38"/>
    <col width="13" customWidth="1" min="39" max="39"/>
    <col width="16" customWidth="1" min="40" max="40"/>
    <col width="11" customWidth="1" min="41" max="41"/>
    <col width="45" customWidth="1" min="42" max="42"/>
    <col width="40" customWidth="1" min="43" max="43"/>
    <col width="22" customWidth="1" min="44" max="44"/>
    <col width="12" customWidth="1" min="45" max="45"/>
    <col width="45" customWidth="1" min="46" max="46"/>
  </cols>
  <sheetData>
    <row r="1" ht="51" customHeight="1">
      <c r="A1" s="12" t="inlineStr">
        <is>
          <t>Film ID</t>
        </is>
      </c>
      <c r="B1" s="12" t="inlineStr">
        <is>
          <t>Title</t>
        </is>
      </c>
      <c r="C1" s="12" t="inlineStr">
        <is>
          <t>Release Date</t>
        </is>
      </c>
      <c r="D1" s="12" t="inlineStr">
        <is>
          <t>Release Year</t>
        </is>
      </c>
      <c r="E1" s="12" t="inlineStr">
        <is>
          <t>Decade</t>
        </is>
      </c>
      <c r="F1" s="12" t="inlineStr">
        <is>
          <t>Language</t>
        </is>
      </c>
      <c r="G1" s="12" t="inlineStr">
        <is>
          <t>Genre</t>
        </is>
      </c>
      <c r="H1" s="12" t="inlineStr">
        <is>
          <t>Secondary Genre</t>
        </is>
      </c>
      <c r="I1" s="12" t="inlineStr">
        <is>
          <t>Runtime</t>
        </is>
      </c>
      <c r="J1" s="12" t="inlineStr">
        <is>
          <t>Director</t>
        </is>
      </c>
      <c r="K1" s="12" t="inlineStr">
        <is>
          <t>Producer or Producers</t>
        </is>
      </c>
      <c r="L1" s="12" t="inlineStr">
        <is>
          <t>Production Banner</t>
        </is>
      </c>
      <c r="M1" s="12" t="inlineStr">
        <is>
          <t>Writer or Writers</t>
        </is>
      </c>
      <c r="N1" s="12" t="inlineStr">
        <is>
          <t>Source Material or Remake Status</t>
        </is>
      </c>
      <c r="O1" s="12" t="inlineStr">
        <is>
          <t>Song Composer</t>
        </is>
      </c>
      <c r="P1" s="12" t="inlineStr">
        <is>
          <t>Background-Score Composer</t>
        </is>
      </c>
      <c r="Q1" s="12" t="inlineStr">
        <is>
          <t>Lyricist</t>
        </is>
      </c>
      <c r="R1" s="12" t="inlineStr">
        <is>
          <t>Actor’s Character</t>
        </is>
      </c>
      <c r="S1" s="12" t="inlineStr">
        <is>
          <t>Alternate Identity or Double Role</t>
        </is>
      </c>
      <c r="T1" s="12" t="inlineStr">
        <is>
          <t>Role Type</t>
        </is>
      </c>
      <c r="U1" s="12" t="inlineStr">
        <is>
          <t>Billing Position</t>
        </is>
      </c>
      <c r="V1" s="12" t="inlineStr">
        <is>
          <t>Character Occupation</t>
        </is>
      </c>
      <c r="W1" s="12" t="inlineStr">
        <is>
          <t>Character Social Background</t>
        </is>
      </c>
      <c r="X1" s="13" t="inlineStr">
        <is>
          <t>Role Gist</t>
        </is>
      </c>
      <c r="Y1" s="13" t="inlineStr">
        <is>
          <t>Principal Motivation</t>
        </is>
      </c>
      <c r="Z1" s="13" t="inlineStr">
        <is>
          <t>Principal Conflict</t>
        </is>
      </c>
      <c r="AA1" s="13" t="inlineStr">
        <is>
          <t>Character Arc</t>
        </is>
      </c>
      <c r="AB1" s="13" t="inlineStr">
        <is>
          <t>Moral Alignment</t>
        </is>
      </c>
      <c r="AC1" s="12" t="inlineStr">
        <is>
          <t>Character Outcome</t>
        </is>
      </c>
      <c r="AD1" s="12" t="inlineStr">
        <is>
          <t>Principal Female Lead or Leads</t>
        </is>
      </c>
      <c r="AE1" s="12" t="inlineStr">
        <is>
          <t>Romance Presence</t>
        </is>
      </c>
      <c r="AF1" s="14" t="inlineStr">
        <is>
          <t>Romance Centrality Score</t>
        </is>
      </c>
      <c r="AG1" s="13" t="inlineStr">
        <is>
          <t>Overall Relationship Classification</t>
        </is>
      </c>
      <c r="AH1" s="12" t="inlineStr">
        <is>
          <t>Budget</t>
        </is>
      </c>
      <c r="AI1" s="12" t="inlineStr">
        <is>
          <t>Domestic Nett</t>
        </is>
      </c>
      <c r="AJ1" s="12" t="inlineStr">
        <is>
          <t>Domestic Gross</t>
        </is>
      </c>
      <c r="AK1" s="12" t="inlineStr">
        <is>
          <t>Overseas Gross</t>
        </is>
      </c>
      <c r="AL1" s="12" t="inlineStr">
        <is>
          <t>Worldwide Gross</t>
        </is>
      </c>
      <c r="AM1" s="12" t="inlineStr">
        <is>
          <t>Currency</t>
        </is>
      </c>
      <c r="AN1" s="12" t="inlineStr">
        <is>
          <t>Box-Office Verdict</t>
        </is>
      </c>
      <c r="AO1" s="12" t="inlineStr">
        <is>
          <t>Annual Box-Office Rank</t>
        </is>
      </c>
      <c r="AP1" s="13" t="inlineStr">
        <is>
          <t>Critical Reception Summary</t>
        </is>
      </c>
      <c r="AQ1" s="13" t="inlineStr">
        <is>
          <t>Recognition or Legacy</t>
        </is>
      </c>
      <c r="AR1" s="12" t="inlineStr">
        <is>
          <t>Source IDs</t>
        </is>
      </c>
      <c r="AS1" s="12" t="inlineStr">
        <is>
          <t>Confidence Grade</t>
        </is>
      </c>
      <c r="AT1" s="12" t="inlineStr">
        <is>
          <t>Research Notes</t>
        </is>
      </c>
    </row>
    <row r="2" ht="349" customHeight="1">
      <c r="A2" s="15" t="inlineStr">
        <is>
          <t>FILM-001</t>
        </is>
      </c>
      <c r="B2" s="5" t="inlineStr">
        <is>
          <t>Shree 420</t>
        </is>
      </c>
      <c r="C2" s="16" t="n">
        <v>20338</v>
      </c>
      <c r="D2" s="17" t="n">
        <v>1955</v>
      </c>
      <c r="E2" s="5" t="inlineStr">
        <is>
          <t>1950s</t>
        </is>
      </c>
      <c r="F2" s="5" t="inlineStr">
        <is>
          <t>Hindi</t>
        </is>
      </c>
      <c r="G2" s="5" t="inlineStr">
        <is>
          <t>Comedy-drama</t>
        </is>
      </c>
      <c r="H2" s="5" t="inlineStr">
        <is>
          <t>Social satire</t>
        </is>
      </c>
      <c r="I2" s="17" t="n">
        <v>168</v>
      </c>
      <c r="J2" s="5" t="inlineStr">
        <is>
          <t>Raj Kapoor</t>
        </is>
      </c>
      <c r="K2" s="5" t="inlineStr">
        <is>
          <t>Raj Kapoor</t>
        </is>
      </c>
      <c r="L2" s="5" t="n"/>
      <c r="M2" s="5" t="inlineStr">
        <is>
          <t>Khwaja Ahmad Abbas; V. P. Sathe</t>
        </is>
      </c>
      <c r="N2" s="5" t="n"/>
      <c r="O2" s="5" t="inlineStr">
        <is>
          <t>Shankar–Jaikishan</t>
        </is>
      </c>
      <c r="P2" s="5" t="n"/>
      <c r="Q2" s="5" t="n"/>
      <c r="R2" s="5" t="inlineStr">
        <is>
          <t>Himself</t>
        </is>
      </c>
      <c r="S2" s="5" t="n"/>
      <c r="T2" s="5" t="inlineStr">
        <is>
          <t>Child role</t>
        </is>
      </c>
      <c r="U2" s="18" t="n"/>
      <c r="V2" s="5" t="n"/>
      <c r="W2" s="5" t="n"/>
      <c r="X2" s="19" t="inlineStr">
        <is>
          <t>Kapoor's first time on screen, at roughly three years old, as one of the children who pass Raj and Vidya under the umbrella during 'Pyar Hua Iqrar Hua'. He has no character, no dialogue and no bearing on the plot; the filmography table lists the credit as 'Himself' but flags it as a child-artist appearance, and it is better read as a walk-on than as a role.</t>
        </is>
      </c>
      <c r="Y2" s="19" t="n"/>
      <c r="Z2" s="19" t="n"/>
      <c r="AA2" s="19" t="n"/>
      <c r="AB2" s="19" t="inlineStr">
        <is>
          <t>Not applicable</t>
        </is>
      </c>
      <c r="AC2" s="5" t="n"/>
      <c r="AD2" s="5" t="n"/>
      <c r="AE2" s="5" t="inlineStr">
        <is>
          <t>None</t>
        </is>
      </c>
      <c r="AF2" s="20" t="n">
        <v>8</v>
      </c>
      <c r="AG2" s="19" t="inlineStr">
        <is>
          <t>No meaningful romance</t>
        </is>
      </c>
      <c r="AH2" s="5" t="n"/>
      <c r="AI2" s="21" t="n">
        <v>2</v>
      </c>
      <c r="AJ2" s="21" t="n">
        <v>3.9</v>
      </c>
      <c r="AK2" s="5" t="n"/>
      <c r="AL2" s="5" t="n"/>
      <c r="AM2" s="5" t="inlineStr">
        <is>
          <t>INR crore</t>
        </is>
      </c>
      <c r="AN2" s="5" t="n"/>
      <c r="AO2" s="18" t="n"/>
      <c r="AP2" s="19" t="n"/>
      <c r="AQ2" s="19" t="inlineStr">
        <is>
          <t>One of the most widely seen Indian films of its era, with a very large Soviet release; the song Kapoor walks through is among the best known in Hindi cinema.</t>
        </is>
      </c>
      <c r="AR2" s="5" t="inlineStr">
        <is>
          <t>SOURCE-001; SOURCE-002</t>
        </is>
      </c>
      <c r="AS2" s="5" t="inlineStr">
        <is>
          <t>High</t>
        </is>
      </c>
      <c r="AT2" s="5" t="inlineStr">
        <is>
          <t>Filmography notes: Child artist; Guest appearance in the song "Pyar Hua Iqrar Hua". Infobox gross '₹3.9 crore' has no nett/gross label and is not entered. A child appearance at roughly three years old, in the song 'Pyar Hua Iqrar Hua' in his father Raj Kapoor's film. The filmography table gives the role as 'Himself' but notes 'Child artist'; it is a child role, not a self appearance. The main Rishi Kapoor article's career section garbles this, appending 'and earned him the Filmfare Award for Best Actor' to the sentence about this cameo, which cannot be right for a three-year-old's walk-on; the claim is not carried over. Box office now entered from the article's labelled figures: ₹3.9 crore gross and ₹2 crore nett in India in 1955, superseding the phase-1 decision to omit the unlabelled infobox gross. The article also reports roughly 35 million Indian admissions and a Soviet release of 8.75 million roubles on about 35 million tickets; the Soviet amount is in a different currency and is not combined into a worldwide figure. Romance centrality reflects the Raj-Vidya romance, which is central to the film; Kapoor's own walk-on has no romantic content, so romance presence is None.</t>
        </is>
      </c>
    </row>
    <row r="3" ht="154" customHeight="1">
      <c r="A3" s="15" t="inlineStr">
        <is>
          <t>FILM-002</t>
        </is>
      </c>
      <c r="B3" s="5" t="inlineStr">
        <is>
          <t>Mera Naam Joker</t>
        </is>
      </c>
      <c r="C3" s="16" t="n">
        <v>25920</v>
      </c>
      <c r="D3" s="17" t="n">
        <v>1970</v>
      </c>
      <c r="E3" s="5" t="inlineStr">
        <is>
          <t>1970s</t>
        </is>
      </c>
      <c r="F3" s="5" t="inlineStr">
        <is>
          <t>Hindi</t>
        </is>
      </c>
      <c r="G3" s="5" t="inlineStr">
        <is>
          <t>Drama</t>
        </is>
      </c>
      <c r="H3" s="5" t="inlineStr">
        <is>
          <t>Romance</t>
        </is>
      </c>
      <c r="I3" s="17" t="n">
        <v>248</v>
      </c>
      <c r="J3" s="5" t="inlineStr">
        <is>
          <t>Raj Kapoor</t>
        </is>
      </c>
      <c r="K3" s="5" t="inlineStr">
        <is>
          <t>Raj Kapoor</t>
        </is>
      </c>
      <c r="L3" s="5" t="inlineStr">
        <is>
          <t>R. K. Films</t>
        </is>
      </c>
      <c r="M3" s="5" t="inlineStr">
        <is>
          <t>Khwaja Ahmad Abbas</t>
        </is>
      </c>
      <c r="N3" s="5" t="n"/>
      <c r="O3" s="5" t="inlineStr">
        <is>
          <t>Shankar–Jaikishan</t>
        </is>
      </c>
      <c r="P3" s="5" t="n"/>
      <c r="Q3" s="5" t="inlineStr">
        <is>
          <t>Neeraj; Shailendra; Hasrat Jaipuri; Prem Dhawan</t>
        </is>
      </c>
      <c r="R3" s="5" t="inlineStr">
        <is>
          <t>Young Raju</t>
        </is>
      </c>
      <c r="S3" s="5" t="n"/>
      <c r="T3" s="5" t="inlineStr">
        <is>
          <t>Child role</t>
        </is>
      </c>
      <c r="U3" s="20" t="n">
        <v>3</v>
      </c>
      <c r="V3" s="5" t="inlineStr">
        <is>
          <t>Schoolboy</t>
        </is>
      </c>
      <c r="W3" s="5" t="inlineStr">
        <is>
          <t>Poor; lives with his widowed mother near a private Christian school he attends on sufferance</t>
        </is>
      </c>
      <c r="X3" s="19" t="inlineStr">
        <is>
          <t>Kapoor's credited debut, playing the adolescent Raju in the film's first chapter. A chubby, clumsy sixteen-year-old known as the class clown, he conceives an overwhelming first love for his teacher Mary, learns that his dead father was a circus clown and resolves to become one, and is expelled after being seen clowning for money in the street. He gives Mary a toy clown and stands as best man at her wedding.</t>
        </is>
      </c>
      <c r="Y3" s="19" t="inlineStr">
        <is>
          <t>To be loved by Mary, and to become the clown his father was.</t>
        </is>
      </c>
      <c r="Z3" s="19" t="inlineStr">
        <is>
          <t>A boy's first love directed at a grown woman who cannot return it, against a mother who dreads the circus.</t>
        </is>
      </c>
      <c r="AA3" s="19" t="inlineStr">
        <is>
          <t>From a boy who makes others laugh to hide his own poverty to one who learns that the laughter will have to cover grief as well.</t>
        </is>
      </c>
      <c r="AB3" s="19" t="inlineStr">
        <is>
          <t>Good</t>
        </is>
      </c>
      <c r="AC3" s="5" t="inlineStr">
        <is>
          <t>Loses Mary to David, attends the wedding as best man, and is given the toy clown back.</t>
        </is>
      </c>
      <c r="AD3" s="5" t="inlineStr">
        <is>
          <t>Simi Garewal</t>
        </is>
      </c>
      <c r="AE3" s="5" t="inlineStr">
        <is>
          <t>Major</t>
        </is>
      </c>
      <c r="AF3" s="20" t="n">
        <v>9</v>
      </c>
      <c r="AG3" s="19" t="inlineStr">
        <is>
          <t>Unrequited love</t>
        </is>
      </c>
      <c r="AH3" s="5" t="n"/>
      <c r="AI3" s="5" t="n"/>
      <c r="AJ3" s="5" t="n"/>
      <c r="AK3" s="5" t="n"/>
      <c r="AL3" s="5" t="n"/>
      <c r="AM3" s="5" t="n"/>
      <c r="AN3" s="5" t="n"/>
      <c r="AO3" s="18" t="n"/>
      <c r="AP3" s="19" t="inlineStr">
        <is>
          <t>A commercial failure on release; the article records that it later came to be considered a cult classic and one of Raj Kapoor's best films.</t>
        </is>
      </c>
      <c r="AQ3" s="19" t="inlineStr">
        <is>
          <t>Won Kapoor the National Film Award for Best Child Artist. The film failed on release and was later reassessed as a cult classic and among Raj Kapoor's best.</t>
        </is>
      </c>
      <c r="AR3" s="5" t="inlineStr">
        <is>
          <t>SOURCE-001; SOURCE-003</t>
        </is>
      </c>
      <c r="AS3" s="5" t="inlineStr">
        <is>
          <t>High</t>
        </is>
      </c>
      <c r="AT3" s="5" t="inlineStr">
        <is>
          <t>Filmography notes: Child artist. Infobox gross 'US$22 million (USSR)' has no nett/gross label and is not entered. His credited debut, as the adolescent Raju, for which he won the National Film Award for Best Child Artist. Kapoor plays the young Raju in Chapter I only; the adult Raju is Raj Kapoor. The romance scored here is the Raju-Mary thread, which is the whole of Kapoor's segment, so romance presence is Major for his part even though the film as a whole distributes its romances across three women and three chapters.</t>
        </is>
      </c>
    </row>
    <row r="4" ht="124" customHeight="1">
      <c r="A4" s="15" t="inlineStr">
        <is>
          <t>FILM-003</t>
        </is>
      </c>
      <c r="B4" s="5" t="inlineStr">
        <is>
          <t>Bobby</t>
        </is>
      </c>
      <c r="C4" s="16" t="n">
        <v>26935</v>
      </c>
      <c r="D4" s="17" t="n">
        <v>1973</v>
      </c>
      <c r="E4" s="5" t="inlineStr">
        <is>
          <t>1970s</t>
        </is>
      </c>
      <c r="F4" s="5" t="inlineStr">
        <is>
          <t>Hindi</t>
        </is>
      </c>
      <c r="G4" s="5" t="inlineStr">
        <is>
          <t>Musical romance</t>
        </is>
      </c>
      <c r="H4" s="5" t="inlineStr">
        <is>
          <t>Teen drama</t>
        </is>
      </c>
      <c r="I4" s="17" t="n">
        <v>169</v>
      </c>
      <c r="J4" s="5" t="inlineStr">
        <is>
          <t>Raj Kapoor</t>
        </is>
      </c>
      <c r="K4" s="5" t="inlineStr">
        <is>
          <t>Raj Kapoor</t>
        </is>
      </c>
      <c r="L4" s="5" t="inlineStr">
        <is>
          <t>R. K. Films</t>
        </is>
      </c>
      <c r="M4" s="5" t="inlineStr">
        <is>
          <t>Jainendra Jain; Khwaja Ahmad Abbas; V. P. Sathe</t>
        </is>
      </c>
      <c r="N4" s="5" t="n"/>
      <c r="O4" s="5" t="inlineStr">
        <is>
          <t>Laxmikant–Pyarelal</t>
        </is>
      </c>
      <c r="P4" s="5" t="n"/>
      <c r="Q4" s="5" t="inlineStr">
        <is>
          <t>Anand Bakshi</t>
        </is>
      </c>
      <c r="R4" s="5" t="inlineStr">
        <is>
          <t>Raj Nath "Raja"</t>
        </is>
      </c>
      <c r="S4" s="5" t="n"/>
      <c r="T4" s="5" t="inlineStr">
        <is>
          <t>Lead</t>
        </is>
      </c>
      <c r="U4" s="20" t="n">
        <v>1</v>
      </c>
      <c r="V4" s="5" t="inlineStr">
        <is>
          <t>Student, recently home from boarding school</t>
        </is>
      </c>
      <c r="W4" s="5" t="inlineStr">
        <is>
          <t>Only son of the rich Hindu businessman Ram Nath; raised by servants and a governess rather than by his parents</t>
        </is>
      </c>
      <c r="X4" s="19" t="inlineStr">
        <is>
          <t>Raj returns from boarding school into a house where his parents have no time for him, and falls in love at first sight with Bobby Braganza, the granddaughter of his old governess. The film is built almost wholly on his pursuit of her and his revolt against a father who despises her family's poverty and faith, ending in a flight, a chase and a near-drowning before the fathers relent.</t>
        </is>
      </c>
      <c r="Y4" s="19" t="inlineStr">
        <is>
          <t>To marry Bobby against his father's absolute refusal.</t>
        </is>
      </c>
      <c r="Z4" s="19" t="inlineStr">
        <is>
          <t>A rich Hindu father and a poor Goan Christian father, each insulting the other, between him and the girl.</t>
        </is>
      </c>
      <c r="AA4" s="19" t="inlineStr">
        <is>
          <t>From a neglected and lonely boy to one willing to leave his family and his money for a girl his father has forbidden him.</t>
        </is>
      </c>
      <c r="AB4" s="19" t="inlineStr">
        <is>
          <t>Good</t>
        </is>
      </c>
      <c r="AC4" s="5" t="inlineStr">
        <is>
          <t>Reunited with Bobby after the elopement collapses and both fathers give way.</t>
        </is>
      </c>
      <c r="AD4" s="5" t="inlineStr">
        <is>
          <t>Dimple Kapadia</t>
        </is>
      </c>
      <c r="AE4" s="5" t="inlineStr">
        <is>
          <t>Central</t>
        </is>
      </c>
      <c r="AF4" s="20" t="n">
        <v>10</v>
      </c>
      <c r="AG4" s="19" t="inlineStr">
        <is>
          <t>Forbidden love</t>
        </is>
      </c>
      <c r="AH4" s="5" t="n"/>
      <c r="AI4" s="5" t="n"/>
      <c r="AJ4" s="21" t="n">
        <v>11</v>
      </c>
      <c r="AK4" s="5" t="n"/>
      <c r="AL4" s="5" t="n"/>
      <c r="AM4" s="5" t="inlineStr">
        <is>
          <t>INR crore</t>
        </is>
      </c>
      <c r="AN4" s="5" t="inlineStr">
        <is>
          <t>Blockbuster</t>
        </is>
      </c>
      <c r="AO4" s="20" t="n">
        <v>1</v>
      </c>
      <c r="AP4" s="19" t="inlineStr">
        <is>
          <t>The article cites a contemporary review crediting the film's commercial appeal to its two fresh-faced young leads and praising the pair for acting with natural ease and freshness.</t>
        </is>
      </c>
      <c r="AQ4" s="19" t="inlineStr">
        <is>
          <t>The film that made Kapoor a star and launched Dimple Kapadia, and the founding text of his romantic-hero persona. Drew 62.6 million admissions in the Soviet Union, the second-best-selling film there in 1975 and the most popular Indian film of the 1970s.</t>
        </is>
      </c>
      <c r="AR4" s="5" t="inlineStr">
        <is>
          <t>SOURCE-001; SOURCE-004</t>
        </is>
      </c>
      <c r="AS4" s="5" t="inlineStr">
        <is>
          <t>High</t>
        </is>
      </c>
      <c r="AT4" s="5" t="inlineStr">
        <is>
          <t>Infobox gross '₹31 crore' has no nett/gross label and is not entered. Highest-grossing Indian film of 1973 at ₹11 crore in India, given by the article as a gross. Adjusted figures of ₹398 crore in 2011 value are reported but are not entered, since inflation adjustment was not requested. Soviet admissions and rouble takings are recorded separately and not combined into a worldwide total.</t>
        </is>
      </c>
    </row>
    <row r="5" ht="94" customHeight="1">
      <c r="A5" s="15" t="inlineStr">
        <is>
          <t>FILM-004</t>
        </is>
      </c>
      <c r="B5" s="5" t="inlineStr">
        <is>
          <t>Zehreela Insaan</t>
        </is>
      </c>
      <c r="C5" s="16" t="n">
        <v>27353</v>
      </c>
      <c r="D5" s="17" t="n">
        <v>1974</v>
      </c>
      <c r="E5" s="5" t="inlineStr">
        <is>
          <t>1970s</t>
        </is>
      </c>
      <c r="F5" s="5" t="inlineStr">
        <is>
          <t>Hindi</t>
        </is>
      </c>
      <c r="G5" s="5" t="inlineStr">
        <is>
          <t>Romantic drama</t>
        </is>
      </c>
      <c r="H5" s="5" t="inlineStr">
        <is>
          <t>Tragedy</t>
        </is>
      </c>
      <c r="I5" s="17" t="n">
        <v>146</v>
      </c>
      <c r="J5" s="5" t="inlineStr">
        <is>
          <t>Puttanna Kanagal</t>
        </is>
      </c>
      <c r="K5" s="5" t="inlineStr">
        <is>
          <t>Virendra Sinha</t>
        </is>
      </c>
      <c r="L5" s="5" t="inlineStr">
        <is>
          <t>Pragati Chitra International</t>
        </is>
      </c>
      <c r="M5" s="5" t="inlineStr">
        <is>
          <t>T. R. Subba Rao</t>
        </is>
      </c>
      <c r="N5" s="5" t="inlineStr">
        <is>
          <t>Remake of Kanagal's own 1972 Kannada film Naagarahaavu which was based on three Kannada novels: Nagarahavu, Ondu Gandu Eradu Hennu and Sarpa Mathsara,</t>
        </is>
      </c>
      <c r="O5" s="5" t="inlineStr">
        <is>
          <t>R. D. Burman</t>
        </is>
      </c>
      <c r="P5" s="5" t="n"/>
      <c r="Q5" s="5" t="inlineStr">
        <is>
          <t>Majrooh Sultanpuri</t>
        </is>
      </c>
      <c r="R5" s="5" t="inlineStr">
        <is>
          <t>Arjun Singh</t>
        </is>
      </c>
      <c r="S5" s="5" t="n"/>
      <c r="T5" s="5" t="inlineStr">
        <is>
          <t>Lead</t>
        </is>
      </c>
      <c r="U5" s="20" t="n">
        <v>1</v>
      </c>
      <c r="V5" s="5" t="inlineStr">
        <is>
          <t>College student</t>
        </is>
      </c>
      <c r="W5" s="5" t="inlineStr">
        <is>
          <t>Village youth with a reputation for violence; guided only by his schoolmaster</t>
        </is>
      </c>
      <c r="X5" s="19" t="inlineStr">
        <is>
          <t>Arjun is an ill-tempered, soft-hearted young man whom the village reads as a bad character, obedient only to the schoolmaster who sees his good qualities. He loses Aarti to a forced marriage, finds a second love in his Christian classmate Margaret, and after accidentally killing the one man who understood him, asks Margaret to die with him and jumps.</t>
        </is>
      </c>
      <c r="Y5" s="19" t="inlineStr">
        <is>
          <t>To be seen as something other than a bad character, and to keep the woman he loves.</t>
        </is>
      </c>
      <c r="Z5" s="19" t="inlineStr">
        <is>
          <t>His own temper, and fathers on both sides who will not have him.</t>
        </is>
      </c>
      <c r="AA5" s="19" t="inlineStr">
        <is>
          <t>From a young man whose anger is misread to one destroyed by a single unintended act of it.</t>
        </is>
      </c>
      <c r="AB5" s="19" t="inlineStr">
        <is>
          <t>Morally mixed</t>
        </is>
      </c>
      <c r="AC5" s="5" t="inlineStr">
        <is>
          <t>Dies by suicide with Margaret after accidentally killing his teacher.</t>
        </is>
      </c>
      <c r="AD5" s="5" t="inlineStr">
        <is>
          <t>Moushumi Chatterjee; Neetu Singh</t>
        </is>
      </c>
      <c r="AE5" s="5" t="inlineStr">
        <is>
          <t>Central</t>
        </is>
      </c>
      <c r="AF5" s="20" t="n">
        <v>9</v>
      </c>
      <c r="AG5" s="19" t="inlineStr">
        <is>
          <t>Tragic lovers</t>
        </is>
      </c>
      <c r="AH5" s="5" t="n"/>
      <c r="AI5" s="5" t="n"/>
      <c r="AJ5" s="5" t="n"/>
      <c r="AK5" s="5" t="n"/>
      <c r="AL5" s="5" t="n"/>
      <c r="AM5" s="5" t="n"/>
      <c r="AN5" s="5" t="n"/>
      <c r="AO5" s="18" t="n"/>
      <c r="AP5" s="19" t="inlineStr">
        <is>
          <t>Kapoor later called the film a mistake, saying he should have taken something closer to Bobby rather than a role so drastically different.</t>
        </is>
      </c>
      <c r="AQ5" s="19" t="n"/>
      <c r="AR5" s="5" t="inlineStr">
        <is>
          <t>SOURCE-001; SOURCE-005</t>
        </is>
      </c>
      <c r="AS5" s="5" t="inlineStr">
        <is>
          <t>Medium</t>
        </is>
      </c>
      <c r="AT5" s="5" t="inlineStr">
        <is>
          <t>A remake of Puttanna Kanagal's own Kannada film Naagarahaavu (1972). Two romances are scored separately: Aarti, lost to an arranged marriage, and Margaret, who dies with him. Kapoor's own retrospective verdict on the role is recorded from the article and is the only critical comment located.</t>
        </is>
      </c>
    </row>
    <row r="6" ht="79" customHeight="1">
      <c r="A6" s="15" t="inlineStr">
        <is>
          <t>FILM-005</t>
        </is>
      </c>
      <c r="B6" s="5" t="inlineStr">
        <is>
          <t>Raaja</t>
        </is>
      </c>
      <c r="C6" s="5" t="inlineStr">
        <is>
          <t>1975</t>
        </is>
      </c>
      <c r="D6" s="17" t="n">
        <v>1975</v>
      </c>
      <c r="E6" s="5" t="inlineStr">
        <is>
          <t>1970s</t>
        </is>
      </c>
      <c r="F6" s="5" t="inlineStr">
        <is>
          <t>Hindi</t>
        </is>
      </c>
      <c r="G6" s="5" t="inlineStr">
        <is>
          <t>Action thriller</t>
        </is>
      </c>
      <c r="H6" s="5" t="inlineStr">
        <is>
          <t>Romance</t>
        </is>
      </c>
      <c r="I6" s="17" t="n">
        <v>140</v>
      </c>
      <c r="J6" s="5" t="inlineStr">
        <is>
          <t>K. Shankar</t>
        </is>
      </c>
      <c r="K6" s="5" t="inlineStr">
        <is>
          <t>Sandow M. M. A. Chinnappa Thevar</t>
        </is>
      </c>
      <c r="L6" s="5" t="n"/>
      <c r="M6" s="5" t="inlineStr">
        <is>
          <t>Inder Raj Anand</t>
        </is>
      </c>
      <c r="N6" s="5" t="n"/>
      <c r="O6" s="5" t="inlineStr">
        <is>
          <t>R. D. Burman</t>
        </is>
      </c>
      <c r="P6" s="5" t="n"/>
      <c r="Q6" s="5" t="n"/>
      <c r="R6" s="5" t="inlineStr">
        <is>
          <t>Raaja</t>
        </is>
      </c>
      <c r="S6" s="5" t="inlineStr">
        <is>
          <t>Inspector Ram</t>
        </is>
      </c>
      <c r="T6" s="5" t="inlineStr">
        <is>
          <t>Lead</t>
        </is>
      </c>
      <c r="U6" s="20" t="n">
        <v>1</v>
      </c>
      <c r="V6" s="5" t="inlineStr">
        <is>
          <t>Commoner; his twin is a CID inspector</t>
        </is>
      </c>
      <c r="W6" s="5" t="inlineStr">
        <is>
          <t>One of twin brothers searching for a sister they believed dead</t>
        </is>
      </c>
      <c r="X6" s="19" t="inlineStr">
        <is>
          <t>Kapoor takes both twins, the ordinary Raaja and the CID inspector Ram. Raaja courts Rani, who cannot tell the brothers apart until Ram grows a moustache for her benefit, and after Ram is killed by the bandit Sher Singh's men he disguises himself as his dead brother to finish the rescue and the revenge.</t>
        </is>
      </c>
      <c r="Y6" s="19" t="inlineStr">
        <is>
          <t>To recover the sister held by Sher Singh and to avenge his brother.</t>
        </is>
      </c>
      <c r="Z6" s="19" t="inlineStr">
        <is>
          <t>A bandit holding his sister, and the confusion of two identical faces.</t>
        </is>
      </c>
      <c r="AA6" s="19" t="inlineStr">
        <is>
          <t>From an untroubled commoner to a man impersonating his murdered twin to finish his work.</t>
        </is>
      </c>
      <c r="AB6" s="19" t="inlineStr">
        <is>
          <t>Good</t>
        </is>
      </c>
      <c r="AC6" s="5" t="inlineStr">
        <is>
          <t>Brings the culprits to justice and marries Rani, though their sister dies of her injuries.</t>
        </is>
      </c>
      <c r="AD6" s="5" t="inlineStr">
        <is>
          <t>Sulakshana Pandit</t>
        </is>
      </c>
      <c r="AE6" s="5" t="inlineStr">
        <is>
          <t>Secondary</t>
        </is>
      </c>
      <c r="AF6" s="20" t="n">
        <v>5</v>
      </c>
      <c r="AG6" s="19" t="inlineStr">
        <is>
          <t>Romance subordinate to another genre</t>
        </is>
      </c>
      <c r="AH6" s="5" t="n"/>
      <c r="AI6" s="5" t="n"/>
      <c r="AJ6" s="5" t="n"/>
      <c r="AK6" s="5" t="n"/>
      <c r="AL6" s="5" t="n"/>
      <c r="AM6" s="5" t="n"/>
      <c r="AN6" s="5" t="n"/>
      <c r="AO6" s="18" t="n"/>
      <c r="AP6" s="19" t="n"/>
      <c r="AQ6" s="19" t="n"/>
      <c r="AR6" s="5" t="inlineStr">
        <is>
          <t>SOURCE-001; SOURCE-009</t>
        </is>
      </c>
      <c r="AS6" s="5" t="inlineStr">
        <is>
          <t>Medium</t>
        </is>
      </c>
      <c r="AT6" s="5" t="inlineStr">
        <is>
          <t>Filmography notes: Double Role. The mistaken-identity device is played on the heroine rather than on a villain: Rani cannot distinguish the twins, which is the source of most of the courtship's comedy.</t>
        </is>
      </c>
    </row>
    <row r="7" ht="79" customHeight="1">
      <c r="A7" s="15" t="inlineStr">
        <is>
          <t>FILM-006</t>
        </is>
      </c>
      <c r="B7" s="5" t="inlineStr">
        <is>
          <t>Khel Khel Mein</t>
        </is>
      </c>
      <c r="C7" s="16" t="n">
        <v>27530</v>
      </c>
      <c r="D7" s="17" t="n">
        <v>1975</v>
      </c>
      <c r="E7" s="5" t="inlineStr">
        <is>
          <t>1970s</t>
        </is>
      </c>
      <c r="F7" s="5" t="inlineStr">
        <is>
          <t>Hindi</t>
        </is>
      </c>
      <c r="G7" s="5" t="inlineStr">
        <is>
          <t>Black comedy thriller</t>
        </is>
      </c>
      <c r="H7" s="5" t="inlineStr">
        <is>
          <t>Mystery</t>
        </is>
      </c>
      <c r="I7" s="18" t="n"/>
      <c r="J7" s="5" t="inlineStr">
        <is>
          <t>Ravi Tandon</t>
        </is>
      </c>
      <c r="K7" s="5" t="inlineStr">
        <is>
          <t>Ravi Malhotra</t>
        </is>
      </c>
      <c r="L7" s="5" t="n"/>
      <c r="M7" s="5" t="inlineStr">
        <is>
          <t>Sachin Bhowmick</t>
        </is>
      </c>
      <c r="N7" s="5" t="n"/>
      <c r="O7" s="5" t="inlineStr">
        <is>
          <t>R. D. Burman</t>
        </is>
      </c>
      <c r="P7" s="5" t="n"/>
      <c r="Q7" s="5" t="n"/>
      <c r="R7" s="5" t="inlineStr">
        <is>
          <t>Ajay Anand</t>
        </is>
      </c>
      <c r="S7" s="5" t="n"/>
      <c r="T7" s="5" t="inlineStr">
        <is>
          <t>Lead</t>
        </is>
      </c>
      <c r="U7" s="20" t="n">
        <v>1</v>
      </c>
      <c r="V7" s="5" t="inlineStr">
        <is>
          <t>College student in Shimla</t>
        </is>
      </c>
      <c r="W7" s="5" t="inlineStr">
        <is>
          <t>Earnest middle-class student, initially the odd one out among the pranksters</t>
        </is>
      </c>
      <c r="X7" s="19" t="inlineStr">
        <is>
          <t>Ajay arrives at a Shimla college as an easy target for the pranksters Vikram and Nisha, then joins them. A joke extortion note to a miserly seth is followed by the man's death, and Ajay and Nisha spend the film clearing themselves of a murder they did not commit while the real extortionist kills their friend and stalks them.</t>
        </is>
      </c>
      <c r="Y7" s="19" t="inlineStr">
        <is>
          <t>To prove that a prank did not make him a murderer.</t>
        </is>
      </c>
      <c r="Z7" s="19" t="inlineStr">
        <is>
          <t>A blackmailer who kills in his own name and frames the students for it.</t>
        </is>
      </c>
      <c r="AA7" s="19" t="inlineStr">
        <is>
          <t>From a reluctant prankster to a man who has to reason his way out of a killing.</t>
        </is>
      </c>
      <c r="AB7" s="19" t="inlineStr">
        <is>
          <t>Good</t>
        </is>
      </c>
      <c r="AC7" s="5" t="inlineStr">
        <is>
          <t>Clears himself and Nisha and exposes Black Cobra.</t>
        </is>
      </c>
      <c r="AD7" s="5" t="inlineStr">
        <is>
          <t>Neetu Singh</t>
        </is>
      </c>
      <c r="AE7" s="5" t="inlineStr">
        <is>
          <t>Secondary</t>
        </is>
      </c>
      <c r="AF7" s="20" t="n">
        <v>5</v>
      </c>
      <c r="AG7" s="19" t="inlineStr">
        <is>
          <t>Friendship to love</t>
        </is>
      </c>
      <c r="AH7" s="5" t="n"/>
      <c r="AI7" s="5" t="n"/>
      <c r="AJ7" s="5" t="n"/>
      <c r="AK7" s="5" t="n"/>
      <c r="AL7" s="5" t="n"/>
      <c r="AM7" s="5" t="n"/>
      <c r="AN7" s="5" t="n"/>
      <c r="AO7" s="18" t="n"/>
      <c r="AP7" s="19" t="n"/>
      <c r="AQ7" s="19" t="inlineStr">
        <is>
          <t>One of the defining Kapoor-Neetu Singh college comedies of the decade, and strongly identified with its R. D. Burman songs.</t>
        </is>
      </c>
      <c r="AR7" s="5" t="inlineStr">
        <is>
          <t>SOURCE-001; SOURCE-006</t>
        </is>
      </c>
      <c r="AS7" s="5" t="inlineStr">
        <is>
          <t>Medium</t>
        </is>
      </c>
      <c r="AT7" s="5" t="inlineStr">
        <is>
          <t>Adapted from the French novel Good Children Don't Kill by Louis Thomas. The romance grows out of a three-way friendship rather than a courtship, and the thriller plot dominates the second half.</t>
        </is>
      </c>
    </row>
    <row r="8" ht="79" customHeight="1">
      <c r="A8" s="15" t="inlineStr">
        <is>
          <t>FILM-007</t>
        </is>
      </c>
      <c r="B8" s="5" t="inlineStr">
        <is>
          <t>Rafoo Chakkar</t>
        </is>
      </c>
      <c r="C8" s="16" t="n">
        <v>27668</v>
      </c>
      <c r="D8" s="17" t="n">
        <v>1975</v>
      </c>
      <c r="E8" s="5" t="inlineStr">
        <is>
          <t>1970s</t>
        </is>
      </c>
      <c r="F8" s="5" t="inlineStr">
        <is>
          <t>Hindi</t>
        </is>
      </c>
      <c r="G8" s="5" t="inlineStr">
        <is>
          <t>Comedy</t>
        </is>
      </c>
      <c r="H8" s="5" t="inlineStr">
        <is>
          <t>Musical</t>
        </is>
      </c>
      <c r="I8" s="18" t="n"/>
      <c r="J8" s="5" t="inlineStr">
        <is>
          <t>Narender Bedi</t>
        </is>
      </c>
      <c r="K8" s="5" t="inlineStr">
        <is>
          <t>I. A. Nadiadwala</t>
        </is>
      </c>
      <c r="L8" s="5" t="n"/>
      <c r="M8" s="5" t="inlineStr">
        <is>
          <t>Kader Khan; Jayant Dharmadhikari; K. K. Shukla</t>
        </is>
      </c>
      <c r="N8" s="5" t="n"/>
      <c r="O8" s="5" t="inlineStr">
        <is>
          <t>Kalyanji–Anandji</t>
        </is>
      </c>
      <c r="P8" s="5" t="n"/>
      <c r="Q8" s="5" t="inlineStr">
        <is>
          <t>Gulshan Bawra</t>
        </is>
      </c>
      <c r="R8" s="5" t="inlineStr">
        <is>
          <t>Dev</t>
        </is>
      </c>
      <c r="S8" s="5" t="inlineStr">
        <is>
          <t>Disguises himself as the woman 'Devi' in a girls' band, and separately poses as an oil tycoon named Esso</t>
        </is>
      </c>
      <c r="T8" s="5" t="inlineStr">
        <is>
          <t>Lead</t>
        </is>
      </c>
      <c r="U8" s="20" t="n">
        <v>1</v>
      </c>
      <c r="V8" s="5" t="inlineStr">
        <is>
          <t>Out-of-work musician</t>
        </is>
      </c>
      <c r="W8" s="5" t="inlineStr">
        <is>
          <t>Penniless performer on the run from gangsters</t>
        </is>
      </c>
      <c r="X8" s="19" t="inlineStr">
        <is>
          <t>Dev and his friend witness a murder, are spotted, and escape by dressing as women and joining a girls' band bound for Kashmir. In drag beside Ritu for most of the film, he courts her in a second disguise as an oil tycoon called Esso, so the romance is conducted entirely through two false identities before the men are unmasked.</t>
        </is>
      </c>
      <c r="Y8" s="19" t="inlineStr">
        <is>
          <t>To stay alive, and to win Ritu while pretending to be two people he is not.</t>
        </is>
      </c>
      <c r="Z8" s="19" t="inlineStr">
        <is>
          <t>The gangsters hunting him, and the impossibility of courting a woman while disguised as one.</t>
        </is>
      </c>
      <c r="AA8" s="19" t="inlineStr">
        <is>
          <t>From a man hiding inside a disguise to one whose real identity is exposed and accepted anyway.</t>
        </is>
      </c>
      <c r="AB8" s="19" t="inlineStr">
        <is>
          <t>Good</t>
        </is>
      </c>
      <c r="AC8" s="5" t="inlineStr">
        <is>
          <t>Unmasked with the romantic pairings intact; the film closes on the closing line of Some Like It Hot.</t>
        </is>
      </c>
      <c r="AD8" s="5" t="inlineStr">
        <is>
          <t>Neetu Singh</t>
        </is>
      </c>
      <c r="AE8" s="5" t="inlineStr">
        <is>
          <t>Central</t>
        </is>
      </c>
      <c r="AF8" s="20" t="n">
        <v>8</v>
      </c>
      <c r="AG8" s="19" t="inlineStr">
        <is>
          <t>Playful conflict masking attraction</t>
        </is>
      </c>
      <c r="AH8" s="5" t="n"/>
      <c r="AI8" s="5" t="n"/>
      <c r="AJ8" s="5" t="n"/>
      <c r="AK8" s="5" t="n"/>
      <c r="AL8" s="5" t="n"/>
      <c r="AM8" s="5" t="n"/>
      <c r="AN8" s="5" t="n"/>
      <c r="AO8" s="18" t="n"/>
      <c r="AP8" s="19" t="n"/>
      <c r="AQ8" s="19" t="inlineStr">
        <is>
          <t>Named in the main Wikipedia article among the films that fixed Kapoor's romantic-hero image in the 1970s.</t>
        </is>
      </c>
      <c r="AR8" s="5" t="inlineStr">
        <is>
          <t>SOURCE-001; SOURCE-007</t>
        </is>
      </c>
      <c r="AS8" s="5" t="inlineStr">
        <is>
          <t>Medium</t>
        </is>
      </c>
      <c r="AT8" s="5" t="inlineStr">
        <is>
          <t>Adapted from Some Like It Hot (1959), itself from the 1935 French film Fanfare of Love, and it keeps the American film's closing line. Deception is structural rather than malicious: the courtship depends on two simultaneous disguises.</t>
        </is>
      </c>
    </row>
    <row r="9" ht="79" customHeight="1">
      <c r="A9" s="15" t="inlineStr">
        <is>
          <t>FILM-008</t>
        </is>
      </c>
      <c r="B9" s="5" t="inlineStr">
        <is>
          <t>Zinda Dil</t>
        </is>
      </c>
      <c r="C9" s="16" t="n">
        <v>27682</v>
      </c>
      <c r="D9" s="17" t="n">
        <v>1975</v>
      </c>
      <c r="E9" s="5" t="inlineStr">
        <is>
          <t>1970s</t>
        </is>
      </c>
      <c r="F9" s="5" t="inlineStr">
        <is>
          <t>Hindi</t>
        </is>
      </c>
      <c r="G9" s="5" t="inlineStr">
        <is>
          <t>Drama</t>
        </is>
      </c>
      <c r="H9" s="5" t="inlineStr">
        <is>
          <t>Family melodrama</t>
        </is>
      </c>
      <c r="I9" s="18" t="n"/>
      <c r="J9" s="5" t="inlineStr">
        <is>
          <t>Sikandar Khanna</t>
        </is>
      </c>
      <c r="K9" s="5" t="inlineStr">
        <is>
          <t>K. L. Bhatia; K. Shorey</t>
        </is>
      </c>
      <c r="L9" s="5" t="n"/>
      <c r="M9" s="5" t="n"/>
      <c r="N9" s="5" t="n"/>
      <c r="O9" s="5" t="inlineStr">
        <is>
          <t>Laxmikant–Pyarelal</t>
        </is>
      </c>
      <c r="P9" s="5" t="n"/>
      <c r="Q9" s="5" t="n"/>
      <c r="R9" s="5" t="inlineStr">
        <is>
          <t>Arun Sharma</t>
        </is>
      </c>
      <c r="S9" s="5" t="inlineStr">
        <is>
          <t>One of twin brothers, Arun and Kewal, played by Kapoor and a look-alike actor rather than as a double role</t>
        </is>
      </c>
      <c r="T9" s="5" t="inlineStr">
        <is>
          <t>Lead</t>
        </is>
      </c>
      <c r="U9" s="20" t="n">
        <v>1</v>
      </c>
      <c r="V9" s="5" t="inlineStr">
        <is>
          <t>Hotel employee after leaving home</t>
        </is>
      </c>
      <c r="W9" s="5" t="inlineStr">
        <is>
          <t>Twin son of a disabled war veteran who openly prefers the other brother</t>
        </is>
      </c>
      <c r="X9" s="19" t="inlineStr">
        <is>
          <t>Arun is the unfavoured twin of a war-crippled major who demands he give up everything for his brother, including the woman he loves. He leaves home, is found work by Jyoti, whose life he once saved, and discovers from a hotel waiter that the mother he believed dead is alive, which sends him back to confront his father.</t>
        </is>
      </c>
      <c r="Y9" s="19" t="inlineStr">
        <is>
          <t>To be valued by a father who has always preferred his brother.</t>
        </is>
      </c>
      <c r="Z9" s="19" t="inlineStr">
        <is>
          <t>A father's open favouritism and the sacrifices he demands.</t>
        </is>
      </c>
      <c r="AA9" s="19" t="inlineStr">
        <is>
          <t>From a son who yields, including over Rekha, to one who confronts his father with the mother he hid.</t>
        </is>
      </c>
      <c r="AB9" s="19" t="inlineStr">
        <is>
          <t>Good</t>
        </is>
      </c>
      <c r="AC9" s="5" t="inlineStr">
        <is>
          <t>Confronts his father with his living mother; the article leaves the resolution as a rhetorical question.</t>
        </is>
      </c>
      <c r="AD9" s="5" t="inlineStr">
        <is>
          <t>Neetu Singh; Zaheera</t>
        </is>
      </c>
      <c r="AE9" s="5" t="inlineStr">
        <is>
          <t>Secondary</t>
        </is>
      </c>
      <c r="AF9" s="20" t="n">
        <v>5</v>
      </c>
      <c r="AG9" s="19" t="inlineStr">
        <is>
          <t>Multiple romantic relationships</t>
        </is>
      </c>
      <c r="AH9" s="5" t="n"/>
      <c r="AI9" s="5" t="n"/>
      <c r="AJ9" s="5" t="n"/>
      <c r="AK9" s="5" t="n"/>
      <c r="AL9" s="5" t="n"/>
      <c r="AM9" s="5" t="n"/>
      <c r="AN9" s="5" t="n"/>
      <c r="AO9" s="18" t="n"/>
      <c r="AP9" s="19" t="n"/>
      <c r="AQ9" s="19" t="n"/>
      <c r="AR9" s="5" t="inlineStr">
        <is>
          <t>SOURCE-001; SOURCE-008</t>
        </is>
      </c>
      <c r="AS9" s="5" t="inlineStr">
        <is>
          <t>Medium</t>
        </is>
      </c>
      <c r="AT9" s="5" t="inlineStr">
        <is>
          <t>Based on East of Eden (1955). The twin Kewal is played by the look-alike actor Rajesh Leher rather than by Kapoor, so this is not a double role. Two romances are scored: Rekha, whom he is made to renounce, and Jyoti, who takes him in afterwards.</t>
        </is>
      </c>
    </row>
    <row r="10" ht="79" customHeight="1">
      <c r="A10" s="15" t="inlineStr">
        <is>
          <t>FILM-009</t>
        </is>
      </c>
      <c r="B10" s="5" t="inlineStr">
        <is>
          <t>Kabhie Kabhie</t>
        </is>
      </c>
      <c r="C10" s="16" t="n">
        <v>27817</v>
      </c>
      <c r="D10" s="17" t="n">
        <v>1976</v>
      </c>
      <c r="E10" s="5" t="inlineStr">
        <is>
          <t>1970s</t>
        </is>
      </c>
      <c r="F10" s="5" t="inlineStr">
        <is>
          <t>Hindi; Urdu</t>
        </is>
      </c>
      <c r="G10" s="5" t="inlineStr">
        <is>
          <t>Musical romantic drama</t>
        </is>
      </c>
      <c r="H10" s="5" t="inlineStr">
        <is>
          <t>Family melodrama</t>
        </is>
      </c>
      <c r="I10" s="17" t="n">
        <v>178</v>
      </c>
      <c r="J10" s="5" t="inlineStr">
        <is>
          <t>Yash Chopra</t>
        </is>
      </c>
      <c r="K10" s="5" t="inlineStr">
        <is>
          <t>Yash Chopra</t>
        </is>
      </c>
      <c r="L10" s="5" t="inlineStr">
        <is>
          <t>Yash Raj Films</t>
        </is>
      </c>
      <c r="M10" s="5" t="inlineStr">
        <is>
          <t>Pamela Chopra; Sagar Sarhadi</t>
        </is>
      </c>
      <c r="N10" s="5" t="n"/>
      <c r="O10" s="5" t="inlineStr">
        <is>
          <t>Khayyam</t>
        </is>
      </c>
      <c r="P10" s="5" t="n"/>
      <c r="Q10" s="5" t="inlineStr">
        <is>
          <t>Sahir Ludhianvi</t>
        </is>
      </c>
      <c r="R10" s="5" t="inlineStr">
        <is>
          <t>Vikram Khanna "Vicky"</t>
        </is>
      </c>
      <c r="S10" s="5" t="n"/>
      <c r="T10" s="5" t="inlineStr">
        <is>
          <t>Supporting</t>
        </is>
      </c>
      <c r="U10" s="20" t="n">
        <v>5</v>
      </c>
      <c r="V10" s="5" t="inlineStr">
        <is>
          <t>College student</t>
        </is>
      </c>
      <c r="W10" s="5" t="inlineStr">
        <is>
          <t>Son of the architect Vijay Khanna and Pooja; raised in comfort, unaware of the history between his mother and the poet Amit</t>
        </is>
      </c>
      <c r="X10" s="19" t="inlineStr">
        <is>
          <t>Vicky belongs to the film's younger generation, in love with his college friend Pinky. His thread turns when Pinky learns she was adopted and goes looking for her birth mother, and he is left waiting on a search that reaches back into the older couples' buried history rather than driving the film himself.</t>
        </is>
      </c>
      <c r="Y10" s="19" t="inlineStr">
        <is>
          <t>To marry Pinky.</t>
        </is>
      </c>
      <c r="Z10" s="19" t="inlineStr">
        <is>
          <t>Pinky's discovery of her adoption, which suspends the marriage and sends her away.</t>
        </is>
      </c>
      <c r="AA10" s="19" t="inlineStr">
        <is>
          <t>From an uncomplicated young lover to one who has to wait out someone else's crisis of parentage.</t>
        </is>
      </c>
      <c r="AB10" s="19" t="inlineStr">
        <is>
          <t>Good</t>
        </is>
      </c>
      <c r="AC10" s="5" t="inlineStr">
        <is>
          <t>Reunited with Pinky once the older generation's secrets are resolved.</t>
        </is>
      </c>
      <c r="AD10" s="5" t="inlineStr">
        <is>
          <t>Neetu Singh</t>
        </is>
      </c>
      <c r="AE10" s="5" t="inlineStr">
        <is>
          <t>Secondary</t>
        </is>
      </c>
      <c r="AF10" s="20" t="n">
        <v>9</v>
      </c>
      <c r="AG10" s="19" t="inlineStr">
        <is>
          <t>Romance subordinate to another genre</t>
        </is>
      </c>
      <c r="AH10" s="5" t="n"/>
      <c r="AI10" s="5" t="n"/>
      <c r="AJ10" s="5" t="n"/>
      <c r="AK10" s="5" t="n"/>
      <c r="AL10" s="5" t="n"/>
      <c r="AM10" s="5" t="n"/>
      <c r="AN10" s="5" t="n"/>
      <c r="AO10" s="18" t="n"/>
      <c r="AP10" s="19" t="n"/>
      <c r="AQ10" s="19" t="inlineStr">
        <is>
          <t>A landmark Yash Chopra ensemble, and Kapoor's first major film in a cast headed by Amitabh Bachchan, Shashi Kapoor, Waheeda Rehman and Raakhee.</t>
        </is>
      </c>
      <c r="AR10" s="5" t="inlineStr">
        <is>
          <t>SOURCE-001; SOURCE-010</t>
        </is>
      </c>
      <c r="AS10" s="5" t="inlineStr">
        <is>
          <t>Medium</t>
        </is>
      </c>
      <c r="AT10" s="5" t="inlineStr">
        <is>
          <t>Infobox gross '₹40 million' has no nett/gross label and is not entered. Romance centrality is high because the film is wholly about love across two generations, but Kapoor is fifth-billed in an ensemble and his own thread is secondary to the Amit-Pooja story.</t>
        </is>
      </c>
    </row>
    <row r="11" ht="139" customHeight="1">
      <c r="A11" s="15" t="inlineStr">
        <is>
          <t>FILM-010</t>
        </is>
      </c>
      <c r="B11" s="5" t="inlineStr">
        <is>
          <t>Barood</t>
        </is>
      </c>
      <c r="C11" s="16" t="n">
        <v>27852</v>
      </c>
      <c r="D11" s="17" t="n">
        <v>1976</v>
      </c>
      <c r="E11" s="5" t="inlineStr">
        <is>
          <t>1970s</t>
        </is>
      </c>
      <c r="F11" s="5" t="inlineStr">
        <is>
          <t>Hindi</t>
        </is>
      </c>
      <c r="G11" s="5" t="inlineStr">
        <is>
          <t>Action crime</t>
        </is>
      </c>
      <c r="H11" s="5" t="inlineStr">
        <is>
          <t>Revenge thriller</t>
        </is>
      </c>
      <c r="I11" s="17" t="n">
        <v>140</v>
      </c>
      <c r="J11" s="5" t="inlineStr">
        <is>
          <t>Pramod Chakravorty</t>
        </is>
      </c>
      <c r="K11" s="5" t="inlineStr">
        <is>
          <t>J. C. Bhagat; H. S. Bhattacharya; Jitu Thakar</t>
        </is>
      </c>
      <c r="L11" s="5" t="n"/>
      <c r="M11" s="5" t="inlineStr">
        <is>
          <t>Sachin Bhowmick</t>
        </is>
      </c>
      <c r="N11" s="5" t="inlineStr">
        <is>
          <t>Based on The Summertime Killer by Antonio Isasi-Isasmendi</t>
        </is>
      </c>
      <c r="O11" s="5" t="inlineStr">
        <is>
          <t>S. D. Burman</t>
        </is>
      </c>
      <c r="P11" s="5" t="n"/>
      <c r="Q11" s="5" t="inlineStr">
        <is>
          <t>Anand Bakshi</t>
        </is>
      </c>
      <c r="R11" s="5" t="inlineStr">
        <is>
          <t>Anup D. Saxena (Pappu)</t>
        </is>
      </c>
      <c r="S11" s="5" t="n"/>
      <c r="T11" s="5" t="inlineStr">
        <is>
          <t>Lead</t>
        </is>
      </c>
      <c r="U11" s="20" t="n">
        <v>2</v>
      </c>
      <c r="V11" s="5" t="inlineStr">
        <is>
          <t>Champion motorcyclist</t>
        </is>
      </c>
      <c r="W11" s="5" t="inlineStr">
        <is>
          <t>Son of a decorated Bombay police inspector, murdered in front of him when he was eight</t>
        </is>
      </c>
      <c r="X11" s="19" t="inlineStr">
        <is>
          <t>Anup watches four smugglers beat his police-officer father to death on Juhu Beach at eight years old and spends twelve years preparing to kill them. The film follows him across Las Vegas, New York, Geneva and Madrid eliminating them one by one, courting Bakshi's daughter Seema partly for access, and finally surrendering himself to the detective who has shadowed him throughout.</t>
        </is>
      </c>
      <c r="Y11" s="19" t="inlineStr">
        <is>
          <t>To kill the four men who murdered his father.</t>
        </is>
      </c>
      <c r="Z11" s="19" t="inlineStr">
        <is>
          <t>A mafia lord hunting him while a friendly detective tries to save him from himself.</t>
        </is>
      </c>
      <c r="AA11" s="19" t="inlineStr">
        <is>
          <t>From an orphaned boy to a methodical killer who accepts arrest once the revenge is complete.</t>
        </is>
      </c>
      <c r="AB11" s="19" t="inlineStr">
        <is>
          <t>Morally mixed</t>
        </is>
      </c>
      <c r="AC11" s="5" t="inlineStr">
        <is>
          <t>Hands himself to the police after the last of the four dies, and is met by Gupta on release.</t>
        </is>
      </c>
      <c r="AD11" s="5" t="inlineStr">
        <is>
          <t>Shoma Anand; Reena Roy</t>
        </is>
      </c>
      <c r="AE11" s="5" t="inlineStr">
        <is>
          <t>Minor</t>
        </is>
      </c>
      <c r="AF11" s="20" t="n">
        <v>3</v>
      </c>
      <c r="AG11" s="19" t="inlineStr">
        <is>
          <t>Romance subordinate to another genre</t>
        </is>
      </c>
      <c r="AH11" s="5" t="n"/>
      <c r="AI11" s="5" t="n"/>
      <c r="AJ11" s="5" t="n"/>
      <c r="AK11" s="5" t="n"/>
      <c r="AL11" s="5" t="n"/>
      <c r="AM11" s="5" t="n"/>
      <c r="AN11" s="5" t="inlineStr">
        <is>
          <t>Hit in India; All Time Blockbuster in the Soviet Union</t>
        </is>
      </c>
      <c r="AO11" s="18" t="n"/>
      <c r="AP11" s="19" t="n"/>
      <c r="AQ11" s="19" t="inlineStr">
        <is>
          <t>Drew about 60 million Soviet admissions, the second highest for an Indian film in the 1970s after Kapoor's own Bobby, and the fourth most successful Indian import in Soviet history.</t>
        </is>
      </c>
      <c r="AR11" s="5" t="inlineStr">
        <is>
          <t>SOURCE-001; SOURCE-014</t>
        </is>
      </c>
      <c r="AS11" s="5" t="inlineStr">
        <is>
          <t>Medium</t>
        </is>
      </c>
      <c r="AT11" s="5" t="inlineStr">
        <is>
          <t>Infobox gross '₹19.32 crore (US$23.52 million)' has no nett/gross label and is not entered. No rupee figures are given. The article calls it a successful venture in India and an All Time Blockbuster in the Soviet Union, where it topped the 1978 chart; the Soviet standing is recorded in recognition rather than converted into a worldwide gross. He woos Bakshi's assistant Sapna instrumentally, to get at her employer, and only Seema is scored as a romance.</t>
        </is>
      </c>
    </row>
    <row r="12" ht="94" customHeight="1">
      <c r="A12" s="15" t="inlineStr">
        <is>
          <t>FILM-011</t>
        </is>
      </c>
      <c r="B12" s="5" t="inlineStr">
        <is>
          <t>Rangila Ratan</t>
        </is>
      </c>
      <c r="C12" s="16" t="n">
        <v>27958</v>
      </c>
      <c r="D12" s="17" t="n">
        <v>1976</v>
      </c>
      <c r="E12" s="5" t="inlineStr">
        <is>
          <t>1970s</t>
        </is>
      </c>
      <c r="F12" s="5" t="inlineStr">
        <is>
          <t>Hindi</t>
        </is>
      </c>
      <c r="G12" s="5" t="inlineStr">
        <is>
          <t>Action drama</t>
        </is>
      </c>
      <c r="H12" s="5" t="inlineStr">
        <is>
          <t>Crime</t>
        </is>
      </c>
      <c r="I12" s="18" t="n"/>
      <c r="J12" s="5" t="inlineStr">
        <is>
          <t>S. Ramanathan</t>
        </is>
      </c>
      <c r="K12" s="5" t="inlineStr">
        <is>
          <t>Ratan Khatri</t>
        </is>
      </c>
      <c r="L12" s="5" t="n"/>
      <c r="M12" s="5" t="n"/>
      <c r="N12" s="5" t="n"/>
      <c r="O12" s="5" t="inlineStr">
        <is>
          <t>Kalyanji–Anandji</t>
        </is>
      </c>
      <c r="P12" s="5" t="n"/>
      <c r="Q12" s="5" t="n"/>
      <c r="R12" s="5" t="inlineStr">
        <is>
          <t>Ratan</t>
        </is>
      </c>
      <c r="S12" s="5" t="inlineStr">
        <is>
          <t>Kishan; Gopal</t>
        </is>
      </c>
      <c r="T12" s="5" t="inlineStr">
        <is>
          <t>Lead</t>
        </is>
      </c>
      <c r="U12" s="20" t="n">
        <v>1</v>
      </c>
      <c r="V12" s="5" t="inlineStr">
        <is>
          <t>Small-time criminal, then a doctor's household</t>
        </is>
      </c>
      <c r="W12" s="5" t="inlineStr">
        <is>
          <t>Kidnapped as a child from a government lawyer's family and raised deliberately in crime</t>
        </is>
      </c>
      <c r="X12" s="19" t="inlineStr">
        <is>
          <t>Kidnapped as the lawyer Dinanath's son Gopal and raised as the criminal Kishan by the man Dinanath sent to the gallows, he is groomed his whole life as an instrument of revenge against his own father. Sheltered by Dr. Anand, he is mistaken by the doctor's blind mother for her dead son Ratan and takes that name, living a third life while his foster-father hunts him.</t>
        </is>
      </c>
      <c r="Y12" s="19" t="inlineStr">
        <is>
          <t>To leave the life he was raised into and keep the identity that has been offered him.</t>
        </is>
      </c>
      <c r="Z12" s="19" t="inlineStr">
        <is>
          <t>The criminal foster-father who raised him as a weapon against the father he does not know he has.</t>
        </is>
      </c>
      <c r="AA12" s="19" t="inlineStr">
        <is>
          <t>Across three names, from stolen child to criminal to a man who chooses to be Ratan.</t>
        </is>
      </c>
      <c r="AB12" s="19" t="inlineStr">
        <is>
          <t>Morally mixed</t>
        </is>
      </c>
      <c r="AC12" s="5" t="inlineStr">
        <is>
          <t>The article poses the outcome as open questions and does not state the resolution.</t>
        </is>
      </c>
      <c r="AD12" s="5" t="inlineStr">
        <is>
          <t>Parveen Babi</t>
        </is>
      </c>
      <c r="AE12" s="5" t="inlineStr">
        <is>
          <t>Secondary</t>
        </is>
      </c>
      <c r="AF12" s="20" t="n">
        <v>5</v>
      </c>
      <c r="AG12" s="19" t="inlineStr">
        <is>
          <t>Romance subordinate to another genre</t>
        </is>
      </c>
      <c r="AH12" s="5" t="n"/>
      <c r="AI12" s="5" t="n"/>
      <c r="AJ12" s="5" t="n"/>
      <c r="AK12" s="5" t="n"/>
      <c r="AL12" s="5" t="n"/>
      <c r="AM12" s="5" t="n"/>
      <c r="AN12" s="5" t="n"/>
      <c r="AO12" s="18" t="n"/>
      <c r="AP12" s="19" t="n"/>
      <c r="AQ12" s="19" t="n"/>
      <c r="AR12" s="5" t="inlineStr">
        <is>
          <t>SOURCE-001; SOURCE-012</t>
        </is>
      </c>
      <c r="AS12" s="5" t="inlineStr">
        <is>
          <t>Low</t>
        </is>
      </c>
      <c r="AT12" s="5" t="inlineStr">
        <is>
          <t>The article's plot section ends in rhetorical questions rather than a resolution, so the outcome and the fate of the romance with Madhu are not documented. Confidence is Low for that reason.</t>
        </is>
      </c>
    </row>
    <row r="13" ht="79" customHeight="1">
      <c r="A13" s="15" t="inlineStr">
        <is>
          <t>FILM-012</t>
        </is>
      </c>
      <c r="B13" s="5" t="inlineStr">
        <is>
          <t>Ginny Aur Johnny</t>
        </is>
      </c>
      <c r="C13" s="16" t="n">
        <v>28060</v>
      </c>
      <c r="D13" s="17" t="n">
        <v>1976</v>
      </c>
      <c r="E13" s="5" t="inlineStr">
        <is>
          <t>1970s</t>
        </is>
      </c>
      <c r="F13" s="5" t="inlineStr">
        <is>
          <t>Hindi</t>
        </is>
      </c>
      <c r="G13" s="5" t="inlineStr">
        <is>
          <t>Comedy-drama</t>
        </is>
      </c>
      <c r="H13" s="5" t="n"/>
      <c r="I13" s="18" t="n"/>
      <c r="J13" s="5" t="inlineStr">
        <is>
          <t>Mehmood</t>
        </is>
      </c>
      <c r="K13" s="5" t="inlineStr">
        <is>
          <t>Amarlal Chabria</t>
        </is>
      </c>
      <c r="L13" s="5" t="n"/>
      <c r="M13" s="5" t="n"/>
      <c r="N13" s="5" t="n"/>
      <c r="O13" s="5" t="inlineStr">
        <is>
          <t>Rajesh Roshan</t>
        </is>
      </c>
      <c r="P13" s="5" t="n"/>
      <c r="Q13" s="5" t="n"/>
      <c r="R13" s="5" t="inlineStr">
        <is>
          <t>Himself</t>
        </is>
      </c>
      <c r="S13" s="5" t="n"/>
      <c r="T13" s="5" t="inlineStr">
        <is>
          <t>Self appearance</t>
        </is>
      </c>
      <c r="U13" s="18" t="n"/>
      <c r="V13" s="5" t="n"/>
      <c r="W13" s="5" t="n"/>
      <c r="X13" s="19" t="inlineStr">
        <is>
          <t>A guest appearance in Mehmood's film about a con man who sells holy books to the bereaved and is saddled with a nine-year-old orphan. The cast list places Kapoor in a guest role without a character, among a long line of star walk-ons including Rajesh Khanna, Hema Malini, Randhir Kapoor and Vinod Mehra.</t>
        </is>
      </c>
      <c r="Y13" s="19" t="n"/>
      <c r="Z13" s="19" t="n"/>
      <c r="AA13" s="19" t="n"/>
      <c r="AB13" s="19" t="inlineStr">
        <is>
          <t>Not applicable</t>
        </is>
      </c>
      <c r="AC13" s="5" t="n"/>
      <c r="AD13" s="5" t="n"/>
      <c r="AE13" s="5" t="inlineStr">
        <is>
          <t>None</t>
        </is>
      </c>
      <c r="AF13" s="18" t="n"/>
      <c r="AG13" s="19" t="inlineStr">
        <is>
          <t>No meaningful romance</t>
        </is>
      </c>
      <c r="AH13" s="5" t="n"/>
      <c r="AI13" s="5" t="n"/>
      <c r="AJ13" s="5" t="n"/>
      <c r="AK13" s="5" t="n"/>
      <c r="AL13" s="5" t="n"/>
      <c r="AM13" s="5" t="n"/>
      <c r="AN13" s="5" t="n"/>
      <c r="AO13" s="18" t="n"/>
      <c r="AP13" s="19" t="n"/>
      <c r="AQ13" s="19" t="n"/>
      <c r="AR13" s="5" t="inlineStr">
        <is>
          <t>SOURCE-001; SOURCE-013</t>
        </is>
      </c>
      <c r="AS13" s="5" t="inlineStr">
        <is>
          <t>Medium</t>
        </is>
      </c>
      <c r="AT13" s="5" t="inlineStr">
        <is>
          <t>Filmography notes: Guest appearance. The filmography table gives the credit as 'Himself'; the film article lists him only as appearing in a guest role and assigns him no character. No detail beyond the fact of the appearance is documented.</t>
        </is>
      </c>
    </row>
    <row r="14" ht="94" customHeight="1">
      <c r="A14" s="15" t="inlineStr">
        <is>
          <t>FILM-013</t>
        </is>
      </c>
      <c r="B14" s="5" t="inlineStr">
        <is>
          <t>Laila Majnu</t>
        </is>
      </c>
      <c r="C14" s="16" t="n">
        <v>28075</v>
      </c>
      <c r="D14" s="17" t="n">
        <v>1976</v>
      </c>
      <c r="E14" s="5" t="inlineStr">
        <is>
          <t>1970s</t>
        </is>
      </c>
      <c r="F14" s="5" t="inlineStr">
        <is>
          <t>Hindustani</t>
        </is>
      </c>
      <c r="G14" s="5" t="inlineStr">
        <is>
          <t>Romantic drama</t>
        </is>
      </c>
      <c r="H14" s="5" t="inlineStr">
        <is>
          <t>Tragedy</t>
        </is>
      </c>
      <c r="I14" s="17" t="n">
        <v>141</v>
      </c>
      <c r="J14" s="5" t="inlineStr">
        <is>
          <t>H. S. Rawail</t>
        </is>
      </c>
      <c r="K14" s="5" t="inlineStr">
        <is>
          <t>Ram B.C.; Seeroo Daryani</t>
        </is>
      </c>
      <c r="L14" s="5" t="n"/>
      <c r="M14" s="5" t="inlineStr">
        <is>
          <t>Abrar Alvi; Anjana Rawail; H. S. Rawail</t>
        </is>
      </c>
      <c r="N14" s="5" t="n"/>
      <c r="O14" s="5" t="inlineStr">
        <is>
          <t>Madan Mohan; Jaidev</t>
        </is>
      </c>
      <c r="P14" s="5" t="n"/>
      <c r="Q14" s="5" t="inlineStr">
        <is>
          <t>Sahir Ludhianvi</t>
        </is>
      </c>
      <c r="R14" s="5" t="inlineStr">
        <is>
          <t>Qais Al-Amri</t>
        </is>
      </c>
      <c r="S14" s="5" t="inlineStr">
        <is>
          <t>Majnu</t>
        </is>
      </c>
      <c r="T14" s="5" t="inlineStr">
        <is>
          <t>Lead</t>
        </is>
      </c>
      <c r="U14" s="20" t="n">
        <v>1</v>
      </c>
      <c r="V14" s="5" t="inlineStr">
        <is>
          <t>Son of a clan chief; later a wandering madman</t>
        </is>
      </c>
      <c r="W14" s="5" t="inlineStr">
        <is>
          <t>Born to the Amari clan, hereditary enemies of Laila's Sharwaris</t>
        </is>
      </c>
      <c r="X14" s="19" t="inlineStr">
        <is>
          <t>Qais loves Laila from childhood with a bond so literal that a blow to one draws blood from the other. Separated by their clans, reunited as adults at a marketplace, he kills her brother in revenge for his father, is exiled, and wanders the desert as Majnu, the madman, thirsting for a single sight of her while she is married to a prince who cannot displace him.</t>
        </is>
      </c>
      <c r="Y14" s="19" t="inlineStr">
        <is>
          <t>To reach Laila, and after exile simply to see her once.</t>
        </is>
      </c>
      <c r="Z14" s="19" t="inlineStr">
        <is>
          <t>Two clans who would sooner be joined by blood than by love, and the killings that follow.</t>
        </is>
      </c>
      <c r="AA14" s="19" t="inlineStr">
        <is>
          <t>From a boy who writes her name instead of God's to a man who has dissolved entirely into his love for her.</t>
        </is>
      </c>
      <c r="AB14" s="19" t="inlineStr">
        <is>
          <t>Good</t>
        </is>
      </c>
      <c r="AC14" s="5" t="inlineStr">
        <is>
          <t>Dies as one of the two legendary lovers; the article records that understanding comes too late.</t>
        </is>
      </c>
      <c r="AD14" s="5" t="inlineStr">
        <is>
          <t>Ranjeeta Kaur</t>
        </is>
      </c>
      <c r="AE14" s="5" t="inlineStr">
        <is>
          <t>Central</t>
        </is>
      </c>
      <c r="AF14" s="20" t="n">
        <v>10</v>
      </c>
      <c r="AG14" s="19" t="inlineStr">
        <is>
          <t>Tragic lovers</t>
        </is>
      </c>
      <c r="AH14" s="21" t="n">
        <v>1.7</v>
      </c>
      <c r="AI14" s="21" t="n">
        <v>4.25</v>
      </c>
      <c r="AJ14" s="21" t="n">
        <v>8.5</v>
      </c>
      <c r="AK14" s="5" t="n"/>
      <c r="AL14" s="5" t="n"/>
      <c r="AM14" s="5" t="inlineStr">
        <is>
          <t>INR crore</t>
        </is>
      </c>
      <c r="AN14" s="5" t="inlineStr">
        <is>
          <t>Blockbuster</t>
        </is>
      </c>
      <c r="AO14" s="18" t="n"/>
      <c r="AP14" s="19" t="n"/>
      <c r="AQ14" s="19" t="inlineStr">
        <is>
          <t>The best known screen Majnu of its generation and a defining entry in Kapoor's lover-boy line, carried by Madan Mohan and Jaidev's score.</t>
        </is>
      </c>
      <c r="AR14" s="5" t="inlineStr">
        <is>
          <t>SOURCE-001; SOURCE-011</t>
        </is>
      </c>
      <c r="AS14" s="5" t="inlineStr">
        <is>
          <t>High</t>
        </is>
      </c>
      <c r="AT14" s="5" t="inlineStr">
        <is>
          <t>Based on the legend of Layla and Majnun. The article gives a budget of about ₹1.70 crore, a first-day take of ₹0.06 crore, ₹0.38 crore in the first week, a lifetime India nett of ₹4.25 crore and a gross of ₹8.50 crore, and calls it a blockbuster despite a modest opening.</t>
        </is>
      </c>
    </row>
    <row r="15" ht="94" customHeight="1">
      <c r="A15" s="15" t="inlineStr">
        <is>
          <t>FILM-014</t>
        </is>
      </c>
      <c r="B15" s="5" t="inlineStr">
        <is>
          <t>Amar Akbar Anthony</t>
        </is>
      </c>
      <c r="C15" s="16" t="n">
        <v>28272</v>
      </c>
      <c r="D15" s="17" t="n">
        <v>1977</v>
      </c>
      <c r="E15" s="5" t="inlineStr">
        <is>
          <t>1970s</t>
        </is>
      </c>
      <c r="F15" s="5" t="inlineStr">
        <is>
          <t>Hindi; Urdu</t>
        </is>
      </c>
      <c r="G15" s="5" t="inlineStr">
        <is>
          <t>Masala</t>
        </is>
      </c>
      <c r="H15" s="5" t="inlineStr">
        <is>
          <t>Action comedy</t>
        </is>
      </c>
      <c r="I15" s="17" t="n">
        <v>184</v>
      </c>
      <c r="J15" s="5" t="inlineStr">
        <is>
          <t>Manmohan Desai</t>
        </is>
      </c>
      <c r="K15" s="5" t="inlineStr">
        <is>
          <t>Manmohan Desai</t>
        </is>
      </c>
      <c r="L15" s="5" t="n"/>
      <c r="M15" s="5" t="inlineStr">
        <is>
          <t>Kader Khan; K. K. Shukla; Jeevanprabha M. Desai; Pushpa Sharma; Prayag Raj</t>
        </is>
      </c>
      <c r="N15" s="5" t="n"/>
      <c r="O15" s="5" t="inlineStr">
        <is>
          <t>Laxmikant–Pyarelal</t>
        </is>
      </c>
      <c r="P15" s="5" t="n"/>
      <c r="Q15" s="5" t="inlineStr">
        <is>
          <t>Anand Bakshi</t>
        </is>
      </c>
      <c r="R15" s="5" t="inlineStr">
        <is>
          <t>Akbar Illhabadi</t>
        </is>
      </c>
      <c r="S15" s="5" t="n"/>
      <c r="T15" s="5" t="inlineStr">
        <is>
          <t>Ensemble lead</t>
        </is>
      </c>
      <c r="U15" s="20" t="n">
        <v>2</v>
      </c>
      <c r="V15" s="5" t="inlineStr">
        <is>
          <t>Qawwali singer</t>
        </is>
      </c>
      <c r="W15" s="5" t="inlineStr">
        <is>
          <t>The youngest of three brothers separated in childhood; raised Muslim by the tailor Darji Ilahabadi</t>
        </is>
      </c>
      <c r="X15" s="19" t="inlineStr">
        <is>
          <t>Akbar is the youngest of three brothers separated as children and raised in three religions, the qawwal of the trio, courting Dr. Salma Ali over the objections of her father Taiyyab Ali. He carries the film's musical register and its most famous songs, and is one of the three donors whose blood saves the blind mother none of them recognises.</t>
        </is>
      </c>
      <c r="Y15" s="19" t="inlineStr">
        <is>
          <t>To marry Salma over her father's refusal, and to restore the family he does not yet know is his.</t>
        </is>
      </c>
      <c r="Z15" s="19" t="inlineStr">
        <is>
          <t>A disapproving father-in-law, and a lost family scattered across three faiths.</t>
        </is>
      </c>
      <c r="AA15" s="19" t="inlineStr">
        <is>
          <t>From a cheerful singer with a private courtship to a son restored to his mother and brothers.</t>
        </is>
      </c>
      <c r="AB15" s="19" t="inlineStr">
        <is>
          <t>Good</t>
        </is>
      </c>
      <c r="AC15" s="5" t="inlineStr">
        <is>
          <t>Wins Salma and is reunited with his parents and brothers.</t>
        </is>
      </c>
      <c r="AD15" s="5" t="inlineStr">
        <is>
          <t>Neetu Singh</t>
        </is>
      </c>
      <c r="AE15" s="5" t="inlineStr">
        <is>
          <t>Secondary</t>
        </is>
      </c>
      <c r="AF15" s="20" t="n">
        <v>5</v>
      </c>
      <c r="AG15" s="19" t="inlineStr">
        <is>
          <t>Romance subordinate to another genre</t>
        </is>
      </c>
      <c r="AH15" s="5" t="n"/>
      <c r="AI15" s="5" t="n"/>
      <c r="AJ15" s="5" t="n"/>
      <c r="AK15" s="5" t="n"/>
      <c r="AL15" s="5" t="n"/>
      <c r="AM15" s="5" t="n"/>
      <c r="AN15" s="5" t="n"/>
      <c r="AO15" s="18" t="n"/>
      <c r="AP15" s="19" t="n"/>
      <c r="AQ15" s="19" t="inlineStr">
        <is>
          <t>One of the defining masala films of Hindi cinema and among the most durable of Kapoor's 1970s credits; his qawwali numbers, above all 'Parda Hai Parda', are inseparable from the role.</t>
        </is>
      </c>
      <c r="AR15" s="5" t="inlineStr">
        <is>
          <t>SOURCE-001; SOURCE-015</t>
        </is>
      </c>
      <c r="AS15" s="5" t="inlineStr">
        <is>
          <t>High</t>
        </is>
      </c>
      <c r="AT15" s="5" t="inlineStr">
        <is>
          <t>Infobox gross '₹155 million' has no nett/gross label and is not entered. An ensemble of three brothers with Vinod Khanna and Amitabh Bachchan; Kapoor is second-billed and the romance with Salma is one of three parallel courtships. Named in the main Wikipedia article among the films that established his stardom.</t>
        </is>
      </c>
    </row>
    <row r="16" ht="109" customHeight="1">
      <c r="A16" s="15" t="inlineStr">
        <is>
          <t>FILM-015</t>
        </is>
      </c>
      <c r="B16" s="5" t="inlineStr">
        <is>
          <t>Hum Kisise Kum Naheen</t>
        </is>
      </c>
      <c r="C16" s="16" t="n">
        <v>28362</v>
      </c>
      <c r="D16" s="17" t="n">
        <v>1977</v>
      </c>
      <c r="E16" s="5" t="inlineStr">
        <is>
          <t>1970s</t>
        </is>
      </c>
      <c r="F16" s="5" t="inlineStr">
        <is>
          <t>Hindi</t>
        </is>
      </c>
      <c r="G16" s="5" t="inlineStr">
        <is>
          <t>Masala</t>
        </is>
      </c>
      <c r="H16" s="5" t="inlineStr">
        <is>
          <t>Musical thriller</t>
        </is>
      </c>
      <c r="I16" s="17" t="n">
        <v>172</v>
      </c>
      <c r="J16" s="5" t="inlineStr">
        <is>
          <t>Nasir Hussain</t>
        </is>
      </c>
      <c r="K16" s="5" t="inlineStr">
        <is>
          <t>Nasir Hussain</t>
        </is>
      </c>
      <c r="L16" s="5" t="inlineStr">
        <is>
          <t>Nasir Hussain Films</t>
        </is>
      </c>
      <c r="M16" s="5" t="inlineStr">
        <is>
          <t>Sachin Bhowmick; Nasir Hussain</t>
        </is>
      </c>
      <c r="N16" s="5" t="n"/>
      <c r="O16" s="5" t="inlineStr">
        <is>
          <t>R. D. Burman</t>
        </is>
      </c>
      <c r="P16" s="5" t="n"/>
      <c r="Q16" s="5" t="inlineStr">
        <is>
          <t>Majrooh Sultanpuri</t>
        </is>
      </c>
      <c r="R16" s="5" t="inlineStr">
        <is>
          <t>Rajesh</t>
        </is>
      </c>
      <c r="S16" s="5" t="inlineStr">
        <is>
          <t>Passes himself off as Manjeet Kumar Dana</t>
        </is>
      </c>
      <c r="T16" s="5" t="inlineStr">
        <is>
          <t>Lead</t>
        </is>
      </c>
      <c r="U16" s="20" t="n">
        <v>1</v>
      </c>
      <c r="V16" s="5" t="inlineStr">
        <is>
          <t>Hotel singer and entertainer</t>
        </is>
      </c>
      <c r="W16" s="5" t="inlineStr">
        <is>
          <t>Son of a man who died flying home with a fortune in diamonds his son never receives</t>
        </is>
      </c>
      <c r="X16" s="19" t="inlineStr">
        <is>
          <t>Rajesh is a hotel singer whose father dies in the air carrying a belt of diamonds meant for him. Taken in by a false story that Kishorilal has kidnapped a man's son, he sets out to trap Kishorilal's daughter Kajal by pretending to love her, and has to change course when the deception collides with her existing attachment to Sanjay.</t>
        </is>
      </c>
      <c r="Y16" s="19" t="inlineStr">
        <is>
          <t>To recover his father's diamonds, initially by using Kajal.</t>
        </is>
      </c>
      <c r="Z16" s="19" t="inlineStr">
        <is>
          <t>A villain manipulating him with a false kidnapping while he manipulates Kajal.</t>
        </is>
      </c>
      <c r="AA16" s="19" t="inlineStr">
        <is>
          <t>From a man who courts a woman as a tactic to one who abandons the scheme and helps rescue her.</t>
        </is>
      </c>
      <c r="AB16" s="19" t="inlineStr">
        <is>
          <t>Morally mixed</t>
        </is>
      </c>
      <c r="AC16" s="5" t="inlineStr">
        <is>
          <t>Rescues Kajal, sees her paired with Sanjay, and is paired off himself as the film closes.</t>
        </is>
      </c>
      <c r="AD16" s="5" t="inlineStr">
        <is>
          <t>Kaajal Kiran</t>
        </is>
      </c>
      <c r="AE16" s="5" t="inlineStr">
        <is>
          <t>Major</t>
        </is>
      </c>
      <c r="AF16" s="20" t="n">
        <v>7</v>
      </c>
      <c r="AG16" s="19" t="inlineStr">
        <is>
          <t>Relationship manipulated by outsiders</t>
        </is>
      </c>
      <c r="AH16" s="5" t="n"/>
      <c r="AI16" s="5" t="n"/>
      <c r="AJ16" s="5" t="n"/>
      <c r="AK16" s="5" t="n"/>
      <c r="AL16" s="5" t="n"/>
      <c r="AM16" s="5" t="n"/>
      <c r="AN16" s="5" t="inlineStr">
        <is>
          <t>Hit</t>
        </is>
      </c>
      <c r="AO16" s="20" t="n">
        <v>3</v>
      </c>
      <c r="AP16" s="19" t="n"/>
      <c r="AQ16" s="19" t="inlineStr">
        <is>
          <t>Took the third spot at the 1977 box office and remains one of Nasir Hussain's best-known musicals.</t>
        </is>
      </c>
      <c r="AR16" s="5" t="inlineStr">
        <is>
          <t>SOURCE-001; SOURCE-016</t>
        </is>
      </c>
      <c r="AS16" s="5" t="inlineStr">
        <is>
          <t>Medium</t>
        </is>
      </c>
      <c r="AT16" s="5" t="inlineStr">
        <is>
          <t>The article's plot summary is confused about which man ends with Kajal, stating both that Sanjay and Kajal become a couple and that Rajesh is paired off; the pairing row records the courtship as a deception that fails rather than asserting a marriage. Annual rank is from the article's statement that it took the third top spot at the box office in 1977.</t>
        </is>
      </c>
    </row>
    <row r="17" ht="109" customHeight="1">
      <c r="A17" s="15" t="inlineStr">
        <is>
          <t>FILM-016</t>
        </is>
      </c>
      <c r="B17" s="5" t="inlineStr">
        <is>
          <t>Doosra Aadmi</t>
        </is>
      </c>
      <c r="C17" s="16" t="n">
        <v>28382</v>
      </c>
      <c r="D17" s="17" t="n">
        <v>1977</v>
      </c>
      <c r="E17" s="5" t="inlineStr">
        <is>
          <t>1970s</t>
        </is>
      </c>
      <c r="F17" s="5" t="inlineStr">
        <is>
          <t>Hindi</t>
        </is>
      </c>
      <c r="G17" s="5" t="inlineStr">
        <is>
          <t>Romantic drama</t>
        </is>
      </c>
      <c r="H17" s="5" t="n"/>
      <c r="I17" s="18" t="n"/>
      <c r="J17" s="5" t="inlineStr">
        <is>
          <t>Ramesh Talwar</t>
        </is>
      </c>
      <c r="K17" s="5" t="inlineStr">
        <is>
          <t>Yash Chopra</t>
        </is>
      </c>
      <c r="L17" s="5" t="inlineStr">
        <is>
          <t>Yash Raj Films</t>
        </is>
      </c>
      <c r="M17" s="5" t="inlineStr">
        <is>
          <t>Raju Saigal; Sagar Sarhadi</t>
        </is>
      </c>
      <c r="N17" s="5" t="n"/>
      <c r="O17" s="5" t="inlineStr">
        <is>
          <t>Rajesh Roshan</t>
        </is>
      </c>
      <c r="P17" s="5" t="n"/>
      <c r="Q17" s="5" t="inlineStr">
        <is>
          <t>Majrooh Sultanpuri</t>
        </is>
      </c>
      <c r="R17" s="5" t="inlineStr">
        <is>
          <t>Karan Saxena</t>
        </is>
      </c>
      <c r="S17" s="5" t="n"/>
      <c r="T17" s="5" t="inlineStr">
        <is>
          <t>Co-lead</t>
        </is>
      </c>
      <c r="U17" s="20" t="n">
        <v>2</v>
      </c>
      <c r="V17" s="5" t="inlineStr">
        <is>
          <t>Advertising agency proprietor</t>
        </is>
      </c>
      <c r="W17" s="5" t="inlineStr">
        <is>
          <t>Newly married young professional from a conventional middle-class family</t>
        </is>
      </c>
      <c r="X17" s="19" t="inlineStr">
        <is>
          <t>Karan hires Nisha, a gifted but withdrawn advertising woman still grieving a dead lover, and is drawn into a relationship with her precisely because he resembles the man she lost. Recently married to Timsy, he is the point where two claims meet: a wife who watches the attachment grow, and an older woman for whom he is a substitute rather than himself.</t>
        </is>
      </c>
      <c r="Y17" s="19" t="inlineStr">
        <is>
          <t>An attraction to Nisha that he does not examine, set against the marriage he has just made.</t>
        </is>
      </c>
      <c r="Z17" s="19" t="inlineStr">
        <is>
          <t>A wife on one side and, on the other, a woman who wants him for his resemblance to someone dead.</t>
        </is>
      </c>
      <c r="AA17" s="19" t="inlineStr">
        <is>
          <t>From a young husband who thinks he can hold both to a man forced to see what he is to each of them.</t>
        </is>
      </c>
      <c r="AB17" s="19" t="inlineStr">
        <is>
          <t>Morally mixed</t>
        </is>
      </c>
      <c r="AC17" s="5" t="inlineStr">
        <is>
          <t>Not documented; the article's summary stops after establishing the triangle.</t>
        </is>
      </c>
      <c r="AD17" s="5" t="inlineStr">
        <is>
          <t>Raakhee; Neetu Singh</t>
        </is>
      </c>
      <c r="AE17" s="5" t="inlineStr">
        <is>
          <t>Central</t>
        </is>
      </c>
      <c r="AF17" s="20" t="n">
        <v>9</v>
      </c>
      <c r="AG17" s="19" t="inlineStr">
        <is>
          <t>Multiple romantic relationships</t>
        </is>
      </c>
      <c r="AH17" s="5" t="n"/>
      <c r="AI17" s="5" t="n"/>
      <c r="AJ17" s="5" t="n"/>
      <c r="AK17" s="5" t="n"/>
      <c r="AL17" s="5" t="n"/>
      <c r="AM17" s="5" t="n"/>
      <c r="AN17" s="5" t="n"/>
      <c r="AO17" s="18" t="n"/>
      <c r="AP17" s="19" t="n"/>
      <c r="AQ17" s="19" t="n"/>
      <c r="AR17" s="5" t="inlineStr">
        <is>
          <t>SOURCE-001; SOURCE-017</t>
        </is>
      </c>
      <c r="AS17" s="5" t="inlineStr">
        <is>
          <t>Low</t>
        </is>
      </c>
      <c r="AT17" s="5" t="inlineStr">
        <is>
          <t>The article carries only a four-sentence plot summary that establishes the triangle and stops, so the resolution is not documented and both pairing rows are scored on the setup alone. Shashi Kapoor appears as Shashi Sehgal, the dead lover of the flashbacks, which is why his own workbook records this film as a cameo with a Tragic lovers pairing.</t>
        </is>
      </c>
    </row>
    <row r="18" ht="64" customHeight="1">
      <c r="A18" s="15" t="inlineStr">
        <is>
          <t>FILM-017</t>
        </is>
      </c>
      <c r="B18" s="5" t="inlineStr">
        <is>
          <t>Chala Murari Hero Banne</t>
        </is>
      </c>
      <c r="C18" s="16" t="n">
        <v>28440</v>
      </c>
      <c r="D18" s="17" t="n">
        <v>1977</v>
      </c>
      <c r="E18" s="5" t="inlineStr">
        <is>
          <t>1970s</t>
        </is>
      </c>
      <c r="F18" s="5" t="inlineStr">
        <is>
          <t>Hindi</t>
        </is>
      </c>
      <c r="G18" s="5" t="inlineStr">
        <is>
          <t>Comedy</t>
        </is>
      </c>
      <c r="H18" s="5" t="n"/>
      <c r="I18" s="18" t="n"/>
      <c r="J18" s="5" t="inlineStr">
        <is>
          <t>Asrani</t>
        </is>
      </c>
      <c r="K18" s="5" t="inlineStr">
        <is>
          <t>Surinder Kumar Sharma</t>
        </is>
      </c>
      <c r="L18" s="5" t="inlineStr">
        <is>
          <t>Mehboob Studios</t>
        </is>
      </c>
      <c r="M18" s="5" t="n"/>
      <c r="N18" s="5" t="n"/>
      <c r="O18" s="5" t="inlineStr">
        <is>
          <t>R. D. Burman</t>
        </is>
      </c>
      <c r="P18" s="5" t="n"/>
      <c r="Q18" s="5" t="inlineStr">
        <is>
          <t>Yogesh</t>
        </is>
      </c>
      <c r="R18" s="5" t="inlineStr">
        <is>
          <t>Himself</t>
        </is>
      </c>
      <c r="S18" s="5" t="n"/>
      <c r="T18" s="5" t="inlineStr">
        <is>
          <t>Self appearance</t>
        </is>
      </c>
      <c r="U18" s="18" t="n"/>
      <c r="V18" s="5" t="n"/>
      <c r="W18" s="5" t="n"/>
      <c r="X18" s="19" t="inlineStr">
        <is>
          <t>One of a long row of star walk-ons in Asrani's satire about a cloth-merchant's son who runs away to Bombay to become an actor. Kapoor appears as himself alongside Neetu Singh, Dharmendra, Hema Malini, Amitabh Bachchan and Ashok Kumar, with no character and no part in the story.</t>
        </is>
      </c>
      <c r="Y18" s="19" t="n"/>
      <c r="Z18" s="19" t="n"/>
      <c r="AA18" s="19" t="n"/>
      <c r="AB18" s="19" t="inlineStr">
        <is>
          <t>Not applicable</t>
        </is>
      </c>
      <c r="AC18" s="5" t="n"/>
      <c r="AD18" s="5" t="n"/>
      <c r="AE18" s="5" t="inlineStr">
        <is>
          <t>None</t>
        </is>
      </c>
      <c r="AF18" s="18" t="n"/>
      <c r="AG18" s="19" t="inlineStr">
        <is>
          <t>No meaningful romance</t>
        </is>
      </c>
      <c r="AH18" s="5" t="n"/>
      <c r="AI18" s="5" t="n"/>
      <c r="AJ18" s="5" t="n"/>
      <c r="AK18" s="5" t="n"/>
      <c r="AL18" s="5" t="n"/>
      <c r="AM18" s="5" t="n"/>
      <c r="AN18" s="5" t="n"/>
      <c r="AO18" s="18" t="n"/>
      <c r="AP18" s="19" t="n"/>
      <c r="AQ18" s="19" t="n"/>
      <c r="AR18" s="5" t="inlineStr">
        <is>
          <t>SOURCE-001; SOURCE-018</t>
        </is>
      </c>
      <c r="AS18" s="5" t="inlineStr">
        <is>
          <t>Medium</t>
        </is>
      </c>
      <c r="AT18" s="5" t="inlineStr">
        <is>
          <t>Filmography notes: Guest appearance. The cast list names him without a character among many guest stars. Nothing beyond the fact of the appearance is documented.</t>
        </is>
      </c>
    </row>
    <row r="19" ht="124" customHeight="1">
      <c r="A19" s="15" t="inlineStr">
        <is>
          <t>FILM-018</t>
        </is>
      </c>
      <c r="B19" s="5" t="inlineStr">
        <is>
          <t>Naya Daur</t>
        </is>
      </c>
      <c r="C19" s="16" t="n">
        <v>28496</v>
      </c>
      <c r="D19" s="17" t="n">
        <v>1978</v>
      </c>
      <c r="E19" s="5" t="inlineStr">
        <is>
          <t>1970s</t>
        </is>
      </c>
      <c r="F19" s="5" t="inlineStr">
        <is>
          <t>Hindi</t>
        </is>
      </c>
      <c r="G19" s="5" t="inlineStr">
        <is>
          <t>Drama</t>
        </is>
      </c>
      <c r="H19" s="5" t="n"/>
      <c r="I19" s="18" t="n"/>
      <c r="J19" s="5" t="inlineStr">
        <is>
          <t>Mahesh Bhatt</t>
        </is>
      </c>
      <c r="K19" s="5" t="inlineStr">
        <is>
          <t>Sudesh Gupta</t>
        </is>
      </c>
      <c r="L19" s="5" t="n"/>
      <c r="M19" s="5" t="inlineStr">
        <is>
          <t>Rakesh Kumar; Arjun Dev Rashk</t>
        </is>
      </c>
      <c r="N19" s="5" t="n"/>
      <c r="O19" s="5" t="inlineStr">
        <is>
          <t>R. D. Burman</t>
        </is>
      </c>
      <c r="P19" s="5" t="n"/>
      <c r="Q19" s="5" t="n"/>
      <c r="R19" s="5" t="inlineStr">
        <is>
          <t>Mahesh Chopra</t>
        </is>
      </c>
      <c r="S19" s="5" t="n"/>
      <c r="T19" s="5" t="inlineStr">
        <is>
          <t>Lead</t>
        </is>
      </c>
      <c r="U19" s="20" t="n">
        <v>1</v>
      </c>
      <c r="V19" s="5" t="inlineStr">
        <is>
          <t>Not documented</t>
        </is>
      </c>
      <c r="W19" s="5" t="n"/>
      <c r="X19" s="19" t="inlineStr">
        <is>
          <t>Kapoor takes the male lead as Mahesh Chopra in Mahesh Bhatt's drama, opposite Bhavana Bhatt as Kiran Mehta, with Danny Denzongpa and Ranjeet as antagonists and Farida Jalal as Jenny. The article has no plot or synopsis section, so the shape of the role, its conflict and its outcome are not documented by any source located.</t>
        </is>
      </c>
      <c r="Y19" s="19" t="n"/>
      <c r="Z19" s="19" t="n"/>
      <c r="AA19" s="19" t="n"/>
      <c r="AB19" s="19" t="n"/>
      <c r="AC19" s="5" t="n"/>
      <c r="AD19" s="5" t="inlineStr">
        <is>
          <t>Bhavana Bhatt</t>
        </is>
      </c>
      <c r="AE19" s="5" t="inlineStr">
        <is>
          <t>Major</t>
        </is>
      </c>
      <c r="AF19" s="18" t="n"/>
      <c r="AG19" s="19" t="n"/>
      <c r="AH19" s="5" t="n"/>
      <c r="AI19" s="5" t="n"/>
      <c r="AJ19" s="5" t="n"/>
      <c r="AK19" s="5" t="n"/>
      <c r="AL19" s="5" t="n"/>
      <c r="AM19" s="5" t="n"/>
      <c r="AN19" s="5" t="n"/>
      <c r="AO19" s="18" t="n"/>
      <c r="AP19" s="19" t="n"/>
      <c r="AQ19" s="19" t="n"/>
      <c r="AR19" s="5" t="inlineStr">
        <is>
          <t>SOURCE-001; SOURCE-019</t>
        </is>
      </c>
      <c r="AS19" s="5" t="inlineStr">
        <is>
          <t>Low</t>
        </is>
      </c>
      <c r="AT19" s="5" t="inlineStr">
        <is>
          <t>The article carries an infobox and a cast list but no plot section. Romance presence is inferred from the billing of Kapoor and Bhavana Bhatt as the romantic leads of a 1978 Hindi drama and is marked Low confidence; no Romances row is created, because the relationship cannot be scored honestly without a plot, and the relationship classification and romance centrality are left blank for the same reason.</t>
        </is>
      </c>
    </row>
    <row r="20" ht="94" customHeight="1">
      <c r="A20" s="15" t="inlineStr">
        <is>
          <t>FILM-019</t>
        </is>
      </c>
      <c r="B20" s="5" t="inlineStr">
        <is>
          <t>Anjane Mein</t>
        </is>
      </c>
      <c r="C20" s="16" t="n">
        <v>28630</v>
      </c>
      <c r="D20" s="17" t="n">
        <v>1978</v>
      </c>
      <c r="E20" s="5" t="inlineStr">
        <is>
          <t>1970s</t>
        </is>
      </c>
      <c r="F20" s="5" t="inlineStr">
        <is>
          <t>Hindi</t>
        </is>
      </c>
      <c r="G20" s="5" t="inlineStr">
        <is>
          <t>Romantic drama</t>
        </is>
      </c>
      <c r="H20" s="5" t="n"/>
      <c r="I20" s="18" t="n"/>
      <c r="J20" s="5" t="inlineStr">
        <is>
          <t>Samir Ganguly</t>
        </is>
      </c>
      <c r="K20" s="5" t="n"/>
      <c r="L20" s="5" t="n"/>
      <c r="M20" s="5" t="n"/>
      <c r="N20" s="5" t="n"/>
      <c r="O20" s="5" t="inlineStr">
        <is>
          <t>Kalyanji–Anandji</t>
        </is>
      </c>
      <c r="P20" s="5" t="n"/>
      <c r="Q20" s="5" t="inlineStr">
        <is>
          <t>Gulshan Bawra</t>
        </is>
      </c>
      <c r="R20" s="5" t="inlineStr">
        <is>
          <t>Raja</t>
        </is>
      </c>
      <c r="S20" s="5" t="n"/>
      <c r="T20" s="5" t="inlineStr">
        <is>
          <t>Lead</t>
        </is>
      </c>
      <c r="U20" s="20" t="n">
        <v>1</v>
      </c>
      <c r="V20" s="5" t="inlineStr">
        <is>
          <t>Not documented</t>
        </is>
      </c>
      <c r="W20" s="5" t="n"/>
      <c r="X20" s="19" t="inlineStr">
        <is>
          <t>Kapoor and Neetu Singh take the leads as Raja and Rani in Samir Ganguly's romantic drama, with Nirupa Roy, Ranjeet and Asha Sachdev in support. The article consists of an infobox, a cast list and a soundtrack listing with no plot section, so nothing about the role beyond the character's name is documented.</t>
        </is>
      </c>
      <c r="Y20" s="19" t="n"/>
      <c r="Z20" s="19" t="n"/>
      <c r="AA20" s="19" t="n"/>
      <c r="AB20" s="19" t="n"/>
      <c r="AC20" s="5" t="n"/>
      <c r="AD20" s="5" t="inlineStr">
        <is>
          <t>Neetu Singh</t>
        </is>
      </c>
      <c r="AE20" s="5" t="inlineStr">
        <is>
          <t>Major</t>
        </is>
      </c>
      <c r="AF20" s="18" t="n"/>
      <c r="AG20" s="19" t="n"/>
      <c r="AH20" s="5" t="n"/>
      <c r="AI20" s="5" t="n"/>
      <c r="AJ20" s="5" t="n"/>
      <c r="AK20" s="5" t="n"/>
      <c r="AL20" s="5" t="n"/>
      <c r="AM20" s="5" t="n"/>
      <c r="AN20" s="5" t="n"/>
      <c r="AO20" s="18" t="n"/>
      <c r="AP20" s="19" t="n"/>
      <c r="AQ20" s="19" t="n"/>
      <c r="AR20" s="5" t="inlineStr">
        <is>
          <t>SOURCE-001; SOURCE-021</t>
        </is>
      </c>
      <c r="AS20" s="5" t="inlineStr">
        <is>
          <t>Low</t>
        </is>
      </c>
      <c r="AT20" s="5" t="inlineStr">
        <is>
          <t>No plot section in the article. The lead sentence describes it as a romantic drama starring Kapoor and Neetu Singh in the lead roles, which supports a romance presence of Major, but no Romances row is created and no scores are assigned, since the relationship is entirely undocumented.</t>
        </is>
      </c>
    </row>
    <row r="21" ht="139" customHeight="1">
      <c r="A21" s="15" t="inlineStr">
        <is>
          <t>FILM-020</t>
        </is>
      </c>
      <c r="B21" s="5" t="inlineStr">
        <is>
          <t>Pati Patni Aur Woh</t>
        </is>
      </c>
      <c r="C21" s="16" t="n">
        <v>28678</v>
      </c>
      <c r="D21" s="17" t="n">
        <v>1978</v>
      </c>
      <c r="E21" s="5" t="inlineStr">
        <is>
          <t>1970s</t>
        </is>
      </c>
      <c r="F21" s="5" t="inlineStr">
        <is>
          <t>Hindi</t>
        </is>
      </c>
      <c r="G21" s="5" t="inlineStr">
        <is>
          <t>Romantic comedy</t>
        </is>
      </c>
      <c r="H21" s="5" t="n"/>
      <c r="I21" s="17" t="n">
        <v>141</v>
      </c>
      <c r="J21" s="5" t="inlineStr">
        <is>
          <t>B. R. Chopra</t>
        </is>
      </c>
      <c r="K21" s="5" t="inlineStr">
        <is>
          <t>B. R. Chopra</t>
        </is>
      </c>
      <c r="L21" s="5" t="n"/>
      <c r="M21" s="5" t="inlineStr">
        <is>
          <t>Kamleshwar</t>
        </is>
      </c>
      <c r="N21" s="5" t="n"/>
      <c r="O21" s="5" t="inlineStr">
        <is>
          <t>Ravindra Jain</t>
        </is>
      </c>
      <c r="P21" s="5" t="n"/>
      <c r="Q21" s="5" t="inlineStr">
        <is>
          <t>Anand Bakshi</t>
        </is>
      </c>
      <c r="R21" s="5" t="inlineStr">
        <is>
          <t>Singer</t>
        </is>
      </c>
      <c r="S21" s="5" t="n"/>
      <c r="T21" s="5" t="inlineStr">
        <is>
          <t>Extended special appearance</t>
        </is>
      </c>
      <c r="U21" s="18" t="n"/>
      <c r="V21" s="5" t="n"/>
      <c r="W21" s="5" t="n"/>
      <c r="X21" s="19" t="inlineStr">
        <is>
          <t>Kapoor appears with Neetu Singh in the song 'Tere Naam Tere Naam' in B. R. Chopra's comedy about a husband who invents a dying wife in order to seduce his secretary. The filmography table credits him as 'Singer'; the cast list describes the appearance explicitly as a cameo in that song, outside the story.</t>
        </is>
      </c>
      <c r="Y21" s="19" t="n"/>
      <c r="Z21" s="19" t="n"/>
      <c r="AA21" s="19" t="n"/>
      <c r="AB21" s="19" t="inlineStr">
        <is>
          <t>Not applicable</t>
        </is>
      </c>
      <c r="AC21" s="5" t="n"/>
      <c r="AD21" s="5" t="n"/>
      <c r="AE21" s="5" t="inlineStr">
        <is>
          <t>None</t>
        </is>
      </c>
      <c r="AF21" s="20" t="n">
        <v>9</v>
      </c>
      <c r="AG21" s="19" t="inlineStr">
        <is>
          <t>No meaningful romance</t>
        </is>
      </c>
      <c r="AH21" s="5" t="n"/>
      <c r="AI21" s="5" t="n"/>
      <c r="AJ21" s="5" t="n"/>
      <c r="AK21" s="5" t="n"/>
      <c r="AL21" s="5" t="n"/>
      <c r="AM21" s="5" t="n"/>
      <c r="AN21" s="5" t="n"/>
      <c r="AO21" s="18" t="n"/>
      <c r="AP21" s="19" t="n"/>
      <c r="AQ21" s="19" t="n"/>
      <c r="AR21" s="5" t="inlineStr">
        <is>
          <t>SOURCE-001; SOURCE-022</t>
        </is>
      </c>
      <c r="AS21" s="5" t="inlineStr">
        <is>
          <t>Medium</t>
        </is>
      </c>
      <c r="AT21" s="5" t="inlineStr">
        <is>
          <t>Filmography notes: Guest appearance in the song "Tere Naam Tere Naam - Dil Karta Hai Ke Dil...". Phase 1 set the role type from the filmography table's special-appearance note; the film article calls it a cameo in a song. The two readings agree that the appearance is a musical guest spot rather than a part in the plot. Romance centrality reflects the film, whose whole subject is a marriage and an affair; Kapoor's song appearance carries no romance of his own.</t>
        </is>
      </c>
    </row>
    <row r="22" ht="79" customHeight="1">
      <c r="A22" s="15" t="inlineStr">
        <is>
          <t>FILM-021</t>
        </is>
      </c>
      <c r="B22" s="5" t="inlineStr">
        <is>
          <t>Phool Khile Hain Gulshan Gulshan</t>
        </is>
      </c>
      <c r="C22" s="16" t="n">
        <v>28699</v>
      </c>
      <c r="D22" s="17" t="n">
        <v>1978</v>
      </c>
      <c r="E22" s="5" t="inlineStr">
        <is>
          <t>1970s</t>
        </is>
      </c>
      <c r="F22" s="5" t="inlineStr">
        <is>
          <t>Hindi</t>
        </is>
      </c>
      <c r="G22" s="5" t="inlineStr">
        <is>
          <t>Drama</t>
        </is>
      </c>
      <c r="H22" s="5" t="n"/>
      <c r="I22" s="18" t="n"/>
      <c r="J22" s="5" t="inlineStr">
        <is>
          <t>Sikandar Khanna</t>
        </is>
      </c>
      <c r="K22" s="5" t="inlineStr">
        <is>
          <t>Surinder Kapoor</t>
        </is>
      </c>
      <c r="L22" s="5" t="n"/>
      <c r="M22" s="5" t="inlineStr">
        <is>
          <t>Rajendra Krishan; Kaushal Bharti</t>
        </is>
      </c>
      <c r="N22" s="5" t="n"/>
      <c r="O22" s="5" t="inlineStr">
        <is>
          <t>Laxmikant–Pyarelal</t>
        </is>
      </c>
      <c r="P22" s="5" t="n"/>
      <c r="Q22" s="5" t="n"/>
      <c r="R22" s="5" t="inlineStr">
        <is>
          <t>Vishal Rai</t>
        </is>
      </c>
      <c r="S22" s="5" t="n"/>
      <c r="T22" s="5" t="inlineStr">
        <is>
          <t>Co-lead</t>
        </is>
      </c>
      <c r="U22" s="20" t="n">
        <v>2</v>
      </c>
      <c r="V22" s="5" t="inlineStr">
        <is>
          <t>Not documented</t>
        </is>
      </c>
      <c r="W22" s="5" t="n"/>
      <c r="X22" s="19" t="inlineStr">
        <is>
          <t>Kapoor plays Vishal Rai opposite Moushumi Chatterjee's Shanti in Sikandar Khanna's film, second-billed to Ashok Kumar and supported by Mithun Chakraborty, Asrani and Paintal as Vishal's friends, with Amjad Khan and Ranjeet as the opposition. The article has no plot section, so the role's substance is undocumented.</t>
        </is>
      </c>
      <c r="Y22" s="19" t="n"/>
      <c r="Z22" s="19" t="n"/>
      <c r="AA22" s="19" t="n"/>
      <c r="AB22" s="19" t="n"/>
      <c r="AC22" s="5" t="n"/>
      <c r="AD22" s="5" t="inlineStr">
        <is>
          <t>Moushumi Chatterjee</t>
        </is>
      </c>
      <c r="AE22" s="5" t="inlineStr">
        <is>
          <t>Major</t>
        </is>
      </c>
      <c r="AF22" s="18" t="n"/>
      <c r="AG22" s="19" t="n"/>
      <c r="AH22" s="5" t="n"/>
      <c r="AI22" s="5" t="n"/>
      <c r="AJ22" s="5" t="n"/>
      <c r="AK22" s="5" t="n"/>
      <c r="AL22" s="5" t="n"/>
      <c r="AM22" s="5" t="n"/>
      <c r="AN22" s="5" t="n"/>
      <c r="AO22" s="18" t="n"/>
      <c r="AP22" s="19" t="n"/>
      <c r="AQ22" s="19" t="n"/>
      <c r="AR22" s="5" t="inlineStr">
        <is>
          <t>SOURCE-001; SOURCE-023</t>
        </is>
      </c>
      <c r="AS22" s="5" t="inlineStr">
        <is>
          <t>Low</t>
        </is>
      </c>
      <c r="AT22" s="5" t="inlineStr">
        <is>
          <t>Infobox, cast list and soundtrack only; no plot section. Romance presence is inferred from the pairing of Kapoor and Moushumi Chatterjee as the young leads and is marked Low confidence. No Romances row is created and no scores are assigned.</t>
        </is>
      </c>
    </row>
    <row r="23" ht="94" customHeight="1">
      <c r="A23" s="15" t="inlineStr">
        <is>
          <t>FILM-022</t>
        </is>
      </c>
      <c r="B23" s="5" t="inlineStr">
        <is>
          <t>Badaltey Rishtey</t>
        </is>
      </c>
      <c r="C23" s="16" t="n">
        <v>28797</v>
      </c>
      <c r="D23" s="17" t="n">
        <v>1978</v>
      </c>
      <c r="E23" s="5" t="inlineStr">
        <is>
          <t>1970s</t>
        </is>
      </c>
      <c r="F23" s="5" t="inlineStr">
        <is>
          <t>Hindi</t>
        </is>
      </c>
      <c r="G23" s="5" t="inlineStr">
        <is>
          <t>Drama</t>
        </is>
      </c>
      <c r="H23" s="5" t="inlineStr">
        <is>
          <t>Romantic triangle</t>
        </is>
      </c>
      <c r="I23" s="17" t="n">
        <v>136</v>
      </c>
      <c r="J23" s="5" t="inlineStr">
        <is>
          <t>R. Jhalani</t>
        </is>
      </c>
      <c r="K23" s="5" t="inlineStr">
        <is>
          <t>Sudesh Kumar</t>
        </is>
      </c>
      <c r="L23" s="5" t="inlineStr">
        <is>
          <t>Vijayashree Pictures</t>
        </is>
      </c>
      <c r="M23" s="5" t="inlineStr">
        <is>
          <t>Madan Joshi; Mahendra Saral; Phani Majumdar</t>
        </is>
      </c>
      <c r="N23" s="5" t="n"/>
      <c r="O23" s="5" t="inlineStr">
        <is>
          <t>Laxmikant–Pyarelal</t>
        </is>
      </c>
      <c r="P23" s="5" t="n"/>
      <c r="Q23" s="5" t="n"/>
      <c r="R23" s="5" t="inlineStr">
        <is>
          <t>Manohar Dhani</t>
        </is>
      </c>
      <c r="S23" s="5" t="n"/>
      <c r="T23" s="5" t="inlineStr">
        <is>
          <t>Co-lead</t>
        </is>
      </c>
      <c r="U23" s="20" t="n">
        <v>2</v>
      </c>
      <c r="V23" s="5" t="inlineStr">
        <is>
          <t>Tourist guide</t>
        </is>
      </c>
      <c r="W23" s="5" t="inlineStr">
        <is>
          <t>Working-class guide with no money and no standing, courting a music teacher</t>
        </is>
      </c>
      <c r="X23" s="19" t="inlineStr">
        <is>
          <t>Manohar falls for the music teacher Savitri at first meeting and courts her by pretending to sell eggs at her door. When she is married off to the wealthy Sagar under a prediction that her husband will die within forty days, Manohar offers to kill him, reasoning that he is doomed anyway, and turns her love into hatred by befriending Sagar to prove he could do it at any moment.</t>
        </is>
      </c>
      <c r="Y23" s="19" t="inlineStr">
        <is>
          <t>To have Savitri, first by courtship and then by removing her husband.</t>
        </is>
      </c>
      <c r="Z23" s="19" t="inlineStr">
        <is>
          <t>A rival with money and an astrologer's prediction that he tries to turn to his own use.</t>
        </is>
      </c>
      <c r="AA23" s="19" t="inlineStr">
        <is>
          <t>From an engaging suitor to a man whose persistence curdles into a standing threat against her husband.</t>
        </is>
      </c>
      <c r="AB23" s="19" t="inlineStr">
        <is>
          <t>Morally mixed</t>
        </is>
      </c>
      <c r="AC23" s="5" t="inlineStr">
        <is>
          <t>Confronted by Sagar after Savitri exposes his intentions; the article's summary breaks off mid-scene.</t>
        </is>
      </c>
      <c r="AD23" s="5" t="inlineStr">
        <is>
          <t>Reena Roy</t>
        </is>
      </c>
      <c r="AE23" s="5" t="inlineStr">
        <is>
          <t>Central</t>
        </is>
      </c>
      <c r="AF23" s="20" t="n">
        <v>8</v>
      </c>
      <c r="AG23" s="19" t="inlineStr">
        <is>
          <t>Obsessive pursuit</t>
        </is>
      </c>
      <c r="AH23" s="5" t="n"/>
      <c r="AI23" s="5" t="n"/>
      <c r="AJ23" s="5" t="n"/>
      <c r="AK23" s="5" t="n"/>
      <c r="AL23" s="5" t="n"/>
      <c r="AM23" s="5" t="n"/>
      <c r="AN23" s="5" t="n"/>
      <c r="AO23" s="18" t="n"/>
      <c r="AP23" s="19" t="n"/>
      <c r="AQ23" s="19" t="n"/>
      <c r="AR23" s="5" t="inlineStr">
        <is>
          <t>SOURCE-001; SOURCE-020</t>
        </is>
      </c>
      <c r="AS23" s="5" t="inlineStr">
        <is>
          <t>Medium</t>
        </is>
      </c>
      <c r="AT23" s="5" t="inlineStr">
        <is>
          <t>The article's plot summary breaks off in the middle of the confrontation between Manohar and Sagar, so the ending is not documented. This is the clearest early instance of a Kapoor role in which the courtship turns coercive, and it is scored accordingly rather than as a thwarted romance.</t>
        </is>
      </c>
    </row>
    <row r="24" ht="79" customHeight="1">
      <c r="A24" s="15" t="inlineStr">
        <is>
          <t>FILM-023</t>
        </is>
      </c>
      <c r="B24" s="5" t="inlineStr">
        <is>
          <t>Sargam</t>
        </is>
      </c>
      <c r="C24" s="16" t="n">
        <v>28863</v>
      </c>
      <c r="D24" s="17" t="n">
        <v>1979</v>
      </c>
      <c r="E24" s="5" t="inlineStr">
        <is>
          <t>1970s</t>
        </is>
      </c>
      <c r="F24" s="5" t="inlineStr">
        <is>
          <t>Hindi</t>
        </is>
      </c>
      <c r="G24" s="5" t="inlineStr">
        <is>
          <t>Musical drama</t>
        </is>
      </c>
      <c r="H24" s="5" t="n"/>
      <c r="I24" s="17" t="n">
        <v>145</v>
      </c>
      <c r="J24" s="5" t="inlineStr">
        <is>
          <t>K. Viswanath</t>
        </is>
      </c>
      <c r="K24" s="5" t="inlineStr">
        <is>
          <t>N. N. Sippy</t>
        </is>
      </c>
      <c r="L24" s="5" t="n"/>
      <c r="M24" s="5" t="inlineStr">
        <is>
          <t>K. Viswanath; Jainendra Jain</t>
        </is>
      </c>
      <c r="N24" s="5" t="inlineStr">
        <is>
          <t>Based on Siri Siri Muvva by K. Viswanath</t>
        </is>
      </c>
      <c r="O24" s="5" t="inlineStr">
        <is>
          <t>Laxmikant–Pyarelal</t>
        </is>
      </c>
      <c r="P24" s="5" t="n"/>
      <c r="Q24" s="5" t="inlineStr">
        <is>
          <t>Anand Bakshi</t>
        </is>
      </c>
      <c r="R24" s="5" t="inlineStr">
        <is>
          <t>Raju</t>
        </is>
      </c>
      <c r="S24" s="5" t="n"/>
      <c r="T24" s="5" t="inlineStr">
        <is>
          <t>Lead</t>
        </is>
      </c>
      <c r="U24" s="20" t="n">
        <v>1</v>
      </c>
      <c r="V24" s="5" t="inlineStr">
        <is>
          <t>Dafli player and street musician</t>
        </is>
      </c>
      <c r="W24" s="5" t="inlineStr">
        <is>
          <t>Former pupil of the village schoolmaster, poor and without family standing</t>
        </is>
      </c>
      <c r="X24" s="19" t="inlineStr">
        <is>
          <t>Raju, a dafli player and his old teacher's former pupil, attaches himself to Hema, the schoolmaster's mute daughter, cheering her through a stepmother's campaign to keep her from dancing. When her father dies and she is thrown out, he takes her away and supports her, and the film ends with the two reunited and the stepmother reconciled.</t>
        </is>
      </c>
      <c r="Y24" s="19" t="inlineStr">
        <is>
          <t>To protect Hema and to give her back the dance she is forbidden.</t>
        </is>
      </c>
      <c r="Z24" s="19" t="inlineStr">
        <is>
          <t>A stepmother who resents Hema's talent, and later the vengeful Prakash.</t>
        </is>
      </c>
      <c r="AA24" s="19" t="inlineStr">
        <is>
          <t>From a cheerful visitor who lifts her spirits to the person her survival depends on.</t>
        </is>
      </c>
      <c r="AB24" s="19" t="inlineStr">
        <is>
          <t>Good</t>
        </is>
      </c>
      <c r="AC24" s="5" t="inlineStr">
        <is>
          <t>Rescued from Prakash's attack by the police and reunited with Hema.</t>
        </is>
      </c>
      <c r="AD24" s="5" t="inlineStr">
        <is>
          <t>Jaya Prada</t>
        </is>
      </c>
      <c r="AE24" s="5" t="inlineStr">
        <is>
          <t>Central</t>
        </is>
      </c>
      <c r="AF24" s="20" t="n">
        <v>8</v>
      </c>
      <c r="AG24" s="19" t="inlineStr">
        <is>
          <t>United couple versus external world</t>
        </is>
      </c>
      <c r="AH24" s="5" t="n"/>
      <c r="AI24" s="5" t="n"/>
      <c r="AJ24" s="5" t="n"/>
      <c r="AK24" s="5" t="n"/>
      <c r="AL24" s="5" t="n"/>
      <c r="AM24" s="5" t="n"/>
      <c r="AN24" s="5" t="n"/>
      <c r="AO24" s="18" t="n"/>
      <c r="AP24" s="19" t="n"/>
      <c r="AQ24" s="19" t="inlineStr">
        <is>
          <t>Named in the main Wikipedia article among the films that fixed his romantic-star image; Jaya Prada's Hindi debut, reprising her role from the Telugu original.</t>
        </is>
      </c>
      <c r="AR24" s="5" t="inlineStr">
        <is>
          <t>SOURCE-001; SOURCE-024</t>
        </is>
      </c>
      <c r="AS24" s="5" t="inlineStr">
        <is>
          <t>Medium</t>
        </is>
      </c>
      <c r="AT24" s="5" t="inlineStr">
        <is>
          <t>The Hindi version of K. Viswanath's Telugu film Siri Siri Muvva (1976). The heroine is mute, so the courtship is conducted almost entirely without her speech, which is scored in the pairing row.</t>
        </is>
      </c>
    </row>
    <row r="25" ht="64" customHeight="1">
      <c r="A25" s="15" t="inlineStr">
        <is>
          <t>FILM-024</t>
        </is>
      </c>
      <c r="B25" s="5" t="inlineStr">
        <is>
          <t>Salaam Memsaab</t>
        </is>
      </c>
      <c r="C25" s="16" t="n">
        <v>28867</v>
      </c>
      <c r="D25" s="17" t="n">
        <v>1979</v>
      </c>
      <c r="E25" s="5" t="inlineStr">
        <is>
          <t>1970s</t>
        </is>
      </c>
      <c r="F25" s="5" t="inlineStr">
        <is>
          <t>Hindi</t>
        </is>
      </c>
      <c r="G25" s="5" t="inlineStr">
        <is>
          <t>Comedy-drama</t>
        </is>
      </c>
      <c r="H25" s="5" t="n"/>
      <c r="I25" s="17" t="n">
        <v>131</v>
      </c>
      <c r="J25" s="5" t="inlineStr">
        <is>
          <t>Asrani</t>
        </is>
      </c>
      <c r="K25" s="5" t="inlineStr">
        <is>
          <t>V. D. Kalra</t>
        </is>
      </c>
      <c r="L25" s="5" t="n"/>
      <c r="M25" s="5" t="n"/>
      <c r="N25" s="5" t="n"/>
      <c r="O25" s="5" t="inlineStr">
        <is>
          <t>R. D. Burman</t>
        </is>
      </c>
      <c r="P25" s="5" t="n"/>
      <c r="Q25" s="5" t="inlineStr">
        <is>
          <t>Majrooh Sultanpuri</t>
        </is>
      </c>
      <c r="R25" s="5" t="inlineStr">
        <is>
          <t>Ramesh</t>
        </is>
      </c>
      <c r="S25" s="5" t="n"/>
      <c r="T25" s="5" t="inlineStr">
        <is>
          <t>Cameo</t>
        </is>
      </c>
      <c r="U25" s="18" t="n"/>
      <c r="V25" s="5" t="n"/>
      <c r="W25" s="5" t="n"/>
      <c r="X25" s="19" t="inlineStr">
        <is>
          <t>A guest appearance in Asrani's film about two street singers outside the Taj Mahal hotel, one of them dreaming of quick wealth. The cast list names Kapoor as a guest appearance alongside Sunil Dutt, without a character of consequence; the filmography table gives the name Ramesh.</t>
        </is>
      </c>
      <c r="Y25" s="19" t="n"/>
      <c r="Z25" s="19" t="n"/>
      <c r="AA25" s="19" t="n"/>
      <c r="AB25" s="19" t="inlineStr">
        <is>
          <t>Not applicable</t>
        </is>
      </c>
      <c r="AC25" s="5" t="n"/>
      <c r="AD25" s="5" t="n"/>
      <c r="AE25" s="5" t="inlineStr">
        <is>
          <t>None</t>
        </is>
      </c>
      <c r="AF25" s="18" t="n"/>
      <c r="AG25" s="19" t="inlineStr">
        <is>
          <t>No meaningful romance</t>
        </is>
      </c>
      <c r="AH25" s="5" t="n"/>
      <c r="AI25" s="5" t="n"/>
      <c r="AJ25" s="5" t="n"/>
      <c r="AK25" s="5" t="n"/>
      <c r="AL25" s="5" t="n"/>
      <c r="AM25" s="5" t="n"/>
      <c r="AN25" s="5" t="n"/>
      <c r="AO25" s="18" t="n"/>
      <c r="AP25" s="19" t="n"/>
      <c r="AQ25" s="19" t="n"/>
      <c r="AR25" s="5" t="inlineStr">
        <is>
          <t>SOURCE-001; SOURCE-027</t>
        </is>
      </c>
      <c r="AS25" s="5" t="inlineStr">
        <is>
          <t>Medium</t>
        </is>
      </c>
      <c r="AT25" s="5" t="inlineStr">
        <is>
          <t>Filmography notes: Cameo appearance. Credited in the filmography table as Ramesh, but the film article's cast list records only a guest appearance and assigns him no character.</t>
        </is>
      </c>
    </row>
    <row r="26" ht="124" customHeight="1">
      <c r="A26" s="15" t="inlineStr">
        <is>
          <t>FILM-025</t>
        </is>
      </c>
      <c r="B26" s="5" t="inlineStr">
        <is>
          <t>Jhoota Kahin Ka</t>
        </is>
      </c>
      <c r="C26" s="16" t="n">
        <v>28944</v>
      </c>
      <c r="D26" s="17" t="n">
        <v>1979</v>
      </c>
      <c r="E26" s="5" t="inlineStr">
        <is>
          <t>1970s</t>
        </is>
      </c>
      <c r="F26" s="5" t="inlineStr">
        <is>
          <t>Hindi</t>
        </is>
      </c>
      <c r="G26" s="5" t="inlineStr">
        <is>
          <t>Romantic comedy</t>
        </is>
      </c>
      <c r="H26" s="5" t="inlineStr">
        <is>
          <t>Crime drama</t>
        </is>
      </c>
      <c r="I26" s="18" t="n"/>
      <c r="J26" s="5" t="inlineStr">
        <is>
          <t>Ravi Tandon</t>
        </is>
      </c>
      <c r="K26" s="5" t="inlineStr">
        <is>
          <t>Ravi Malhotra</t>
        </is>
      </c>
      <c r="L26" s="5" t="inlineStr">
        <is>
          <t>R. M. Films</t>
        </is>
      </c>
      <c r="M26" s="5" t="n"/>
      <c r="N26" s="5" t="n"/>
      <c r="O26" s="5" t="inlineStr">
        <is>
          <t>R. D. Burman</t>
        </is>
      </c>
      <c r="P26" s="5" t="n"/>
      <c r="Q26" s="5" t="n"/>
      <c r="R26" s="5" t="inlineStr">
        <is>
          <t>Ajay Rai</t>
        </is>
      </c>
      <c r="S26" s="5" t="n"/>
      <c r="T26" s="5" t="inlineStr">
        <is>
          <t>Lead</t>
        </is>
      </c>
      <c r="U26" s="20" t="n">
        <v>1</v>
      </c>
      <c r="V26" s="5" t="inlineStr">
        <is>
          <t>Motor mechanic at Pinto's garage</t>
        </is>
      </c>
      <c r="W26" s="5" t="inlineStr">
        <is>
          <t>Separated from his father and brother in a shipwreck as a child; raised poor by his mother while his father became a rich man's partner</t>
        </is>
      </c>
      <c r="X26" s="19" t="inlineStr">
        <is>
          <t>Ajay is a lowly mechanic leading a parallel life as a lying conman and would-be Casanova, angling for the wealthy Sheetal Khanna. His habit of invention is exactly what makes him easy to frame when his estranged brother, now a murderer under another name, needs someone to carry the blame.</t>
        </is>
      </c>
      <c r="Y26" s="19" t="inlineStr">
        <is>
          <t>To rise by his wits and marry money.</t>
        </is>
      </c>
      <c r="Z26" s="19" t="inlineStr">
        <is>
          <t>A brother he does not recognise, plotting to pin a killing on him, and a reputation for lying that makes the frame stick.</t>
        </is>
      </c>
      <c r="AA26" s="19" t="inlineStr">
        <is>
          <t>From a compulsive liar to a man whose lies leave him with no credible defence.</t>
        </is>
      </c>
      <c r="AB26" s="19" t="inlineStr">
        <is>
          <t>Morally mixed</t>
        </is>
      </c>
      <c r="AC26" s="5" t="inlineStr">
        <is>
          <t>Framed for Mala's murder by Vikram and Prem; the article does not carry the resolution.</t>
        </is>
      </c>
      <c r="AD26" s="5" t="inlineStr">
        <is>
          <t>Neetu Singh</t>
        </is>
      </c>
      <c r="AE26" s="5" t="inlineStr">
        <is>
          <t>Central</t>
        </is>
      </c>
      <c r="AF26" s="20" t="n">
        <v>7</v>
      </c>
      <c r="AG26" s="19" t="inlineStr">
        <is>
          <t>Relationship damaged by mistrust</t>
        </is>
      </c>
      <c r="AH26" s="5" t="n"/>
      <c r="AI26" s="5" t="n"/>
      <c r="AJ26" s="5" t="n"/>
      <c r="AK26" s="5" t="n"/>
      <c r="AL26" s="5" t="n"/>
      <c r="AM26" s="5" t="n"/>
      <c r="AN26" s="5" t="n"/>
      <c r="AO26" s="18" t="n"/>
      <c r="AP26" s="19" t="n"/>
      <c r="AQ26" s="19" t="n"/>
      <c r="AR26" s="5" t="inlineStr">
        <is>
          <t>SOURCE-001; SOURCE-025</t>
        </is>
      </c>
      <c r="AS26" s="5" t="inlineStr">
        <is>
          <t>Low</t>
        </is>
      </c>
      <c r="AT26" s="5" t="inlineStr">
        <is>
          <t>The article's plot stops at the framing and does not give the outcome. Neetu Singh's role is listed as Anita Verma / Sheetal Khanna and a separate actress is credited as Anita Verma, so the identity structure is not fully clear from the cast list; the pairing row follows the plot's Sheetal Khanna. Relationship classification uses the deception category because the courtship is conducted under a false identity throughout.</t>
        </is>
      </c>
    </row>
    <row r="27" ht="79" customHeight="1">
      <c r="A27" s="15" t="inlineStr">
        <is>
          <t>FILM-026</t>
        </is>
      </c>
      <c r="B27" s="5" t="inlineStr">
        <is>
          <t>Duniya Meri Jeb Mein</t>
        </is>
      </c>
      <c r="C27" s="16" t="n">
        <v>29077</v>
      </c>
      <c r="D27" s="17" t="n">
        <v>1979</v>
      </c>
      <c r="E27" s="5" t="inlineStr">
        <is>
          <t>1970s</t>
        </is>
      </c>
      <c r="F27" s="5" t="inlineStr">
        <is>
          <t>Hindi</t>
        </is>
      </c>
      <c r="G27" s="5" t="inlineStr">
        <is>
          <t>Action</t>
        </is>
      </c>
      <c r="H27" s="5" t="inlineStr">
        <is>
          <t>Family drama</t>
        </is>
      </c>
      <c r="I27" s="18" t="n"/>
      <c r="J27" s="5" t="inlineStr">
        <is>
          <t>Tinnu Anand</t>
        </is>
      </c>
      <c r="K27" s="5" t="inlineStr">
        <is>
          <t>Naresh Malhotra; Bittu Anand</t>
        </is>
      </c>
      <c r="L27" s="5" t="n"/>
      <c r="M27" s="5" t="inlineStr">
        <is>
          <t>Inder Raj Anand</t>
        </is>
      </c>
      <c r="N27" s="5" t="n"/>
      <c r="O27" s="5" t="inlineStr">
        <is>
          <t>Rajesh Roshan</t>
        </is>
      </c>
      <c r="P27" s="5" t="n"/>
      <c r="Q27" s="5" t="inlineStr">
        <is>
          <t>Gulshan Bawra</t>
        </is>
      </c>
      <c r="R27" s="5" t="inlineStr">
        <is>
          <t>Vishal Khanna</t>
        </is>
      </c>
      <c r="S27" s="5" t="n"/>
      <c r="T27" s="5" t="inlineStr">
        <is>
          <t>Co-lead</t>
        </is>
      </c>
      <c r="U27" s="20" t="n">
        <v>2</v>
      </c>
      <c r="V27" s="5" t="inlineStr">
        <is>
          <t>College student</t>
        </is>
      </c>
      <c r="W27" s="5" t="inlineStr">
        <is>
          <t>Younger brother of Karan, living on money he believes comes from his brother's business</t>
        </is>
      </c>
      <c r="X27" s="19" t="inlineStr">
        <is>
          <t>Vishal is a student who thinks he and his brother are wealthy and falls in love with Neeta, an heiress whose father settles the match. Two deaths and a crippling later he discovers his brother was never a businessman but a circus trapeze artist, and is a suspect in the robbery and the murder of Neeta's father.</t>
        </is>
      </c>
      <c r="Y27" s="19" t="inlineStr">
        <is>
          <t>To marry Neeta, and then to understand who his brother actually is.</t>
        </is>
      </c>
      <c r="Z27" s="19" t="inlineStr">
        <is>
          <t>A brother's concealed life, and a police inspector's accusation that reaches into his own engagement.</t>
        </is>
      </c>
      <c r="AA27" s="19" t="inlineStr">
        <is>
          <t>From a young man living on a comfortable fiction to one nursing a crippled brother he no longer recognises.</t>
        </is>
      </c>
      <c r="AB27" s="19" t="inlineStr">
        <is>
          <t>Good</t>
        </is>
      </c>
      <c r="AC27" s="5" t="inlineStr">
        <is>
          <t>Not documented; the article's summary ends with the police inspector's revelation.</t>
        </is>
      </c>
      <c r="AD27" s="5" t="inlineStr">
        <is>
          <t>Neetu Singh</t>
        </is>
      </c>
      <c r="AE27" s="5" t="inlineStr">
        <is>
          <t>Secondary</t>
        </is>
      </c>
      <c r="AF27" s="20" t="n">
        <v>5</v>
      </c>
      <c r="AG27" s="19" t="inlineStr">
        <is>
          <t>Romance subordinate to another genre</t>
        </is>
      </c>
      <c r="AH27" s="5" t="n"/>
      <c r="AI27" s="5" t="n"/>
      <c r="AJ27" s="5" t="n"/>
      <c r="AK27" s="5" t="n"/>
      <c r="AL27" s="5" t="n"/>
      <c r="AM27" s="5" t="n"/>
      <c r="AN27" s="5" t="n"/>
      <c r="AO27" s="18" t="n"/>
      <c r="AP27" s="19" t="n"/>
      <c r="AQ27" s="19" t="n"/>
      <c r="AR27" s="5" t="inlineStr">
        <is>
          <t>SOURCE-001; SOURCE-026</t>
        </is>
      </c>
      <c r="AS27" s="5" t="inlineStr">
        <is>
          <t>Low</t>
        </is>
      </c>
      <c r="AT27" s="5" t="inlineStr">
        <is>
          <t>The plot summary ends at the revelation about Karan and does not resolve the robbery, the murder or the engagement. Shashi Kapoor plays the brother Karan, one of several films in which the two appear together.</t>
        </is>
      </c>
    </row>
    <row r="28" ht="289" customHeight="1">
      <c r="A28" s="15" t="inlineStr">
        <is>
          <t>FILM-027</t>
        </is>
      </c>
      <c r="B28" s="5" t="inlineStr">
        <is>
          <t>Gunahgaar</t>
        </is>
      </c>
      <c r="C28" s="5" t="inlineStr">
        <is>
          <t>1980</t>
        </is>
      </c>
      <c r="D28" s="17" t="n">
        <v>1980</v>
      </c>
      <c r="E28" s="5" t="inlineStr">
        <is>
          <t>1980s</t>
        </is>
      </c>
      <c r="F28" s="5" t="n"/>
      <c r="G28" s="5" t="n"/>
      <c r="H28" s="5" t="n"/>
      <c r="I28" s="18" t="n"/>
      <c r="J28" s="5" t="inlineStr">
        <is>
          <t>Rahul Rawail</t>
        </is>
      </c>
      <c r="K28" s="5" t="n"/>
      <c r="L28" s="5" t="n"/>
      <c r="M28" s="5" t="n"/>
      <c r="N28" s="5" t="n"/>
      <c r="O28" s="5" t="n"/>
      <c r="P28" s="5" t="n"/>
      <c r="Q28" s="5" t="n"/>
      <c r="R28" s="5" t="inlineStr">
        <is>
          <t>Amar</t>
        </is>
      </c>
      <c r="S28" s="5" t="n"/>
      <c r="T28" s="5" t="n"/>
      <c r="U28" s="18" t="n"/>
      <c r="V28" s="5" t="n"/>
      <c r="W28" s="5" t="n"/>
      <c r="X28" s="19" t="inlineStr">
        <is>
          <t>The filmography table gives the title, the year and the character name Amar, and nothing else. There is no Wikipedia article under any spelling, no cast list, no credits and no plot, so the role type, the co-stars and every other field are undocumented.</t>
        </is>
      </c>
      <c r="Y28" s="19" t="n"/>
      <c r="Z28" s="19" t="n"/>
      <c r="AA28" s="19" t="n"/>
      <c r="AB28" s="19" t="n"/>
      <c r="AC28" s="5" t="n"/>
      <c r="AD28" s="5" t="n"/>
      <c r="AE28" s="5" t="n"/>
      <c r="AF28" s="18" t="n"/>
      <c r="AG28" s="19" t="n"/>
      <c r="AH28" s="5" t="n"/>
      <c r="AI28" s="5" t="n"/>
      <c r="AJ28" s="5" t="n"/>
      <c r="AK28" s="5" t="n"/>
      <c r="AL28" s="5" t="n"/>
      <c r="AM28" s="5" t="n"/>
      <c r="AN28" s="5" t="n"/>
      <c r="AO28" s="18" t="n"/>
      <c r="AP28" s="19" t="n"/>
      <c r="AQ28" s="19" t="n"/>
      <c r="AR28" s="5" t="inlineStr">
        <is>
          <t>SOURCE-001; SOURCE-168</t>
        </is>
      </c>
      <c r="AS28" s="5" t="inlineStr">
        <is>
          <t>Unknown</t>
        </is>
      </c>
      <c r="AT28" s="5" t="inlineStr">
        <is>
          <t>No Wikipedia film article; fields come from the filmography table. No Wikipedia article. Released 1980, Rahul Rawail's directorial debut, music by R. D. Burman, with Rajendra Kumar, Parveen Babi and Asha Parekh. Search summaries and aggregator listings only. One of the nine article-less films. Role type, genre, romance presence and all narrative fields are deliberately left blank rather than guessed; a 1980 Rishi Kapoor credit with a character name is very likely a lead, but nothing located supports it, so it is not asserted. This film is expected to produce validation warnings for blank role_type, romance_presence and role_gist-adjacent fields, and those warnings are deliberate. Director supplied by Rahul Rawail's Wikipedia article, which names Gunehgaar (1980), starring Parveen Babi, Rishi Kapoor, Rajendra Kumar and Asha Parekh, as his directorial debut; the film itself has no article and the filmography table gives no crew. The article spells the title Gunehgaar against the table's Gunahgaar.</t>
        </is>
      </c>
    </row>
    <row r="29" ht="94" customHeight="1">
      <c r="A29" s="15" t="inlineStr">
        <is>
          <t>FILM-028</t>
        </is>
      </c>
      <c r="B29" s="5" t="inlineStr">
        <is>
          <t>Do Premee</t>
        </is>
      </c>
      <c r="C29" s="16" t="n">
        <v>29231</v>
      </c>
      <c r="D29" s="17" t="n">
        <v>1980</v>
      </c>
      <c r="E29" s="5" t="inlineStr">
        <is>
          <t>1980s</t>
        </is>
      </c>
      <c r="F29" s="5" t="inlineStr">
        <is>
          <t>Hindi</t>
        </is>
      </c>
      <c r="G29" s="5" t="inlineStr">
        <is>
          <t>Romance</t>
        </is>
      </c>
      <c r="H29" s="5" t="n"/>
      <c r="I29" s="17" t="n">
        <v>134</v>
      </c>
      <c r="J29" s="5" t="inlineStr">
        <is>
          <t>Raj Khosla</t>
        </is>
      </c>
      <c r="K29" s="5" t="inlineStr">
        <is>
          <t>Kundan A. Thadani; Sudesh Issar</t>
        </is>
      </c>
      <c r="L29" s="5" t="n"/>
      <c r="M29" s="5" t="inlineStr">
        <is>
          <t>Gulshan Nanda; Raj Bharti</t>
        </is>
      </c>
      <c r="N29" s="5" t="n"/>
      <c r="O29" s="5" t="inlineStr">
        <is>
          <t>Laxmikant–Pyarelal</t>
        </is>
      </c>
      <c r="P29" s="5" t="n"/>
      <c r="Q29" s="5" t="inlineStr">
        <is>
          <t>Anand Bakshi</t>
        </is>
      </c>
      <c r="R29" s="5" t="inlineStr">
        <is>
          <t>Chetan Prakash</t>
        </is>
      </c>
      <c r="S29" s="5" t="n"/>
      <c r="T29" s="5" t="inlineStr">
        <is>
          <t>Lead</t>
        </is>
      </c>
      <c r="U29" s="20" t="n">
        <v>1</v>
      </c>
      <c r="V29" s="5" t="inlineStr">
        <is>
          <t>Car driver after the elopement</t>
        </is>
      </c>
      <c r="W29" s="5" t="inlineStr">
        <is>
          <t>Son of Daulatram, in love against his father's wishes</t>
        </is>
      </c>
      <c r="X29" s="19" t="inlineStr">
        <is>
          <t>Chetan and Payal love each other and go to their fathers for permission; both fathers refuse and have other matches in mind, so the pair elope and marry. Reduced to working as a driver while she works as a maid, they then discover a dark secret about their employer that puts them in danger.</t>
        </is>
      </c>
      <c r="Y29" s="19" t="inlineStr">
        <is>
          <t>To marry Payal and keep the marriage going once both families have cut them off.</t>
        </is>
      </c>
      <c r="Z29" s="19" t="inlineStr">
        <is>
          <t>Two refusing fathers, then a dangerous employer.</t>
        </is>
      </c>
      <c r="AA29" s="19" t="inlineStr">
        <is>
          <t>From a son asking permission to a husband earning a living as a driver with his wife in service beside him.</t>
        </is>
      </c>
      <c r="AB29" s="19" t="inlineStr">
        <is>
          <t>Good</t>
        </is>
      </c>
      <c r="AC29" s="5" t="inlineStr">
        <is>
          <t>Not documented; the article's summary ends with the couple in danger.</t>
        </is>
      </c>
      <c r="AD29" s="5" t="inlineStr">
        <is>
          <t>Moushumi Chatterjee</t>
        </is>
      </c>
      <c r="AE29" s="5" t="inlineStr">
        <is>
          <t>Central</t>
        </is>
      </c>
      <c r="AF29" s="20" t="n">
        <v>9</v>
      </c>
      <c r="AG29" s="19" t="inlineStr">
        <is>
          <t>United couple versus external world</t>
        </is>
      </c>
      <c r="AH29" s="5" t="n"/>
      <c r="AI29" s="5" t="n"/>
      <c r="AJ29" s="5" t="n"/>
      <c r="AK29" s="5" t="n"/>
      <c r="AL29" s="5" t="n"/>
      <c r="AM29" s="5" t="n"/>
      <c r="AN29" s="5" t="n"/>
      <c r="AO29" s="18" t="n"/>
      <c r="AP29" s="19" t="n"/>
      <c r="AQ29" s="19" t="n"/>
      <c r="AR29" s="5" t="inlineStr">
        <is>
          <t>SOURCE-001; SOURCE-028</t>
        </is>
      </c>
      <c r="AS29" s="5" t="inlineStr">
        <is>
          <t>Medium</t>
        </is>
      </c>
      <c r="AT29" s="5" t="inlineStr">
        <is>
          <t>The title means 'the two lovers'. The article's plot ends on the discovery of the employer's secret without resolving it. The structure is unusual in Kapoor's work in that the marriage happens early and the film is about the couple surviving together afterwards, which is scored as a united couple rather than as courtship.</t>
        </is>
      </c>
    </row>
    <row r="30" ht="109" customHeight="1">
      <c r="A30" s="15" t="inlineStr">
        <is>
          <t>FILM-029</t>
        </is>
      </c>
      <c r="B30" s="5" t="inlineStr">
        <is>
          <t>Dhan Daulat</t>
        </is>
      </c>
      <c r="C30" s="16" t="n">
        <v>29231</v>
      </c>
      <c r="D30" s="17" t="n">
        <v>1980</v>
      </c>
      <c r="E30" s="5" t="inlineStr">
        <is>
          <t>1980s</t>
        </is>
      </c>
      <c r="F30" s="5" t="inlineStr">
        <is>
          <t>Hindi</t>
        </is>
      </c>
      <c r="G30" s="5" t="inlineStr">
        <is>
          <t>Masala</t>
        </is>
      </c>
      <c r="H30" s="5" t="inlineStr">
        <is>
          <t>Family drama</t>
        </is>
      </c>
      <c r="I30" s="18" t="n"/>
      <c r="J30" s="5" t="inlineStr">
        <is>
          <t>Harish Shah</t>
        </is>
      </c>
      <c r="K30" s="5" t="inlineStr">
        <is>
          <t>Vinod Shah</t>
        </is>
      </c>
      <c r="L30" s="5" t="n"/>
      <c r="M30" s="5" t="inlineStr">
        <is>
          <t>Sachin Bhowmick</t>
        </is>
      </c>
      <c r="N30" s="5" t="n"/>
      <c r="O30" s="5" t="inlineStr">
        <is>
          <t>R. D. Burman</t>
        </is>
      </c>
      <c r="P30" s="5" t="n"/>
      <c r="Q30" s="5" t="inlineStr">
        <is>
          <t>Majrooh Sultanpuri</t>
        </is>
      </c>
      <c r="R30" s="5" t="inlineStr">
        <is>
          <t>Lucky R. Saxena</t>
        </is>
      </c>
      <c r="S30" s="5" t="n"/>
      <c r="T30" s="5" t="inlineStr">
        <is>
          <t>Lead</t>
        </is>
      </c>
      <c r="U30" s="20" t="n">
        <v>3</v>
      </c>
      <c r="V30" s="5" t="inlineStr">
        <is>
          <t>Match manufacturer; earlier a tangewala</t>
        </is>
      </c>
      <c r="W30" s="5" t="inlineStr">
        <is>
          <t>Foundling raised by two truck drivers, mocked in college for his fathers' work, and unknowingly the son of a wealthy industrialist</t>
        </is>
      </c>
      <c r="X30" s="19" t="inlineStr">
        <is>
          <t>Lucky is raised by two truck-driver fathers who sell their truck to fund his match business. Bullied over his parentage and then told he was found abandoned, he turns on the men who raised him, joins the rival Sujit's illegal business and takes to drink, before the film reveals that the industrialist ruining him and the fruit-seller Vasudha are his own parents.</t>
        </is>
      </c>
      <c r="Y30" s="19" t="inlineStr">
        <is>
          <t>To make enough of himself to satisfy Shanti's father, and then to find out whose son he is.</t>
        </is>
      </c>
      <c r="Z30" s="19" t="inlineStr">
        <is>
          <t>A capitalist rival buying out his stock, and the discovery that he is adopted.</t>
        </is>
      </c>
      <c r="AA30" s="19" t="inlineStr">
        <is>
          <t>From a mischievous village boy with a business idea to a man who repudiates his fathers and has to be brought back.</t>
        </is>
      </c>
      <c r="AB30" s="19" t="inlineStr">
        <is>
          <t>Morally mixed</t>
        </is>
      </c>
      <c r="AC30" s="5" t="inlineStr">
        <is>
          <t>Not documented; the article's summary breaks off at the revelation of his parentage.</t>
        </is>
      </c>
      <c r="AD30" s="5" t="inlineStr">
        <is>
          <t>Neetu Singh</t>
        </is>
      </c>
      <c r="AE30" s="5" t="inlineStr">
        <is>
          <t>Secondary</t>
        </is>
      </c>
      <c r="AF30" s="20" t="n">
        <v>5</v>
      </c>
      <c r="AG30" s="19" t="inlineStr">
        <is>
          <t>Romance subordinate to another genre</t>
        </is>
      </c>
      <c r="AH30" s="5" t="n"/>
      <c r="AI30" s="5" t="n"/>
      <c r="AJ30" s="5" t="n"/>
      <c r="AK30" s="5" t="n"/>
      <c r="AL30" s="5" t="n"/>
      <c r="AM30" s="5" t="n"/>
      <c r="AN30" s="5" t="n"/>
      <c r="AO30" s="18" t="n"/>
      <c r="AP30" s="19" t="n"/>
      <c r="AQ30" s="19" t="n"/>
      <c r="AR30" s="5" t="inlineStr">
        <is>
          <t>SOURCE-001; SOURCE-029</t>
        </is>
      </c>
      <c r="AS30" s="5" t="inlineStr">
        <is>
          <t>Low</t>
        </is>
      </c>
      <c r="AT30" s="5" t="inlineStr">
        <is>
          <t>The plot summary breaks off mid-sentence at the revelation that Raj and Vasudha were husband and wife, so the ending and the fate of the romance are undocumented. The obstacle to the romance is Shanti's father's objection to a man with no known family, which makes the opposition a matter of parentage rather than of money alone.</t>
        </is>
      </c>
    </row>
    <row r="31" ht="109" customHeight="1">
      <c r="A31" s="15" t="inlineStr">
        <is>
          <t>FILM-030</t>
        </is>
      </c>
      <c r="B31" s="5" t="inlineStr">
        <is>
          <t>Aap Ke Deewane</t>
        </is>
      </c>
      <c r="C31" s="16" t="n">
        <v>29322</v>
      </c>
      <c r="D31" s="17" t="n">
        <v>1980</v>
      </c>
      <c r="E31" s="5" t="inlineStr">
        <is>
          <t>1980s</t>
        </is>
      </c>
      <c r="F31" s="5" t="inlineStr">
        <is>
          <t>Hindi</t>
        </is>
      </c>
      <c r="G31" s="5" t="inlineStr">
        <is>
          <t>Romance</t>
        </is>
      </c>
      <c r="H31" s="5" t="inlineStr">
        <is>
          <t>Comedy</t>
        </is>
      </c>
      <c r="I31" s="17" t="n">
        <v>140</v>
      </c>
      <c r="J31" s="5" t="inlineStr">
        <is>
          <t>Surendra Mohan</t>
        </is>
      </c>
      <c r="K31" s="5" t="inlineStr">
        <is>
          <t>Vimal Kumar; Rakesh Roshan</t>
        </is>
      </c>
      <c r="L31" s="5" t="inlineStr">
        <is>
          <t>Filmkraft</t>
        </is>
      </c>
      <c r="M31" s="5" t="inlineStr">
        <is>
          <t>Madan Joshi; Mirza Brothers</t>
        </is>
      </c>
      <c r="N31" s="5" t="n"/>
      <c r="O31" s="5" t="inlineStr">
        <is>
          <t>Rajesh Roshan</t>
        </is>
      </c>
      <c r="P31" s="5" t="inlineStr">
        <is>
          <t>Sapan–Jagmohan</t>
        </is>
      </c>
      <c r="Q31" s="5" t="inlineStr">
        <is>
          <t>Anand Bakshi</t>
        </is>
      </c>
      <c r="R31" s="5" t="inlineStr">
        <is>
          <t>Ram</t>
        </is>
      </c>
      <c r="S31" s="5" t="inlineStr">
        <is>
          <t>Poses with Rahim as a married couple in order to be hired as tutors</t>
        </is>
      </c>
      <c r="T31" s="5" t="inlineStr">
        <is>
          <t>Co-lead</t>
        </is>
      </c>
      <c r="U31" s="20" t="n">
        <v>1</v>
      </c>
      <c r="V31" s="5" t="inlineStr">
        <is>
          <t>Tutor to a millionaire's daughter; formerly a college student</t>
        </is>
      </c>
      <c r="W31" s="5" t="inlineStr">
        <is>
          <t>Expelled from college on a false molestation charge engineered by a fellow student</t>
        </is>
      </c>
      <c r="X31" s="19" t="inlineStr">
        <is>
          <t>Ram and Rahim are inseparable friends framed for molesting a girl and thrown out of college. They assume the identity of a couple to be taken on as tutors to Sameera, the adopted daughter of two wealthy men, and both fall in love with her, leaving the choice between the two friends to her.</t>
        </is>
      </c>
      <c r="Y31" s="19" t="inlineStr">
        <is>
          <t>To clear himself and to win Sameera without losing Rahim.</t>
        </is>
      </c>
      <c r="Z31" s="19" t="inlineStr">
        <is>
          <t>A friend as a rival for the same woman, on top of the false charge that put them there.</t>
        </is>
      </c>
      <c r="AA31" s="19" t="inlineStr">
        <is>
          <t>From a disgraced student in disguise to one of two friends waiting on a woman's choice.</t>
        </is>
      </c>
      <c r="AB31" s="19" t="inlineStr">
        <is>
          <t>Good</t>
        </is>
      </c>
      <c r="AC31" s="5" t="inlineStr">
        <is>
          <t>Left to Sameera's decision; the article does not state which man she chooses.</t>
        </is>
      </c>
      <c r="AD31" s="5" t="inlineStr">
        <is>
          <t>Tina Munim</t>
        </is>
      </c>
      <c r="AE31" s="5" t="inlineStr">
        <is>
          <t>Central</t>
        </is>
      </c>
      <c r="AF31" s="20" t="n">
        <v>8</v>
      </c>
      <c r="AG31" s="19" t="inlineStr">
        <is>
          <t>Love triangle</t>
        </is>
      </c>
      <c r="AH31" s="5" t="n"/>
      <c r="AI31" s="5" t="n"/>
      <c r="AJ31" s="5" t="n"/>
      <c r="AK31" s="5" t="n"/>
      <c r="AL31" s="5" t="n"/>
      <c r="AM31" s="5" t="n"/>
      <c r="AN31" s="5" t="n"/>
      <c r="AO31" s="18" t="n"/>
      <c r="AP31" s="19" t="n"/>
      <c r="AQ31" s="19" t="n"/>
      <c r="AR31" s="5" t="inlineStr">
        <is>
          <t>SOURCE-001; SOURCE-030</t>
        </is>
      </c>
      <c r="AS31" s="5" t="inlineStr">
        <is>
          <t>Low</t>
        </is>
      </c>
      <c r="AT31" s="5" t="inlineStr">
        <is>
          <t>The article's plot summary ends by stating that the choice is Sameera's and does not say how she chooses, so the outcome of the pairing is not documented. The lead sentence is partly swallowed by an unclosed infobox in the cached wikitext, but the film is described there as a 1980 romance produced under the Film Krafts banner.</t>
        </is>
      </c>
    </row>
    <row r="32" ht="109" customHeight="1">
      <c r="A32" s="15" t="inlineStr">
        <is>
          <t>FILM-031</t>
        </is>
      </c>
      <c r="B32" s="5" t="inlineStr">
        <is>
          <t>Karz</t>
        </is>
      </c>
      <c r="C32" s="16" t="n">
        <v>29383</v>
      </c>
      <c r="D32" s="17" t="n">
        <v>1980</v>
      </c>
      <c r="E32" s="5" t="inlineStr">
        <is>
          <t>1980s</t>
        </is>
      </c>
      <c r="F32" s="5" t="inlineStr">
        <is>
          <t>Hindi</t>
        </is>
      </c>
      <c r="G32" s="5" t="inlineStr">
        <is>
          <t>Fantasy thriller</t>
        </is>
      </c>
      <c r="H32" s="5" t="inlineStr">
        <is>
          <t>Musical revenge drama</t>
        </is>
      </c>
      <c r="I32" s="17" t="n">
        <v>157</v>
      </c>
      <c r="J32" s="5" t="inlineStr">
        <is>
          <t>Subhash Ghai</t>
        </is>
      </c>
      <c r="K32" s="5" t="inlineStr">
        <is>
          <t>Akhtar Farooqui; Jagjit Khurana</t>
        </is>
      </c>
      <c r="L32" s="5" t="n"/>
      <c r="M32" s="5" t="inlineStr">
        <is>
          <t>Rahi Masoom Raza; Sachin Bhowmick</t>
        </is>
      </c>
      <c r="N32" s="5" t="n"/>
      <c r="O32" s="5" t="inlineStr">
        <is>
          <t>Laxmikant–Pyarelal</t>
        </is>
      </c>
      <c r="P32" s="5" t="n"/>
      <c r="Q32" s="5" t="inlineStr">
        <is>
          <t>Anand Bakshi</t>
        </is>
      </c>
      <c r="R32" s="5" t="inlineStr">
        <is>
          <t>Monty Oberoi</t>
        </is>
      </c>
      <c r="S32" s="5" t="n"/>
      <c r="T32" s="5" t="inlineStr">
        <is>
          <t>Lead</t>
        </is>
      </c>
      <c r="U32" s="20" t="n">
        <v>1</v>
      </c>
      <c r="V32" s="5" t="inlineStr">
        <is>
          <t>Professional singer and stage performer</t>
        </is>
      </c>
      <c r="W32" s="5" t="inlineStr">
        <is>
          <t>Orphan raised by the wealthy G. G. Oberoi; the reincarnation of the murdered Ravi Verma</t>
        </is>
      </c>
      <c r="X32" s="19" t="inlineStr">
        <is>
          <t>Monty is a successful singer haunted by memories that are not his own, triggered by a tune he has never learned. Travelling to Ooty he falls in love with Tina and discovers, piece by piece, that he is the reincarnation of Ravi Verma, murdered twenty years earlier by the woman who now controls Tina's life. The performance and the revenge are conducted through his stage act.</t>
        </is>
      </c>
      <c r="Y32" s="19" t="inlineStr">
        <is>
          <t>To recover a past life's memory and avenge the murder that ended it.</t>
        </is>
      </c>
      <c r="Z32" s="19" t="inlineStr">
        <is>
          <t>Kamini, who killed him in his previous life and is now his lover's guardian.</t>
        </is>
      </c>
      <c r="AA32" s="19" t="inlineStr">
        <is>
          <t>From a performer troubled by inexplicable visions to a man who stages his own former death in order to break his killer.</t>
        </is>
      </c>
      <c r="AB32" s="19" t="inlineStr">
        <is>
          <t>Good</t>
        </is>
      </c>
      <c r="AC32" s="5" t="inlineStr">
        <is>
          <t>Confronts Kamini with the evidence of his past life; the article's plot breaks off before the final resolution.</t>
        </is>
      </c>
      <c r="AD32" s="5" t="inlineStr">
        <is>
          <t>Tina Munim</t>
        </is>
      </c>
      <c r="AE32" s="5" t="inlineStr">
        <is>
          <t>Secondary</t>
        </is>
      </c>
      <c r="AF32" s="20" t="n">
        <v>5</v>
      </c>
      <c r="AG32" s="19" t="inlineStr">
        <is>
          <t>Romance subordinate to another genre</t>
        </is>
      </c>
      <c r="AH32" s="5" t="n"/>
      <c r="AI32" s="5" t="n"/>
      <c r="AJ32" s="5" t="n"/>
      <c r="AK32" s="5" t="n"/>
      <c r="AL32" s="5" t="n"/>
      <c r="AM32" s="5" t="n"/>
      <c r="AN32" s="5" t="n"/>
      <c r="AO32" s="18" t="n"/>
      <c r="AP32" s="19" t="n"/>
      <c r="AQ32" s="19" t="inlineStr">
        <is>
          <t>A cult film whose Laxmikant-Pyarelal score, and above all 'Ek Hasina Thi', outlived its box-office performance; remade in Hindi as Karz (2008) and widely imitated as a reincarnation template.</t>
        </is>
      </c>
      <c r="AR32" s="5" t="inlineStr">
        <is>
          <t>SOURCE-001; SOURCE-031</t>
        </is>
      </c>
      <c r="AS32" s="5" t="inlineStr">
        <is>
          <t>Medium</t>
        </is>
      </c>
      <c r="AT32" s="5" t="inlineStr">
        <is>
          <t>The article has no cast section, so co-star characters are taken from the plot. Simi Garewal's Kamini earned a Filmfare nomination. The plot summary breaks off mid-sentence before the ending. Romance is scored as secondary because the film's engine is reincarnation and revenge, with Tina the occasion for the discovery rather than its object.</t>
        </is>
      </c>
    </row>
    <row r="33" ht="94" customHeight="1">
      <c r="A33" s="15" t="inlineStr">
        <is>
          <t>FILM-032</t>
        </is>
      </c>
      <c r="B33" s="5" t="inlineStr">
        <is>
          <t>Naseeb</t>
        </is>
      </c>
      <c r="C33" s="16" t="n">
        <v>29707</v>
      </c>
      <c r="D33" s="17" t="n">
        <v>1981</v>
      </c>
      <c r="E33" s="5" t="inlineStr">
        <is>
          <t>1980s</t>
        </is>
      </c>
      <c r="F33" s="5" t="inlineStr">
        <is>
          <t>Hindi</t>
        </is>
      </c>
      <c r="G33" s="5" t="inlineStr">
        <is>
          <t>Masala</t>
        </is>
      </c>
      <c r="H33" s="5" t="inlineStr">
        <is>
          <t>Action drama</t>
        </is>
      </c>
      <c r="I33" s="17" t="n">
        <v>182</v>
      </c>
      <c r="J33" s="5" t="inlineStr">
        <is>
          <t>Manmohan Desai</t>
        </is>
      </c>
      <c r="K33" s="5" t="inlineStr">
        <is>
          <t>Manmohan Desai</t>
        </is>
      </c>
      <c r="L33" s="5" t="n"/>
      <c r="M33" s="5" t="inlineStr">
        <is>
          <t>Kader Khan; Prayag Raj; K. K. Shukla</t>
        </is>
      </c>
      <c r="N33" s="5" t="n"/>
      <c r="O33" s="5" t="inlineStr">
        <is>
          <t>Laxmikant–Pyarelal</t>
        </is>
      </c>
      <c r="P33" s="5" t="n"/>
      <c r="Q33" s="5" t="inlineStr">
        <is>
          <t>Anand Bakshi</t>
        </is>
      </c>
      <c r="R33" s="5" t="inlineStr">
        <is>
          <t>Sunny</t>
        </is>
      </c>
      <c r="S33" s="5" t="n"/>
      <c r="T33" s="5" t="inlineStr">
        <is>
          <t>Supporting</t>
        </is>
      </c>
      <c r="U33" s="20" t="n">
        <v>3</v>
      </c>
      <c r="V33" s="5" t="inlineStr">
        <is>
          <t>Not documented</t>
        </is>
      </c>
      <c r="W33" s="5" t="inlineStr">
        <is>
          <t>Younger son of Namdev, the waiter framed for murder over a lottery ticket</t>
        </is>
      </c>
      <c r="X33" s="19" t="inlineStr">
        <is>
          <t>Sunny is the younger of Namdev's two sons in a four-hander about a stolen lottery ticket and twenty years of consequences. His own thread is the lightest: he falls for Kim, the younger sister of the singer both his brother and Vicky love, while the film's weight sits on Amitabh Bachchan's Johnny and the fathers' betrayal.</t>
        </is>
      </c>
      <c r="Y33" s="19" t="inlineStr">
        <is>
          <t>To win Kim, and to see his father's name cleared.</t>
        </is>
      </c>
      <c r="Z33" s="19" t="inlineStr">
        <is>
          <t>The two men who stole the ticket, framed his father and built an empire on it.</t>
        </is>
      </c>
      <c r="AA33" s="19" t="inlineStr">
        <is>
          <t>Little independent movement; he is carried by the family's restoration rather than driving it.</t>
        </is>
      </c>
      <c r="AB33" s="19" t="inlineStr">
        <is>
          <t>Good</t>
        </is>
      </c>
      <c r="AC33" s="5" t="inlineStr">
        <is>
          <t>Reunited with the family once Namdev is revealed alive and the conspirators fall.</t>
        </is>
      </c>
      <c r="AD33" s="5" t="inlineStr">
        <is>
          <t>Kim</t>
        </is>
      </c>
      <c r="AE33" s="5" t="inlineStr">
        <is>
          <t>Minor</t>
        </is>
      </c>
      <c r="AF33" s="20" t="n">
        <v>5</v>
      </c>
      <c r="AG33" s="19" t="inlineStr">
        <is>
          <t>Romance subordinate to another genre</t>
        </is>
      </c>
      <c r="AH33" s="21" t="n">
        <v>4</v>
      </c>
      <c r="AI33" s="5" t="n"/>
      <c r="AJ33" s="5" t="n"/>
      <c r="AK33" s="5" t="n"/>
      <c r="AL33" s="5" t="n"/>
      <c r="AM33" s="5" t="inlineStr">
        <is>
          <t>INR crore</t>
        </is>
      </c>
      <c r="AN33" s="5" t="inlineStr">
        <is>
          <t>All Time Earner</t>
        </is>
      </c>
      <c r="AO33" s="18" t="n"/>
      <c r="AP33" s="19" t="inlineStr">
        <is>
          <t>Given the highest verdict then awarded by the trade magazine Trade Guide, an 'All Time Earner', equivalent to an All Time Blockbuster today.</t>
        </is>
      </c>
      <c r="AQ33" s="19" t="inlineStr">
        <is>
          <t>One of Manmohan Desai's biggest successes and among the rare films of its time to cross a crore per territory.</t>
        </is>
      </c>
      <c r="AR33" s="5" t="inlineStr">
        <is>
          <t>SOURCE-001; SOURCE-032</t>
        </is>
      </c>
      <c r="AS33" s="5" t="inlineStr">
        <is>
          <t>Medium</t>
        </is>
      </c>
      <c r="AT33" s="5" t="inlineStr">
        <is>
          <t>Infobox gross '₹14.5 crore' has no nett/gross label and is not entered. Third-billed behind Amitabh Bachchan and Shatrughan Sinha in a large ensemble. The article's verdict is recorded as given, in the trade vocabulary of the period, rather than converted into a rupee figure, since no amount is stated.</t>
        </is>
      </c>
    </row>
    <row r="34" ht="169" customHeight="1">
      <c r="A34" s="15" t="inlineStr">
        <is>
          <t>FILM-033</t>
        </is>
      </c>
      <c r="B34" s="5" t="inlineStr">
        <is>
          <t>Biwi-O-Biwi</t>
        </is>
      </c>
      <c r="C34" s="16" t="n">
        <v>29735</v>
      </c>
      <c r="D34" s="17" t="n">
        <v>1981</v>
      </c>
      <c r="E34" s="5" t="inlineStr">
        <is>
          <t>1980s</t>
        </is>
      </c>
      <c r="F34" s="5" t="inlineStr">
        <is>
          <t>Hindi</t>
        </is>
      </c>
      <c r="G34" s="5" t="inlineStr">
        <is>
          <t>Romantic comedy</t>
        </is>
      </c>
      <c r="H34" s="5" t="n"/>
      <c r="I34" s="17" t="n">
        <v>156</v>
      </c>
      <c r="J34" s="5" t="inlineStr">
        <is>
          <t>Rahul Rawail</t>
        </is>
      </c>
      <c r="K34" s="5" t="inlineStr">
        <is>
          <t>Raj Kapoor</t>
        </is>
      </c>
      <c r="L34" s="5" t="inlineStr">
        <is>
          <t>R. K. Films</t>
        </is>
      </c>
      <c r="M34" s="5" t="inlineStr">
        <is>
          <t>Prabhakar Tamhane; Ravindra Peepat</t>
        </is>
      </c>
      <c r="N34" s="5" t="n"/>
      <c r="O34" s="5" t="inlineStr">
        <is>
          <t>R. D. Burman</t>
        </is>
      </c>
      <c r="P34" s="5" t="n"/>
      <c r="Q34" s="5" t="n"/>
      <c r="R34" s="5" t="inlineStr">
        <is>
          <t>Singer In Hotel</t>
        </is>
      </c>
      <c r="S34" s="5" t="n"/>
      <c r="T34" s="5" t="inlineStr">
        <is>
          <t>Extended special appearance</t>
        </is>
      </c>
      <c r="U34" s="18" t="n"/>
      <c r="V34" s="5" t="n"/>
      <c r="W34" s="5" t="n"/>
      <c r="X34" s="19" t="inlineStr">
        <is>
          <t>Kapoor appears as a hotel singer in Rahul Rawail's comedy, which his father Raj Kapoor produced and which stars Sanjeev Kumar, Randhir Kapoor, Poonam Dhillon and Yogeeta Bali. The article has no plot section, and the credit is a musical guest spot outside the story.</t>
        </is>
      </c>
      <c r="Y34" s="19" t="n"/>
      <c r="Z34" s="19" t="n"/>
      <c r="AA34" s="19" t="n"/>
      <c r="AB34" s="19" t="inlineStr">
        <is>
          <t>Not applicable</t>
        </is>
      </c>
      <c r="AC34" s="5" t="n"/>
      <c r="AD34" s="5" t="n"/>
      <c r="AE34" s="5" t="inlineStr">
        <is>
          <t>None</t>
        </is>
      </c>
      <c r="AF34" s="18" t="n"/>
      <c r="AG34" s="19" t="inlineStr">
        <is>
          <t>No meaningful romance</t>
        </is>
      </c>
      <c r="AH34" s="5" t="n"/>
      <c r="AI34" s="5" t="n"/>
      <c r="AJ34" s="5" t="n"/>
      <c r="AK34" s="5" t="n"/>
      <c r="AL34" s="5" t="n"/>
      <c r="AM34" s="5" t="n"/>
      <c r="AN34" s="5" t="n"/>
      <c r="AO34" s="18" t="n"/>
      <c r="AP34" s="19" t="n"/>
      <c r="AQ34" s="19" t="n"/>
      <c r="AR34" s="5" t="inlineStr">
        <is>
          <t>SOURCE-001; SOURCE-033</t>
        </is>
      </c>
      <c r="AS34" s="5" t="inlineStr">
        <is>
          <t>Low</t>
        </is>
      </c>
      <c r="AT34" s="5" t="inlineStr">
        <is>
          <t>Filmography notes: Guest appearance. The film article never mentions Rishi Kapoor, but it is the right film: its infobox year matches, and it stars Sanjeev Kumar and his brother Randhir Kapoor. His credit here is a guest appearance as a hotel singer, which the article's cast list simply omits. Do NOT read the article's silence as evidence he is absent. No plot section in the article, and Kapoor is not in the cast list; the filmography table supplies the credit as 'Singer In Hotel'. His brother Randhir Kapoor is among the leads and the film was produced by their father.</t>
        </is>
      </c>
    </row>
    <row r="35" ht="199" customHeight="1">
      <c r="A35" s="15" t="inlineStr">
        <is>
          <t>FILM-034</t>
        </is>
      </c>
      <c r="B35" s="5" t="inlineStr">
        <is>
          <t>Katilon Ke Kaatil</t>
        </is>
      </c>
      <c r="C35" s="16" t="n">
        <v>29931</v>
      </c>
      <c r="D35" s="17" t="n">
        <v>1981</v>
      </c>
      <c r="E35" s="5" t="inlineStr">
        <is>
          <t>1980s</t>
        </is>
      </c>
      <c r="F35" s="5" t="inlineStr">
        <is>
          <t>Hindi</t>
        </is>
      </c>
      <c r="G35" s="5" t="inlineStr">
        <is>
          <t>Action thriller</t>
        </is>
      </c>
      <c r="H35" s="5" t="n"/>
      <c r="I35" s="17" t="n">
        <v>165</v>
      </c>
      <c r="J35" s="5" t="inlineStr">
        <is>
          <t>Arjun Hingorani</t>
        </is>
      </c>
      <c r="K35" s="5" t="inlineStr">
        <is>
          <t>Arjun Hingorani</t>
        </is>
      </c>
      <c r="L35" s="5" t="n"/>
      <c r="M35" s="5" t="n"/>
      <c r="N35" s="5" t="n"/>
      <c r="O35" s="5" t="inlineStr">
        <is>
          <t>Kalyanji–Anandji</t>
        </is>
      </c>
      <c r="P35" s="5" t="n"/>
      <c r="Q35" s="5" t="inlineStr">
        <is>
          <t>Rajendra Krishan</t>
        </is>
      </c>
      <c r="R35" s="5" t="inlineStr">
        <is>
          <t>Ashok</t>
        </is>
      </c>
      <c r="S35" s="5" t="inlineStr">
        <is>
          <t>Munna</t>
        </is>
      </c>
      <c r="T35" s="5" t="inlineStr">
        <is>
          <t>Co-lead</t>
        </is>
      </c>
      <c r="U35" s="20" t="n">
        <v>2</v>
      </c>
      <c r="V35" s="5" t="inlineStr">
        <is>
          <t>Not documented</t>
        </is>
      </c>
      <c r="W35" s="5" t="inlineStr">
        <is>
          <t>Son of the dead Pratap Singh and brother of Dharmendra's Ajit</t>
        </is>
      </c>
      <c r="X35" s="19" t="inlineStr">
        <is>
          <t>Kapoor plays Ashok, also called Munna, opposite Dharmendra's Ajit as brothers in Arjun Hingorani's action film, with Zeenat Aman and Tina Munim as the two heroines and Amjad Khan as Black Cobra. The article carries an infobox and cast list but no plot section, so the role's shape and its outcome are undocumented.</t>
        </is>
      </c>
      <c r="Y35" s="19" t="n"/>
      <c r="Z35" s="19" t="n"/>
      <c r="AA35" s="19" t="n"/>
      <c r="AB35" s="19" t="n"/>
      <c r="AC35" s="5" t="n"/>
      <c r="AD35" s="5" t="inlineStr">
        <is>
          <t>Tina Munim; Zeenat Aman</t>
        </is>
      </c>
      <c r="AE35" s="5" t="inlineStr">
        <is>
          <t>Secondary</t>
        </is>
      </c>
      <c r="AF35" s="18" t="n"/>
      <c r="AG35" s="19" t="n"/>
      <c r="AH35" s="5" t="n"/>
      <c r="AI35" s="5" t="n"/>
      <c r="AJ35" s="5" t="n"/>
      <c r="AK35" s="5" t="n"/>
      <c r="AL35" s="5" t="n"/>
      <c r="AM35" s="5" t="n"/>
      <c r="AN35" s="5" t="n"/>
      <c r="AO35" s="18" t="n"/>
      <c r="AP35" s="19" t="n"/>
      <c r="AQ35" s="19" t="n"/>
      <c r="AR35" s="5" t="inlineStr">
        <is>
          <t>SOURCE-001; SOURCE-035</t>
        </is>
      </c>
      <c r="AS35" s="5" t="inlineStr">
        <is>
          <t>Low</t>
        </is>
      </c>
      <c r="AT35" s="5" t="inlineStr">
        <is>
          <t>Filmography table lists 1982; infobox release date is 1981-12-11. The filmography table lists 1982; the film article's infobox gives {{Film date|1981|12|11}}, a clean mid-December date rather than a 31-December year-end listing artefact, so the infobox date is used and the Film ID sits in 1981. Directed by Arjun Hingorani. No plot section in the article. The article notes the film is known for its music and for several exploitation-film gimmicks. Romance presence is inferred from the two billed heroines in a two-hero action film and is marked Low confidence; no Romances row is created, since the relationships cannot be scored without a plot.</t>
        </is>
      </c>
    </row>
    <row r="36" ht="94" customHeight="1">
      <c r="A36" s="15" t="inlineStr">
        <is>
          <t>FILM-035</t>
        </is>
      </c>
      <c r="B36" s="5" t="inlineStr">
        <is>
          <t>Zamaane Ko Dikhana Hai</t>
        </is>
      </c>
      <c r="C36" s="16" t="n">
        <v>29987</v>
      </c>
      <c r="D36" s="17" t="n">
        <v>1982</v>
      </c>
      <c r="E36" s="5" t="inlineStr">
        <is>
          <t>1980s</t>
        </is>
      </c>
      <c r="F36" s="5" t="inlineStr">
        <is>
          <t>Hindi</t>
        </is>
      </c>
      <c r="G36" s="5" t="inlineStr">
        <is>
          <t>Romantic thriller</t>
        </is>
      </c>
      <c r="H36" s="5" t="inlineStr">
        <is>
          <t>Action comedy</t>
        </is>
      </c>
      <c r="I36" s="18" t="n"/>
      <c r="J36" s="5" t="inlineStr">
        <is>
          <t>Nasir Hussain</t>
        </is>
      </c>
      <c r="K36" s="5" t="inlineStr">
        <is>
          <t>Nasir Hussain</t>
        </is>
      </c>
      <c r="L36" s="5" t="n"/>
      <c r="M36" s="5" t="inlineStr">
        <is>
          <t>Sachin Bhowmick</t>
        </is>
      </c>
      <c r="N36" s="5" t="n"/>
      <c r="O36" s="5" t="inlineStr">
        <is>
          <t>R. D. Burman</t>
        </is>
      </c>
      <c r="P36" s="5" t="n"/>
      <c r="Q36" s="5" t="inlineStr">
        <is>
          <t>Majrooh Sultanpuri</t>
        </is>
      </c>
      <c r="R36" s="5" t="inlineStr">
        <is>
          <t>Ravi Nanda</t>
        </is>
      </c>
      <c r="S36" s="5" t="n"/>
      <c r="T36" s="5" t="inlineStr">
        <is>
          <t>Lead</t>
        </is>
      </c>
      <c r="U36" s="20" t="n">
        <v>1</v>
      </c>
      <c r="V36" s="5" t="inlineStr">
        <is>
          <t>Son of the industrialist Nanda</t>
        </is>
      </c>
      <c r="W36" s="5" t="inlineStr">
        <is>
          <t>Younger son of a wealthy family that disinherited his brother for marrying a poor woman</t>
        </is>
      </c>
      <c r="X36" s="19" t="inlineStr">
        <is>
          <t>Ravi goes looking for the brother his father drove out for marrying beneath him, finds him dead and his widow's sister Kanchan raising the child, and falls in love with her. When Kanchan learns whose son he is she refuses him outright, certain that his father will reject her exactly as he rejected her sister, while the father pursues the child rather than the couple.</t>
        </is>
      </c>
      <c r="Y36" s="19" t="inlineStr">
        <is>
          <t>To find his brother, and then to keep Kanchan once she learns who his family is.</t>
        </is>
      </c>
      <c r="Z36" s="19" t="inlineStr">
        <is>
          <t>His father's record of destroying one marriage across class lines, which makes Kanchan refuse a second.</t>
        </is>
      </c>
      <c r="AA36" s="19" t="inlineStr">
        <is>
          <t>From a son who assumes his father can be reasoned with to a man courting against his family's proven history.</t>
        </is>
      </c>
      <c r="AB36" s="19" t="inlineStr">
        <is>
          <t>Good</t>
        </is>
      </c>
      <c r="AC36" s="5" t="inlineStr">
        <is>
          <t>Not documented; the article's summary ends with the father's plan to take the child by any means.</t>
        </is>
      </c>
      <c r="AD36" s="5" t="inlineStr">
        <is>
          <t>Padmini Kolhapure</t>
        </is>
      </c>
      <c r="AE36" s="5" t="inlineStr">
        <is>
          <t>Central</t>
        </is>
      </c>
      <c r="AF36" s="20" t="n">
        <v>8</v>
      </c>
      <c r="AG36" s="19" t="inlineStr">
        <is>
          <t>Forbidden love</t>
        </is>
      </c>
      <c r="AH36" s="5" t="n"/>
      <c r="AI36" s="5" t="n"/>
      <c r="AJ36" s="5" t="n"/>
      <c r="AK36" s="5" t="n"/>
      <c r="AL36" s="5" t="n"/>
      <c r="AM36" s="5" t="n"/>
      <c r="AN36" s="5" t="inlineStr">
        <is>
          <t>Flop</t>
        </is>
      </c>
      <c r="AO36" s="18" t="n"/>
      <c r="AP36" s="19" t="inlineStr">
        <is>
          <t>The article records that the film flopped and that Nasir Hussain blamed the arrival of video for its failure.</t>
        </is>
      </c>
      <c r="AQ36" s="19" t="n"/>
      <c r="AR36" s="5" t="inlineStr">
        <is>
          <t>SOURCE-001; SOURCE-036</t>
        </is>
      </c>
      <c r="AS36" s="5" t="inlineStr">
        <is>
          <t>Medium</t>
        </is>
      </c>
      <c r="AT36" s="5" t="inlineStr">
        <is>
          <t>The obstacle is unusual: the heroine refuses the hero pre-emptively, on the evidence of what his father did to her sister, so the external opposition operates through her rather than against her. Padmini Kolhapure's role is credited as Kanchan / Bahadur, indicating a disguise the article's plot does not explain.</t>
        </is>
      </c>
    </row>
    <row r="37" ht="94" customHeight="1">
      <c r="A37" s="15" t="inlineStr">
        <is>
          <t>FILM-036</t>
        </is>
      </c>
      <c r="B37" s="5" t="inlineStr">
        <is>
          <t>Yeh Vaada Raha</t>
        </is>
      </c>
      <c r="C37" s="16" t="n">
        <v>30050</v>
      </c>
      <c r="D37" s="17" t="n">
        <v>1982</v>
      </c>
      <c r="E37" s="5" t="inlineStr">
        <is>
          <t>1980s</t>
        </is>
      </c>
      <c r="F37" s="5" t="inlineStr">
        <is>
          <t>Hindi</t>
        </is>
      </c>
      <c r="G37" s="5" t="inlineStr">
        <is>
          <t>Romance</t>
        </is>
      </c>
      <c r="H37" s="5" t="inlineStr">
        <is>
          <t>Musical melodrama</t>
        </is>
      </c>
      <c r="I37" s="18" t="n"/>
      <c r="J37" s="5" t="inlineStr">
        <is>
          <t>Kapil Kapoor</t>
        </is>
      </c>
      <c r="K37" s="5" t="inlineStr">
        <is>
          <t>Ramesh Behl</t>
        </is>
      </c>
      <c r="L37" s="5" t="inlineStr">
        <is>
          <t>Rose Movies</t>
        </is>
      </c>
      <c r="M37" s="5" t="n"/>
      <c r="N37" s="5" t="n"/>
      <c r="O37" s="5" t="inlineStr">
        <is>
          <t>R. D. Burman</t>
        </is>
      </c>
      <c r="P37" s="5" t="n"/>
      <c r="Q37" s="5" t="inlineStr">
        <is>
          <t>Gulshan Bawra</t>
        </is>
      </c>
      <c r="R37" s="5" t="inlineStr">
        <is>
          <t>Vikram Rai Bahadur</t>
        </is>
      </c>
      <c r="S37" s="5" t="n"/>
      <c r="T37" s="5" t="inlineStr">
        <is>
          <t>Lead</t>
        </is>
      </c>
      <c r="U37" s="20" t="n">
        <v>1</v>
      </c>
      <c r="V37" s="5" t="inlineStr">
        <is>
          <t>Stage performer; son of a wealthy business family</t>
        </is>
      </c>
      <c r="W37" s="5" t="inlineStr">
        <is>
          <t>Only son of the wealthy Sharda Rai Bahadur, who runs the family business</t>
        </is>
      </c>
      <c r="X37" s="19" t="inlineStr">
        <is>
          <t>Vikram falls in love with the penniless singer Sunita in Srinagar and vows at a temple never to part from her. A car crash on the way to their wedding leaves him comatose and her disfigured; his mother tells each that the other is lost. He spends years raising money for an orphanage in her memory, unable to recognise the surgically altered woman standing in front of him.</t>
        </is>
      </c>
      <c r="Y37" s="19" t="inlineStr">
        <is>
          <t>To honour a vow made to a woman he believes dead.</t>
        </is>
      </c>
      <c r="Z37" s="19" t="inlineStr">
        <is>
          <t>A mother who separates them by lying to both, and a face he cannot recognise.</t>
        </is>
      </c>
      <c r="AA37" s="19" t="inlineStr">
        <is>
          <t>From an ardent young lover to a man performing in mourning, and finally to one who recognises her by her mannerisms rather than her face.</t>
        </is>
      </c>
      <c r="AB37" s="19" t="inlineStr">
        <is>
          <t>Good</t>
        </is>
      </c>
      <c r="AC37" s="5" t="inlineStr">
        <is>
          <t>Finds Sunita at the temple where they first exchanged vows, and the two renew them.</t>
        </is>
      </c>
      <c r="AD37" s="5" t="inlineStr">
        <is>
          <t>Poonam Dhillon; Tina Munim</t>
        </is>
      </c>
      <c r="AE37" s="5" t="inlineStr">
        <is>
          <t>Central</t>
        </is>
      </c>
      <c r="AF37" s="20" t="n">
        <v>10</v>
      </c>
      <c r="AG37" s="19" t="inlineStr">
        <is>
          <t>Relationship manipulated by outsiders</t>
        </is>
      </c>
      <c r="AH37" s="5" t="n"/>
      <c r="AI37" s="5" t="n"/>
      <c r="AJ37" s="5" t="n"/>
      <c r="AK37" s="5" t="n"/>
      <c r="AL37" s="5" t="n"/>
      <c r="AM37" s="5" t="n"/>
      <c r="AN37" s="5" t="n"/>
      <c r="AO37" s="18" t="n"/>
      <c r="AP37" s="19" t="n"/>
      <c r="AQ37" s="19" t="inlineStr">
        <is>
          <t>The article records it as the first Hindi film in which the lead female character is portrayed by two actresses, Poonam Dhillon before the surgery and Tina Munim after it.</t>
        </is>
      </c>
      <c r="AR37" s="5" t="inlineStr">
        <is>
          <t>SOURCE-001; SOURCE-034</t>
        </is>
      </c>
      <c r="AS37" s="5" t="inlineStr">
        <is>
          <t>Medium</t>
        </is>
      </c>
      <c r="AT37" s="5" t="inlineStr">
        <is>
          <t>Inspired by Danielle Steel's The Promise. Jaya Bachchan is credited with Sunita's singing voice. One pairing row is created for the single character Sunita / Kusum, recording both actresses, rather than two rows, since it is one continuous relationship played by two performers.</t>
        </is>
      </c>
    </row>
    <row r="38" ht="109" customHeight="1">
      <c r="A38" s="15" t="inlineStr">
        <is>
          <t>FILM-037</t>
        </is>
      </c>
      <c r="B38" s="5" t="inlineStr">
        <is>
          <t>Prem Rog</t>
        </is>
      </c>
      <c r="C38" s="16" t="n">
        <v>30176</v>
      </c>
      <c r="D38" s="17" t="n">
        <v>1982</v>
      </c>
      <c r="E38" s="5" t="inlineStr">
        <is>
          <t>1980s</t>
        </is>
      </c>
      <c r="F38" s="5" t="inlineStr">
        <is>
          <t>Hindi</t>
        </is>
      </c>
      <c r="G38" s="5" t="inlineStr">
        <is>
          <t>Musical romantic drama</t>
        </is>
      </c>
      <c r="H38" s="5" t="inlineStr">
        <is>
          <t>Social reform drama</t>
        </is>
      </c>
      <c r="I38" s="17" t="n">
        <v>172</v>
      </c>
      <c r="J38" s="5" t="inlineStr">
        <is>
          <t>Raj Kapoor</t>
        </is>
      </c>
      <c r="K38" s="5" t="inlineStr">
        <is>
          <t>Raj Kapoor</t>
        </is>
      </c>
      <c r="L38" s="5" t="inlineStr">
        <is>
          <t>R. K. Films</t>
        </is>
      </c>
      <c r="M38" s="5" t="inlineStr">
        <is>
          <t>Jainendra Jain; Kamna Chandra</t>
        </is>
      </c>
      <c r="N38" s="5" t="n"/>
      <c r="O38" s="5" t="inlineStr">
        <is>
          <t>Laxmikant–Pyarelal</t>
        </is>
      </c>
      <c r="P38" s="5" t="n"/>
      <c r="Q38" s="5" t="inlineStr">
        <is>
          <t>Santosh Anand</t>
        </is>
      </c>
      <c r="R38" s="5" t="inlineStr">
        <is>
          <t>Devdhar (Dev)</t>
        </is>
      </c>
      <c r="S38" s="5" t="n"/>
      <c r="T38" s="5" t="inlineStr">
        <is>
          <t>Lead</t>
        </is>
      </c>
      <c r="U38" s="20" t="n">
        <v>1</v>
      </c>
      <c r="V38" s="5" t="inlineStr">
        <is>
          <t>Educated young man returned from the city; raised by his maternal uncle</t>
        </is>
      </c>
      <c r="W38" s="5" t="inlineStr">
        <is>
          <t>Penniless orphan of no standing, educated at the local Thakur's expense</t>
        </is>
      </c>
      <c r="X38" s="19" t="inlineStr">
        <is>
          <t>Devdhar returns from the city in love with Manorama, the aristocratic girl he grew up beside, and says nothing when he finds her infatuated with the prince she is to marry. Widowed three days after the wedding and then raped by her brother-in-law, she comes home to have her head shaved; Dev sets himself to rebuilding her life and to marrying a widow against the whole weight of the community.</t>
        </is>
      </c>
      <c r="Y38" s="19" t="inlineStr">
        <is>
          <t>To restore Manorama's life and to marry her in defiance of the prohibition on widow remarriage.</t>
        </is>
      </c>
      <c r="Z38" s="19" t="inlineStr">
        <is>
          <t>Custom, caste and the armed authority of the Thakurs, who would rather kill him than permit it.</t>
        </is>
      </c>
      <c r="AA38" s="19" t="inlineStr">
        <is>
          <t>From a man who swallows his love out of deference to one who confronts an entire social order for it.</t>
        </is>
      </c>
      <c r="AB38" s="19" t="inlineStr">
        <is>
          <t>Good</t>
        </is>
      </c>
      <c r="AC38" s="5" t="inlineStr">
        <is>
          <t>Survives the Thakurs' violence; the article records that the young people are reunited at the end.</t>
        </is>
      </c>
      <c r="AD38" s="5" t="inlineStr">
        <is>
          <t>Padmini Kolhapure</t>
        </is>
      </c>
      <c r="AE38" s="5" t="inlineStr">
        <is>
          <t>Central</t>
        </is>
      </c>
      <c r="AF38" s="20" t="n">
        <v>10</v>
      </c>
      <c r="AG38" s="19" t="inlineStr">
        <is>
          <t>Forbidden love</t>
        </is>
      </c>
      <c r="AH38" s="5" t="n"/>
      <c r="AI38" s="5" t="n"/>
      <c r="AJ38" s="5" t="n"/>
      <c r="AK38" s="5" t="n"/>
      <c r="AL38" s="5" t="n"/>
      <c r="AM38" s="5" t="n"/>
      <c r="AN38" s="5" t="n"/>
      <c r="AO38" s="18" t="n"/>
      <c r="AP38" s="19" t="n"/>
      <c r="AQ38" s="19" t="inlineStr">
        <is>
          <t>Raj Kapoor's return to social themes and among the most substantial roles of Kapoor's career, taking up widow remarriage directly.</t>
        </is>
      </c>
      <c r="AR38" s="5" t="inlineStr">
        <is>
          <t>SOURCE-001; SOURCE-037</t>
        </is>
      </c>
      <c r="AS38" s="5" t="inlineStr">
        <is>
          <t>High</t>
        </is>
      </c>
      <c r="AT38" s="5" t="inlineStr">
        <is>
          <t>The article frames the subject as a poor man's love for a higher-status widow. The rape by her brother-in-law is part of the plot as the article gives it and is recorded here because Dev's whole arc is a response to it. One of the very few Kapoor romances in which the obstacle is an explicit social prohibition rather than a family's preference.</t>
        </is>
      </c>
    </row>
    <row r="39" ht="79" customHeight="1">
      <c r="A39" s="15" t="inlineStr">
        <is>
          <t>FILM-038</t>
        </is>
      </c>
      <c r="B39" s="5" t="inlineStr">
        <is>
          <t>Deedar-E-Yaar</t>
        </is>
      </c>
      <c r="C39" s="16" t="n">
        <v>30246</v>
      </c>
      <c r="D39" s="17" t="n">
        <v>1982</v>
      </c>
      <c r="E39" s="5" t="inlineStr">
        <is>
          <t>1980s</t>
        </is>
      </c>
      <c r="F39" s="5" t="inlineStr">
        <is>
          <t>Hindi</t>
        </is>
      </c>
      <c r="G39" s="5" t="inlineStr">
        <is>
          <t>Romance</t>
        </is>
      </c>
      <c r="H39" s="5" t="inlineStr">
        <is>
          <t>Period drama</t>
        </is>
      </c>
      <c r="I39" s="17" t="n">
        <v>169</v>
      </c>
      <c r="J39" s="5" t="inlineStr">
        <is>
          <t>H. S. Rawail</t>
        </is>
      </c>
      <c r="K39" s="5" t="inlineStr">
        <is>
          <t>Prasan Kapoor; Jeetendra</t>
        </is>
      </c>
      <c r="L39" s="5" t="inlineStr">
        <is>
          <t>Tirupati Pictures Enterprises</t>
        </is>
      </c>
      <c r="M39" s="5" t="inlineStr">
        <is>
          <t>Rahi Masoom Raza; Ruhi Rawail; Rahul Rawail</t>
        </is>
      </c>
      <c r="N39" s="5" t="n"/>
      <c r="O39" s="5" t="inlineStr">
        <is>
          <t>Laxmikant–Pyarelal</t>
        </is>
      </c>
      <c r="P39" s="5" t="n"/>
      <c r="Q39" s="5" t="inlineStr">
        <is>
          <t>Indeevar; Kaifi Azmi; Sahir Ludhianvi; Amir Meenai</t>
        </is>
      </c>
      <c r="R39" s="5" t="inlineStr">
        <is>
          <t>Javed Sayeed Ali Khan</t>
        </is>
      </c>
      <c r="S39" s="5" t="n"/>
      <c r="T39" s="5" t="inlineStr">
        <is>
          <t>Co-lead</t>
        </is>
      </c>
      <c r="U39" s="20" t="n">
        <v>2</v>
      </c>
      <c r="V39" s="5" t="inlineStr">
        <is>
          <t>Not documented; a young man of Lucknow's Nawabi society</t>
        </is>
      </c>
      <c r="W39" s="5" t="inlineStr">
        <is>
          <t>In love above his family's standing in a Lucknow of courtesans and nawabi manners</t>
        </is>
      </c>
      <c r="X39" s="19" t="inlineStr">
        <is>
          <t>Javed loves Firdous and hands his love letter, by mistake, to her brother. He enters her house disguised as a servant, wins her, and is then told by her father that his family makes the marriage impossible. His friend Akhtar offers to marry and divorce her so that Javed can have her, not knowing that Firdous is the woman he loves himself.</t>
        </is>
      </c>
      <c r="Y39" s="19" t="inlineStr">
        <is>
          <t>To marry Firdous despite a father who will not have his family.</t>
        </is>
      </c>
      <c r="Z39" s="19" t="inlineStr">
        <is>
          <t>A friend who unknowingly loves the same woman and then will not give her up.</t>
        </is>
      </c>
      <c r="AA39" s="19" t="inlineStr">
        <is>
          <t>From an ardent suitor to a man whose friend's sacrifice becomes his rival's claim.</t>
        </is>
      </c>
      <c r="AB39" s="19" t="inlineStr">
        <is>
          <t>Good</t>
        </is>
      </c>
      <c r="AC39" s="5" t="inlineStr">
        <is>
          <t>Not documented; the article ends on open questions about whether Javed gets Firdous.</t>
        </is>
      </c>
      <c r="AD39" s="5" t="inlineStr">
        <is>
          <t>Tina Munim</t>
        </is>
      </c>
      <c r="AE39" s="5" t="inlineStr">
        <is>
          <t>Central</t>
        </is>
      </c>
      <c r="AF39" s="20" t="n">
        <v>9</v>
      </c>
      <c r="AG39" s="19" t="inlineStr">
        <is>
          <t>Love triangle</t>
        </is>
      </c>
      <c r="AH39" s="5" t="n"/>
      <c r="AI39" s="5" t="n"/>
      <c r="AJ39" s="5" t="n"/>
      <c r="AK39" s="5" t="n"/>
      <c r="AL39" s="5" t="n"/>
      <c r="AM39" s="5" t="n"/>
      <c r="AN39" s="5" t="inlineStr">
        <is>
          <t>Flop</t>
        </is>
      </c>
      <c r="AO39" s="18" t="n"/>
      <c r="AP39" s="19" t="inlineStr">
        <is>
          <t>The article records that the film was a box-office failure.</t>
        </is>
      </c>
      <c r="AQ39" s="19" t="n"/>
      <c r="AR39" s="5" t="inlineStr">
        <is>
          <t>SOURCE-001; SOURCE-038</t>
        </is>
      </c>
      <c r="AS39" s="5" t="inlineStr">
        <is>
          <t>Medium</t>
        </is>
      </c>
      <c r="AT39" s="5" t="inlineStr">
        <is>
          <t>The article's plot ends in rhetorical questions and does not resolve the triangle. Rekha plays the courtesan Husna, whose parallel story turns on Akhtar rather than on Kapoor's character.</t>
        </is>
      </c>
    </row>
    <row r="40" ht="79" customHeight="1">
      <c r="A40" s="15" t="inlineStr">
        <is>
          <t>FILM-039</t>
        </is>
      </c>
      <c r="B40" s="5" t="inlineStr">
        <is>
          <t>Naukar Biwi Ka</t>
        </is>
      </c>
      <c r="C40" s="16" t="n">
        <v>30519</v>
      </c>
      <c r="D40" s="17" t="n">
        <v>1983</v>
      </c>
      <c r="E40" s="5" t="inlineStr">
        <is>
          <t>1980s</t>
        </is>
      </c>
      <c r="F40" s="5" t="inlineStr">
        <is>
          <t>Hindi</t>
        </is>
      </c>
      <c r="G40" s="5" t="inlineStr">
        <is>
          <t>Romantic comedy</t>
        </is>
      </c>
      <c r="H40" s="5" t="n"/>
      <c r="I40" s="18" t="n"/>
      <c r="J40" s="5" t="inlineStr">
        <is>
          <t>Rajkumar Kohli</t>
        </is>
      </c>
      <c r="K40" s="5" t="inlineStr">
        <is>
          <t>Nishi Kohli</t>
        </is>
      </c>
      <c r="L40" s="5" t="n"/>
      <c r="M40" s="5" t="n"/>
      <c r="N40" s="5" t="inlineStr">
        <is>
          <t>Based on Naukar Wohti Da (1974)</t>
        </is>
      </c>
      <c r="O40" s="5" t="inlineStr">
        <is>
          <t>Bappi Lahiri</t>
        </is>
      </c>
      <c r="P40" s="5" t="n"/>
      <c r="Q40" s="5" t="inlineStr">
        <is>
          <t>Anjaan (lyricist)</t>
        </is>
      </c>
      <c r="R40" s="5" t="inlineStr">
        <is>
          <t>Himself</t>
        </is>
      </c>
      <c r="S40" s="5" t="n"/>
      <c r="T40" s="5" t="inlineStr">
        <is>
          <t>Self appearance</t>
        </is>
      </c>
      <c r="U40" s="18" t="n"/>
      <c r="V40" s="5" t="n"/>
      <c r="W40" s="5" t="n"/>
      <c r="X40" s="19" t="inlineStr">
        <is>
          <t>A cameo in the song 'Kya Naam Hai Tera' in Rajkumar Kohli's comedy, which stars Dharmendra, Reena Roy, Raj Babbar and Anita Raj. The cast list records Kapoor and Danny Denzongpa as song cameos; the credit carries no character and no part in the plot.</t>
        </is>
      </c>
      <c r="Y40" s="19" t="n"/>
      <c r="Z40" s="19" t="n"/>
      <c r="AA40" s="19" t="n"/>
      <c r="AB40" s="19" t="inlineStr">
        <is>
          <t>Not applicable</t>
        </is>
      </c>
      <c r="AC40" s="5" t="n"/>
      <c r="AD40" s="5" t="n"/>
      <c r="AE40" s="5" t="inlineStr">
        <is>
          <t>None</t>
        </is>
      </c>
      <c r="AF40" s="20" t="n">
        <v>8</v>
      </c>
      <c r="AG40" s="19" t="inlineStr">
        <is>
          <t>No meaningful romance</t>
        </is>
      </c>
      <c r="AH40" s="5" t="n"/>
      <c r="AI40" s="5" t="n"/>
      <c r="AJ40" s="5" t="n"/>
      <c r="AK40" s="5" t="n"/>
      <c r="AL40" s="5" t="n"/>
      <c r="AM40" s="5" t="n"/>
      <c r="AN40" s="5" t="n"/>
      <c r="AO40" s="18" t="n"/>
      <c r="AP40" s="19" t="n"/>
      <c r="AQ40" s="19" t="n"/>
      <c r="AR40" s="5" t="inlineStr">
        <is>
          <t>SOURCE-001; SOURCE-041</t>
        </is>
      </c>
      <c r="AS40" s="5" t="inlineStr">
        <is>
          <t>Medium</t>
        </is>
      </c>
      <c r="AT40" s="5" t="inlineStr">
        <is>
          <t>Filmography notes: Guest appearance. A remake of the Pakistani Punjabi film Naukar Wohti Da (1974). Romance centrality reflects the film, which is built on a marriage plot; Kapoor's song cameo has no romantic content of its own.</t>
        </is>
      </c>
    </row>
    <row r="41" ht="79" customHeight="1">
      <c r="A41" s="15" t="inlineStr">
        <is>
          <t>FILM-040</t>
        </is>
      </c>
      <c r="B41" s="5" t="inlineStr">
        <is>
          <t>Bade Dilwala</t>
        </is>
      </c>
      <c r="C41" s="16" t="n">
        <v>30583</v>
      </c>
      <c r="D41" s="17" t="n">
        <v>1983</v>
      </c>
      <c r="E41" s="5" t="inlineStr">
        <is>
          <t>1980s</t>
        </is>
      </c>
      <c r="F41" s="5" t="inlineStr">
        <is>
          <t>Hindi</t>
        </is>
      </c>
      <c r="G41" s="5" t="inlineStr">
        <is>
          <t>Crime drama</t>
        </is>
      </c>
      <c r="H41" s="5" t="inlineStr">
        <is>
          <t>Romance</t>
        </is>
      </c>
      <c r="I41" s="18" t="n"/>
      <c r="J41" s="5" t="inlineStr">
        <is>
          <t>Bhappi Sonie</t>
        </is>
      </c>
      <c r="K41" s="5" t="inlineStr">
        <is>
          <t>Bhappi Sonie</t>
        </is>
      </c>
      <c r="L41" s="5" t="n"/>
      <c r="M41" s="5" t="inlineStr">
        <is>
          <t>Gulshan Nanda; C. J. Pavri; Rahi Masoom Raza</t>
        </is>
      </c>
      <c r="N41" s="5" t="inlineStr">
        <is>
          <t>Remake of Kati Patang with a gender change</t>
        </is>
      </c>
      <c r="O41" s="5" t="inlineStr">
        <is>
          <t>R. D. Burman</t>
        </is>
      </c>
      <c r="P41" s="5" t="n"/>
      <c r="Q41" s="5" t="n"/>
      <c r="R41" s="5" t="inlineStr">
        <is>
          <t>Amrit Kumar Saxena</t>
        </is>
      </c>
      <c r="S41" s="5" t="inlineStr">
        <is>
          <t>Vijay Kumar Gupta</t>
        </is>
      </c>
      <c r="T41" s="5" t="inlineStr">
        <is>
          <t>Lead</t>
        </is>
      </c>
      <c r="U41" s="20" t="n">
        <v>1</v>
      </c>
      <c r="V41" s="5" t="inlineStr">
        <is>
          <t>Takes over the Sinha family business under an assumed identity</t>
        </is>
      </c>
      <c r="W41" s="5" t="inlineStr">
        <is>
          <t>An ex-convict on the run, absorbed into a wealthy household as its lost son-in-law</t>
        </is>
      </c>
      <c r="X41" s="19" t="inlineStr">
        <is>
          <t>After a train crash, an ex-convict takes the identity of the dead Vijay and is welcomed by the grieving Mr. Sinha as the husband of his lost daughter, handed the business and made heir. Rashmi, the surviving sister, is wary of him and then falls in love with him, while a doctor who knows he is a wanted man arrives with the real, amnesiac Juhi.</t>
        </is>
      </c>
      <c r="Y41" s="19" t="inlineStr">
        <is>
          <t>To keep a stolen identity and the family that comes with it.</t>
        </is>
      </c>
      <c r="Z41" s="19" t="inlineStr">
        <is>
          <t>A blackmailer who knows he is an escaped convict, and the return of the woman whose husband he is pretending to be.</t>
        </is>
      </c>
      <c r="AA41" s="19" t="inlineStr">
        <is>
          <t>From an impostor exploiting a bereavement to a man with a real attachment he can only keep by lying.</t>
        </is>
      </c>
      <c r="AB41" s="19" t="inlineStr">
        <is>
          <t>Morally mixed</t>
        </is>
      </c>
      <c r="AC41" s="5" t="inlineStr">
        <is>
          <t>Not documented; the article's summary ends with Dr. Joshi's arrival and the threat of exposure.</t>
        </is>
      </c>
      <c r="AD41" s="5" t="inlineStr">
        <is>
          <t>Tina Munim</t>
        </is>
      </c>
      <c r="AE41" s="5" t="inlineStr">
        <is>
          <t>Central</t>
        </is>
      </c>
      <c r="AF41" s="20" t="n">
        <v>8</v>
      </c>
      <c r="AG41" s="19" t="inlineStr">
        <is>
          <t>Relationship damaged by mistrust</t>
        </is>
      </c>
      <c r="AH41" s="5" t="n"/>
      <c r="AI41" s="5" t="n"/>
      <c r="AJ41" s="5" t="n"/>
      <c r="AK41" s="5" t="n"/>
      <c r="AL41" s="5" t="n"/>
      <c r="AM41" s="5" t="n"/>
      <c r="AN41" s="5" t="n"/>
      <c r="AO41" s="18" t="n"/>
      <c r="AP41" s="19" t="n"/>
      <c r="AQ41" s="19" t="n"/>
      <c r="AR41" s="5" t="inlineStr">
        <is>
          <t>SOURCE-001; SOURCE-039</t>
        </is>
      </c>
      <c r="AS41" s="5" t="inlineStr">
        <is>
          <t>Medium</t>
        </is>
      </c>
      <c r="AT41" s="5" t="inlineStr">
        <is>
          <t>A remake of Kati Patang with the genders reversed: in the original it is a woman who takes a dead person's identity into a grieving household. The article's plot does not give the resolution.</t>
        </is>
      </c>
    </row>
    <row r="42" ht="94" customHeight="1">
      <c r="A42" s="15" t="inlineStr">
        <is>
          <t>FILM-041</t>
        </is>
      </c>
      <c r="B42" s="5" t="inlineStr">
        <is>
          <t>Coolie</t>
        </is>
      </c>
      <c r="C42" s="16" t="n">
        <v>30652</v>
      </c>
      <c r="D42" s="17" t="n">
        <v>1983</v>
      </c>
      <c r="E42" s="5" t="inlineStr">
        <is>
          <t>1980s</t>
        </is>
      </c>
      <c r="F42" s="5" t="inlineStr">
        <is>
          <t>Hindi</t>
        </is>
      </c>
      <c r="G42" s="5" t="inlineStr">
        <is>
          <t>Action comedy</t>
        </is>
      </c>
      <c r="H42" s="5" t="inlineStr">
        <is>
          <t>Masala</t>
        </is>
      </c>
      <c r="I42" s="17" t="n">
        <v>168</v>
      </c>
      <c r="J42" s="5" t="inlineStr">
        <is>
          <t>Manmohan Desai</t>
        </is>
      </c>
      <c r="K42" s="5" t="inlineStr">
        <is>
          <t>Ketan Desai</t>
        </is>
      </c>
      <c r="L42" s="5" t="n"/>
      <c r="M42" s="5" t="inlineStr">
        <is>
          <t>Kader Khan; Jeevanprabha M. Desai; K. K. Shukla</t>
        </is>
      </c>
      <c r="N42" s="5" t="n"/>
      <c r="O42" s="5" t="inlineStr">
        <is>
          <t>Laxmikant–Pyarelal</t>
        </is>
      </c>
      <c r="P42" s="5" t="n"/>
      <c r="Q42" s="5" t="inlineStr">
        <is>
          <t>Anand Bakshi</t>
        </is>
      </c>
      <c r="R42" s="5" t="inlineStr">
        <is>
          <t>Sunny "Tinguji"</t>
        </is>
      </c>
      <c r="S42" s="5" t="n"/>
      <c r="T42" s="5" t="inlineStr">
        <is>
          <t>Supporting</t>
        </is>
      </c>
      <c r="U42" s="20" t="n">
        <v>2</v>
      </c>
      <c r="V42" s="5" t="inlineStr">
        <is>
          <t>Newspaper reporter</t>
        </is>
      </c>
      <c r="W42" s="5" t="inlineStr">
        <is>
          <t>Adopted from a Kanpur orphanage by the villain Zafar Khan, and raised by the woman Zafar abducted</t>
        </is>
      </c>
      <c r="X42" s="19" t="inlineStr">
        <is>
          <t>Sunny is a young reporter covering a coolies' strike who turns out to be the adopted son of the film's villain, raised alongside the amnesiac woman who is Iqbal's real mother. He becomes the lever in the plot rather than its hero, threatening to publish Zafar's crimes and standing between the two men whose fight the film is actually about.</t>
        </is>
      </c>
      <c r="Y42" s="19" t="inlineStr">
        <is>
          <t>To publish the truth about Zafar and protect the woman he believes is his mother.</t>
        </is>
      </c>
      <c r="Z42" s="19" t="inlineStr">
        <is>
          <t>The adoptive father whose crimes he uncovers.</t>
        </is>
      </c>
      <c r="AA42" s="19" t="inlineStr">
        <is>
          <t>From a reporter pursuing a story to a man discovering that his family was assembled out of another family's destruction.</t>
        </is>
      </c>
      <c r="AB42" s="19" t="inlineStr">
        <is>
          <t>Good</t>
        </is>
      </c>
      <c r="AC42" s="5" t="inlineStr">
        <is>
          <t>Not documented in full; the article's summary breaks off during the confrontation with Zafar.</t>
        </is>
      </c>
      <c r="AD42" s="5" t="inlineStr">
        <is>
          <t>Shoma Anand</t>
        </is>
      </c>
      <c r="AE42" s="5" t="inlineStr">
        <is>
          <t>Minor</t>
        </is>
      </c>
      <c r="AF42" s="20" t="n">
        <v>3</v>
      </c>
      <c r="AG42" s="19" t="inlineStr">
        <is>
          <t>Romance subordinate to another genre</t>
        </is>
      </c>
      <c r="AH42" s="21" t="n">
        <v>3.5</v>
      </c>
      <c r="AI42" s="5" t="n"/>
      <c r="AJ42" s="21" t="n">
        <v>18</v>
      </c>
      <c r="AK42" s="5" t="n"/>
      <c r="AL42" s="5" t="n"/>
      <c r="AM42" s="5" t="inlineStr">
        <is>
          <t>INR crore</t>
        </is>
      </c>
      <c r="AN42" s="5" t="inlineStr">
        <is>
          <t>Super hit</t>
        </is>
      </c>
      <c r="AO42" s="20" t="n">
        <v>1</v>
      </c>
      <c r="AP42" s="19" t="inlineStr">
        <is>
          <t>Declared a super hit by Box Office India, and the highest-grossing Bollywood film of 1983 with ₹180 million in gross revenue.</t>
        </is>
      </c>
      <c r="AQ42" s="19" t="inlineStr">
        <is>
          <t>The highest-grossing Hindi film of 1983 and one of the rare films of its time to take over a crore per territory; remembered also for the on-set accident that nearly killed Amitabh Bachchan.</t>
        </is>
      </c>
      <c r="AR42" s="5" t="inlineStr">
        <is>
          <t>SOURCE-001; SOURCE-040</t>
        </is>
      </c>
      <c r="AS42" s="5" t="inlineStr">
        <is>
          <t>Medium</t>
        </is>
      </c>
      <c r="AT42" s="5" t="inlineStr">
        <is>
          <t>Infobox gross '₹21 crore (210 million)' has no nett/gross label and is not entered. Gross of ₹180 million, about ₹18 crore, given by the article as a gross figure for India. Second-billed to Amitabh Bachchan, whose character carries the film; Kapoor's Deepa Iyengar thread is slight and is scored as a minor romance.</t>
        </is>
      </c>
    </row>
    <row r="43" ht="79" customHeight="1">
      <c r="A43" s="15" t="inlineStr">
        <is>
          <t>FILM-042</t>
        </is>
      </c>
      <c r="B43" s="5" t="inlineStr">
        <is>
          <t>Aan Aur Shaan</t>
        </is>
      </c>
      <c r="C43" s="5" t="inlineStr">
        <is>
          <t>1984</t>
        </is>
      </c>
      <c r="D43" s="17" t="n">
        <v>1984</v>
      </c>
      <c r="E43" s="5" t="inlineStr">
        <is>
          <t>1980s</t>
        </is>
      </c>
      <c r="F43" s="5" t="inlineStr">
        <is>
          <t>Hindi</t>
        </is>
      </c>
      <c r="G43" s="5" t="inlineStr">
        <is>
          <t>Action drama</t>
        </is>
      </c>
      <c r="H43" s="5" t="n"/>
      <c r="I43" s="18" t="n"/>
      <c r="J43" s="5" t="inlineStr">
        <is>
          <t>Ravi Tandon</t>
        </is>
      </c>
      <c r="K43" s="5" t="n"/>
      <c r="L43" s="5" t="n"/>
      <c r="M43" s="5" t="n"/>
      <c r="N43" s="5" t="n"/>
      <c r="O43" s="5" t="inlineStr">
        <is>
          <t>R. D. Burman</t>
        </is>
      </c>
      <c r="P43" s="5" t="n"/>
      <c r="Q43" s="5" t="n"/>
      <c r="R43" s="5" t="inlineStr">
        <is>
          <t>Vijay Singh</t>
        </is>
      </c>
      <c r="S43" s="5" t="n"/>
      <c r="T43" s="5" t="inlineStr">
        <is>
          <t>Co-lead</t>
        </is>
      </c>
      <c r="U43" s="20" t="n">
        <v>2</v>
      </c>
      <c r="V43" s="5" t="inlineStr">
        <is>
          <t>Not documented</t>
        </is>
      </c>
      <c r="W43" s="5" t="n"/>
      <c r="X43" s="19" t="inlineStr">
        <is>
          <t>Kapoor plays Vijay Singh opposite Moushumi Chatterjee's Radha in Ravi Tandon's film, second-billed to Shammi Kapoor's Bade Thakur in a household of Thakur brothers. The article consists of an infobox, a cast list and a soundtrack listing with no plot section, so the role is undocumented beyond its name and its co-star.</t>
        </is>
      </c>
      <c r="Y43" s="19" t="n"/>
      <c r="Z43" s="19" t="n"/>
      <c r="AA43" s="19" t="n"/>
      <c r="AB43" s="19" t="n"/>
      <c r="AC43" s="5" t="n"/>
      <c r="AD43" s="5" t="inlineStr">
        <is>
          <t>Moushumi Chatterjee</t>
        </is>
      </c>
      <c r="AE43" s="5" t="inlineStr">
        <is>
          <t>Major</t>
        </is>
      </c>
      <c r="AF43" s="18" t="n"/>
      <c r="AG43" s="19" t="n"/>
      <c r="AH43" s="5" t="n"/>
      <c r="AI43" s="5" t="n"/>
      <c r="AJ43" s="5" t="n"/>
      <c r="AK43" s="5" t="n"/>
      <c r="AL43" s="5" t="n"/>
      <c r="AM43" s="5" t="n"/>
      <c r="AN43" s="5" t="n"/>
      <c r="AO43" s="18" t="n"/>
      <c r="AP43" s="19" t="n"/>
      <c r="AQ43" s="19" t="n"/>
      <c r="AR43" s="5" t="inlineStr">
        <is>
          <t>SOURCE-001; SOURCE-042</t>
        </is>
      </c>
      <c r="AS43" s="5" t="inlineStr">
        <is>
          <t>Low</t>
        </is>
      </c>
      <c r="AT43" s="5" t="inlineStr">
        <is>
          <t>No plot section in the article. Romance presence is inferred from the pairing of Kapoor and Moushumi Chatterjee as the film's young leads and is marked Low confidence; no Romances row is created and no scores are assigned.</t>
        </is>
      </c>
    </row>
    <row r="44" ht="79" customHeight="1">
      <c r="A44" s="15" t="inlineStr">
        <is>
          <t>FILM-043</t>
        </is>
      </c>
      <c r="B44" s="5" t="inlineStr">
        <is>
          <t>Duniya</t>
        </is>
      </c>
      <c r="C44" s="16" t="n">
        <v>30953</v>
      </c>
      <c r="D44" s="17" t="n">
        <v>1984</v>
      </c>
      <c r="E44" s="5" t="inlineStr">
        <is>
          <t>1980s</t>
        </is>
      </c>
      <c r="F44" s="5" t="inlineStr">
        <is>
          <t>Hindi</t>
        </is>
      </c>
      <c r="G44" s="5" t="inlineStr">
        <is>
          <t>Action drama</t>
        </is>
      </c>
      <c r="H44" s="5" t="inlineStr">
        <is>
          <t>Revenge thriller</t>
        </is>
      </c>
      <c r="I44" s="18" t="n"/>
      <c r="J44" s="5" t="inlineStr">
        <is>
          <t>Ramesh Talwar</t>
        </is>
      </c>
      <c r="K44" s="5" t="inlineStr">
        <is>
          <t>Yash Johar</t>
        </is>
      </c>
      <c r="L44" s="5" t="inlineStr">
        <is>
          <t>Dharma Productions</t>
        </is>
      </c>
      <c r="M44" s="5" t="inlineStr">
        <is>
          <t>Javed Akhtar</t>
        </is>
      </c>
      <c r="N44" s="5" t="n"/>
      <c r="O44" s="5" t="inlineStr">
        <is>
          <t>R. D. Burman</t>
        </is>
      </c>
      <c r="P44" s="5" t="n"/>
      <c r="Q44" s="5" t="inlineStr">
        <is>
          <t>Javed Akhtar</t>
        </is>
      </c>
      <c r="R44" s="5" t="inlineStr">
        <is>
          <t>Ravi Kumar</t>
        </is>
      </c>
      <c r="S44" s="5" t="n"/>
      <c r="T44" s="5" t="inlineStr">
        <is>
          <t>Supporting</t>
        </is>
      </c>
      <c r="U44" s="20" t="n">
        <v>3</v>
      </c>
      <c r="V44" s="5" t="inlineStr">
        <is>
          <t>Member of Jugal Kishore's criminal gang</t>
        </is>
      </c>
      <c r="W44" s="5" t="inlineStr">
        <is>
          <t>Son of the wrongly imprisoned Mohan Kumar, separated from him as a child and raised into the gang that destroyed his family</t>
        </is>
      </c>
      <c r="X44" s="19" t="inlineStr">
        <is>
          <t>Ravi is the lost son working for the men who framed his father, unaware of who either of them is. Ordered to kill Mohan Kumar, he cannot do it, falls from a roof and is saved by the man he was sent to murder. The film's recognitions run through him: he loves Roma, who was raised in his own family's house.</t>
        </is>
      </c>
      <c r="Y44" s="19" t="inlineStr">
        <is>
          <t>To make his way in the only work he has, and then to undo it.</t>
        </is>
      </c>
      <c r="Z44" s="19" t="inlineStr">
        <is>
          <t>Being the instrument of the men who destroyed his father, against a father who feels an unexplained affection for him.</t>
        </is>
      </c>
      <c r="AA44" s="19" t="inlineStr">
        <is>
          <t>From a gang member sent to kill a stranger to a son fighting alongside the father he did not know he had.</t>
        </is>
      </c>
      <c r="AB44" s="19" t="inlineStr">
        <is>
          <t>Morally mixed</t>
        </is>
      </c>
      <c r="AC44" s="5" t="inlineStr">
        <is>
          <t>Kidnapped with Roma by Jugal Kishore, then collaborates with Mohan Kumar to kill him.</t>
        </is>
      </c>
      <c r="AD44" s="5" t="inlineStr">
        <is>
          <t>Amrita Singh</t>
        </is>
      </c>
      <c r="AE44" s="5" t="inlineStr">
        <is>
          <t>Secondary</t>
        </is>
      </c>
      <c r="AF44" s="20" t="n">
        <v>5</v>
      </c>
      <c r="AG44" s="19" t="inlineStr">
        <is>
          <t>Romance subordinate to another genre</t>
        </is>
      </c>
      <c r="AH44" s="5" t="n"/>
      <c r="AI44" s="5" t="n"/>
      <c r="AJ44" s="5" t="n"/>
      <c r="AK44" s="5" t="n"/>
      <c r="AL44" s="5" t="n"/>
      <c r="AM44" s="5" t="n"/>
      <c r="AN44" s="5" t="n"/>
      <c r="AO44" s="18" t="n"/>
      <c r="AP44" s="19" t="n"/>
      <c r="AQ44" s="19" t="n"/>
      <c r="AR44" s="5" t="inlineStr">
        <is>
          <t>SOURCE-001; SOURCE-043</t>
        </is>
      </c>
      <c r="AS44" s="5" t="inlineStr">
        <is>
          <t>Medium</t>
        </is>
      </c>
      <c r="AT44" s="5" t="inlineStr">
        <is>
          <t>Third-billed behind Ashok Kumar and Dilip Kumar, whose Mohan Kumar is the film's centre. Amrita Singh's Roma was attached to Mohan Kumar's household as a child, which makes the romance a second family reunion the characters do not recognise.</t>
        </is>
      </c>
    </row>
    <row r="45" ht="94" customHeight="1">
      <c r="A45" s="15" t="inlineStr">
        <is>
          <t>FILM-044</t>
        </is>
      </c>
      <c r="B45" s="5" t="inlineStr">
        <is>
          <t>Yeh Ishq Nahin Aasaan</t>
        </is>
      </c>
      <c r="C45" s="16" t="n">
        <v>31037</v>
      </c>
      <c r="D45" s="17" t="n">
        <v>1984</v>
      </c>
      <c r="E45" s="5" t="inlineStr">
        <is>
          <t>1980s</t>
        </is>
      </c>
      <c r="F45" s="5" t="inlineStr">
        <is>
          <t>Hindi</t>
        </is>
      </c>
      <c r="G45" s="5" t="inlineStr">
        <is>
          <t>Romantic drama</t>
        </is>
      </c>
      <c r="H45" s="5" t="inlineStr">
        <is>
          <t>Tragedy</t>
        </is>
      </c>
      <c r="I45" s="18" t="n"/>
      <c r="J45" s="5" t="inlineStr">
        <is>
          <t>Tinnu Anand</t>
        </is>
      </c>
      <c r="K45" s="5" t="inlineStr">
        <is>
          <t>Bittu Anand; Naresh Malhotra</t>
        </is>
      </c>
      <c r="L45" s="5" t="n"/>
      <c r="M45" s="5" t="n"/>
      <c r="N45" s="5" t="n"/>
      <c r="O45" s="5" t="inlineStr">
        <is>
          <t>Laxmikant–Pyarelal</t>
        </is>
      </c>
      <c r="P45" s="5" t="n"/>
      <c r="Q45" s="5" t="inlineStr">
        <is>
          <t>Anand Bakshi</t>
        </is>
      </c>
      <c r="R45" s="5" t="inlineStr">
        <is>
          <t>Salim Ahmed Salim</t>
        </is>
      </c>
      <c r="S45" s="5" t="n"/>
      <c r="T45" s="5" t="inlineStr">
        <is>
          <t>Lead</t>
        </is>
      </c>
      <c r="U45" s="20" t="n">
        <v>1</v>
      </c>
      <c r="V45" s="5" t="inlineStr">
        <is>
          <t>Architect and poet</t>
        </is>
      </c>
      <c r="W45" s="5" t="inlineStr">
        <is>
          <t>Lives with his widowed mother in Nizamuddin; relocates to Lucknow for work</t>
        </is>
      </c>
      <c r="X45" s="19" t="inlineStr">
        <is>
          <t>Salim, an architect and poet, falls in love with his neighbour Salma against a father who has promised her to a wealthy man and who sells the house and leaves for Lahore to end it. Beaten senseless trying to stop them, he takes to drink and to the courtesan Phoolrani, and is then married by his mother to Sahira, a woman he does not love and cannot easily escape.</t>
        </is>
      </c>
      <c r="Y45" s="19" t="inlineStr">
        <is>
          <t>To reach Salma, and afterwards to avoid the marriage he has been put into.</t>
        </is>
      </c>
      <c r="Z45" s="19" t="inlineStr">
        <is>
          <t>A father who removes his daughter to another country, and a wife who will not release him.</t>
        </is>
      </c>
      <c r="AA45" s="19" t="inlineStr">
        <is>
          <t>From an ardent poet to a drunk in a brothel to a husband trapped by a marriage arranged over his objection.</t>
        </is>
      </c>
      <c r="AB45" s="19" t="inlineStr">
        <is>
          <t>Morally mixed</t>
        </is>
      </c>
      <c r="AC45" s="5" t="inlineStr">
        <is>
          <t>Not documented; the article ends with Sahira refusing to let him go.</t>
        </is>
      </c>
      <c r="AD45" s="5" t="inlineStr">
        <is>
          <t>Padmini Kolhapure; Deepti Naval</t>
        </is>
      </c>
      <c r="AE45" s="5" t="inlineStr">
        <is>
          <t>Central</t>
        </is>
      </c>
      <c r="AF45" s="20" t="n">
        <v>9</v>
      </c>
      <c r="AG45" s="19" t="inlineStr">
        <is>
          <t>Multiple romantic relationships</t>
        </is>
      </c>
      <c r="AH45" s="5" t="n"/>
      <c r="AI45" s="5" t="n"/>
      <c r="AJ45" s="5" t="n"/>
      <c r="AK45" s="5" t="n"/>
      <c r="AL45" s="5" t="n"/>
      <c r="AM45" s="5" t="n"/>
      <c r="AN45" s="5" t="n"/>
      <c r="AO45" s="18" t="n"/>
      <c r="AP45" s="19" t="n"/>
      <c r="AQ45" s="19" t="n"/>
      <c r="AR45" s="5" t="inlineStr">
        <is>
          <t>SOURCE-001; SOURCE-044</t>
        </is>
      </c>
      <c r="AS45" s="5" t="inlineStr">
        <is>
          <t>Medium</t>
        </is>
      </c>
      <c r="AT45" s="5" t="inlineStr">
        <is>
          <t>Two relationships are scored: Salma, removed across the new border to Lahore, and Sahira, the wife his mother compels him to take. The partition of a family across India and Pakistan is the mechanism of separation, which makes the external opposition political as well as parental.</t>
        </is>
      </c>
    </row>
    <row r="46" ht="154" customHeight="1">
      <c r="A46" s="15" t="inlineStr">
        <is>
          <t>FILM-045</t>
        </is>
      </c>
      <c r="B46" s="5" t="inlineStr">
        <is>
          <t>Ram Tere Kitne Nam</t>
        </is>
      </c>
      <c r="C46" s="16" t="n">
        <v>31093</v>
      </c>
      <c r="D46" s="17" t="n">
        <v>1985</v>
      </c>
      <c r="E46" s="5" t="inlineStr">
        <is>
          <t>1980s</t>
        </is>
      </c>
      <c r="F46" s="5" t="inlineStr">
        <is>
          <t>Hindi</t>
        </is>
      </c>
      <c r="G46" s="5" t="inlineStr">
        <is>
          <t>Drama</t>
        </is>
      </c>
      <c r="H46" s="5" t="n"/>
      <c r="I46" s="18" t="n"/>
      <c r="J46" s="5" t="inlineStr">
        <is>
          <t>P. Madhavan</t>
        </is>
      </c>
      <c r="K46" s="5" t="inlineStr">
        <is>
          <t>Harish Shah</t>
        </is>
      </c>
      <c r="L46" s="5" t="inlineStr">
        <is>
          <t>Vision Universal</t>
        </is>
      </c>
      <c r="M46" s="5" t="inlineStr">
        <is>
          <t>Jainendra Jain; M. Balamurugan</t>
        </is>
      </c>
      <c r="N46" s="5" t="inlineStr">
        <is>
          <t>Remake of director's own Tamil film Raman Ethanai Ramanadi</t>
        </is>
      </c>
      <c r="O46" s="5" t="inlineStr">
        <is>
          <t>R. D. Burman</t>
        </is>
      </c>
      <c r="P46" s="5" t="n"/>
      <c r="Q46" s="5" t="n"/>
      <c r="R46" s="5" t="inlineStr">
        <is>
          <t>Himself</t>
        </is>
      </c>
      <c r="S46" s="5" t="n"/>
      <c r="T46" s="5" t="inlineStr">
        <is>
          <t>Self appearance</t>
        </is>
      </c>
      <c r="U46" s="18" t="n"/>
      <c r="V46" s="5" t="n"/>
      <c r="W46" s="5" t="n"/>
      <c r="X46" s="19" t="inlineStr">
        <is>
          <t>A guest appearance in P. Madhavan's film about an overweight, sensitive man who becomes a film star to win the woman he loves and finds her married by the time he returns. Kapoor appears as himself; the film belongs to Sanjeev Kumar and Rekha.</t>
        </is>
      </c>
      <c r="Y46" s="19" t="n"/>
      <c r="Z46" s="19" t="n"/>
      <c r="AA46" s="19" t="n"/>
      <c r="AB46" s="19" t="inlineStr">
        <is>
          <t>Not applicable</t>
        </is>
      </c>
      <c r="AC46" s="5" t="n"/>
      <c r="AD46" s="5" t="n"/>
      <c r="AE46" s="5" t="inlineStr">
        <is>
          <t>None</t>
        </is>
      </c>
      <c r="AF46" s="20" t="n">
        <v>9</v>
      </c>
      <c r="AG46" s="19" t="inlineStr">
        <is>
          <t>No meaningful romance</t>
        </is>
      </c>
      <c r="AH46" s="5" t="n"/>
      <c r="AI46" s="5" t="n"/>
      <c r="AJ46" s="5" t="n"/>
      <c r="AK46" s="5" t="n"/>
      <c r="AL46" s="5" t="n"/>
      <c r="AM46" s="5" t="n"/>
      <c r="AN46" s="5" t="n"/>
      <c r="AO46" s="18" t="n"/>
      <c r="AP46" s="19" t="n"/>
      <c r="AQ46" s="19" t="n"/>
      <c r="AR46" s="5" t="inlineStr">
        <is>
          <t>SOURCE-001; SOURCE-050</t>
        </is>
      </c>
      <c r="AS46" s="5" t="inlineStr">
        <is>
          <t>Low</t>
        </is>
      </c>
      <c r="AT46" s="5" t="inlineStr">
        <is>
          <t>Filmography notes: Guest appearance. As with Biwi-O-Biwi, the article (Sanjeev Kumar and Rekha, released 15 February 1985) does not mention Kapoor at all; his credit is a guest appearance as himself that the cast list omits. The year matches, so the article is the right film. A remake of the director's own Tamil film Raman Ethanai Ramanadi. Kapoor is not in the article's cast list; the filmography table supplies the credit as 'Himself'. Romance centrality reflects the film's own subject, not Kapoor's appearance.</t>
        </is>
      </c>
    </row>
    <row r="47" ht="79" customHeight="1">
      <c r="A47" s="15" t="inlineStr">
        <is>
          <t>FILM-046</t>
        </is>
      </c>
      <c r="B47" s="5" t="inlineStr">
        <is>
          <t>Zamana</t>
        </is>
      </c>
      <c r="C47" s="16" t="n">
        <v>31100</v>
      </c>
      <c r="D47" s="17" t="n">
        <v>1985</v>
      </c>
      <c r="E47" s="5" t="inlineStr">
        <is>
          <t>1980s</t>
        </is>
      </c>
      <c r="F47" s="5" t="inlineStr">
        <is>
          <t>Hindi</t>
        </is>
      </c>
      <c r="G47" s="5" t="inlineStr">
        <is>
          <t>Action drama</t>
        </is>
      </c>
      <c r="H47" s="5" t="inlineStr">
        <is>
          <t>Crime</t>
        </is>
      </c>
      <c r="I47" s="18" t="n"/>
      <c r="J47" s="5" t="inlineStr">
        <is>
          <t>Ramesh Talwar</t>
        </is>
      </c>
      <c r="K47" s="5" t="inlineStr">
        <is>
          <t>Jagdish C. Sharma</t>
        </is>
      </c>
      <c r="L47" s="5" t="inlineStr">
        <is>
          <t>Veena Pictures</t>
        </is>
      </c>
      <c r="M47" s="5" t="inlineStr">
        <is>
          <t>Salim Khan; Javed Akhtar</t>
        </is>
      </c>
      <c r="N47" s="5" t="n"/>
      <c r="O47" s="5" t="inlineStr">
        <is>
          <t>Usha Khanna</t>
        </is>
      </c>
      <c r="P47" s="5" t="n"/>
      <c r="Q47" s="5" t="inlineStr">
        <is>
          <t>Majrooh Sultanpuri</t>
        </is>
      </c>
      <c r="R47" s="5" t="inlineStr">
        <is>
          <t>Ravi S. Kumar</t>
        </is>
      </c>
      <c r="S47" s="5" t="n"/>
      <c r="T47" s="5" t="inlineStr">
        <is>
          <t>Co-lead</t>
        </is>
      </c>
      <c r="U47" s="20" t="n">
        <v>2</v>
      </c>
      <c r="V47" s="5" t="inlineStr">
        <is>
          <t>Criminal working for the don J. D.</t>
        </is>
      </c>
      <c r="W47" s="5" t="inlineStr">
        <is>
          <t>Younger son of a murdered photographer; born after his father's death and raised by his widowed mother</t>
        </is>
      </c>
      <c r="X47" s="19" t="inlineStr">
        <is>
          <t>Ravi is the criminal brother to Rajesh Khanna's police inspector, the two divided by a misunderstanding and by a father neither knew, murdered before Ravi was born. The brothers fall in love with the same woman, and the film resolves by reconciling them and turning Ravi out of J. D.'s organisation.</t>
        </is>
      </c>
      <c r="Y47" s="19" t="inlineStr">
        <is>
          <t>To make a living in the only trade he found, and to keep Sheetal.</t>
        </is>
      </c>
      <c r="Z47" s="19" t="inlineStr">
        <is>
          <t>A policeman brother on the other side of the law, and the same woman between them.</t>
        </is>
      </c>
      <c r="AA47" s="19" t="inlineStr">
        <is>
          <t>From a don's man estranged from his brother to one persuaded to leave crime once their father's killers are found.</t>
        </is>
      </c>
      <c r="AB47" s="19" t="inlineStr">
        <is>
          <t>Morally mixed</t>
        </is>
      </c>
      <c r="AC47" s="5" t="inlineStr">
        <is>
          <t>Reconciled with Vinod and persuaded to leave the criminal world.</t>
        </is>
      </c>
      <c r="AD47" s="5" t="inlineStr">
        <is>
          <t>Poonam Dhillon</t>
        </is>
      </c>
      <c r="AE47" s="5" t="inlineStr">
        <is>
          <t>Secondary</t>
        </is>
      </c>
      <c r="AF47" s="20" t="n">
        <v>6</v>
      </c>
      <c r="AG47" s="19" t="inlineStr">
        <is>
          <t>Love triangle</t>
        </is>
      </c>
      <c r="AH47" s="5" t="n"/>
      <c r="AI47" s="5" t="n"/>
      <c r="AJ47" s="5" t="n"/>
      <c r="AK47" s="5" t="n"/>
      <c r="AL47" s="5" t="n"/>
      <c r="AM47" s="5" t="n"/>
      <c r="AN47" s="5" t="n"/>
      <c r="AO47" s="18" t="n"/>
      <c r="AP47" s="19" t="n"/>
      <c r="AQ47" s="19" t="n"/>
      <c r="AR47" s="5" t="inlineStr">
        <is>
          <t>SOURCE-001; SOURCE-045</t>
        </is>
      </c>
      <c r="AS47" s="5" t="inlineStr">
        <is>
          <t>Medium</t>
        </is>
      </c>
      <c r="AT47" s="5" t="inlineStr">
        <is>
          <t>The article states that the brothers fall in love with the same woman but does not say which of them ends with her, so the pairing row records the rivalry without asserting an outcome.</t>
        </is>
      </c>
    </row>
    <row r="48" ht="94" customHeight="1">
      <c r="A48" s="15" t="inlineStr">
        <is>
          <t>FILM-047</t>
        </is>
      </c>
      <c r="B48" s="5" t="inlineStr">
        <is>
          <t>Rahi Badal Gaye</t>
        </is>
      </c>
      <c r="C48" s="16" t="n">
        <v>31142</v>
      </c>
      <c r="D48" s="17" t="n">
        <v>1985</v>
      </c>
      <c r="E48" s="5" t="inlineStr">
        <is>
          <t>1980s</t>
        </is>
      </c>
      <c r="F48" s="5" t="inlineStr">
        <is>
          <t>Hindi</t>
        </is>
      </c>
      <c r="G48" s="5" t="inlineStr">
        <is>
          <t>Romantic drama</t>
        </is>
      </c>
      <c r="H48" s="5" t="n"/>
      <c r="I48" s="18" t="n"/>
      <c r="J48" s="5" t="inlineStr">
        <is>
          <t>Ravi Tandon</t>
        </is>
      </c>
      <c r="K48" s="5" t="inlineStr">
        <is>
          <t>Ravi Malhotra</t>
        </is>
      </c>
      <c r="L48" s="5" t="n"/>
      <c r="M48" s="5" t="inlineStr">
        <is>
          <t>Humayun Mirza</t>
        </is>
      </c>
      <c r="N48" s="5" t="n"/>
      <c r="O48" s="5" t="inlineStr">
        <is>
          <t>R. D. Burman</t>
        </is>
      </c>
      <c r="P48" s="5" t="n"/>
      <c r="Q48" s="5" t="n"/>
      <c r="R48" s="5" t="inlineStr">
        <is>
          <t>Amar Lal</t>
        </is>
      </c>
      <c r="S48" s="5" t="inlineStr">
        <is>
          <t>Pawan Kumar Saxena</t>
        </is>
      </c>
      <c r="T48" s="5" t="inlineStr">
        <is>
          <t>Lead</t>
        </is>
      </c>
      <c r="U48" s="20" t="n">
        <v>1</v>
      </c>
      <c r="V48" s="5" t="inlineStr">
        <is>
          <t>Tourist guide in Kashmir; the double is an air force officer</t>
        </is>
      </c>
      <c r="W48" s="5" t="inlineStr">
        <is>
          <t>A working guide with a friend in the trade, courting a hotel receptionist</t>
        </is>
      </c>
      <c r="X48" s="19" t="inlineStr">
        <is>
          <t>Amar, a Kashmiri guide too shy to tell Bhavna he loves her, is helped to it by her sister and then falls from a mountain to his apparent death, leaving Bhavna deranged with grief. His double, the airman Pawan, is asked to impersonate him as therapy and refuses until Sangeeta seduces him into it, so the second half is a dead man's face used to treat the woman who loved him.</t>
        </is>
      </c>
      <c r="Y48" s="19" t="inlineStr">
        <is>
          <t>As Amar, to say what he cannot say; as Pawan, to resist and then to accept a deception meant to heal.</t>
        </is>
      </c>
      <c r="Z48" s="19" t="inlineStr">
        <is>
          <t>A death that may have been murder, and a treatment that depends on impersonating the victim.</t>
        </is>
      </c>
      <c r="AA48" s="19" t="inlineStr">
        <is>
          <t>The two halves diverge: Amar dies at his happiest, and Pawan goes from refusal to complicity to falling in love with Sangeeta.</t>
        </is>
      </c>
      <c r="AB48" s="19" t="inlineStr">
        <is>
          <t>Good</t>
        </is>
      </c>
      <c r="AC48" s="5" t="inlineStr">
        <is>
          <t>Not documented; the article ends on whether anyone will believe Bhavna's claim that Amar was murdered.</t>
        </is>
      </c>
      <c r="AD48" s="5" t="inlineStr">
        <is>
          <t>Shabana Azmi; Padmini Kolhapure</t>
        </is>
      </c>
      <c r="AE48" s="5" t="inlineStr">
        <is>
          <t>Central</t>
        </is>
      </c>
      <c r="AF48" s="20" t="n">
        <v>9</v>
      </c>
      <c r="AG48" s="19" t="inlineStr">
        <is>
          <t>Multiple romantic relationships</t>
        </is>
      </c>
      <c r="AH48" s="5" t="n"/>
      <c r="AI48" s="5" t="n"/>
      <c r="AJ48" s="5" t="n"/>
      <c r="AK48" s="5" t="n"/>
      <c r="AL48" s="5" t="n"/>
      <c r="AM48" s="5" t="n"/>
      <c r="AN48" s="5" t="n"/>
      <c r="AO48" s="18" t="n"/>
      <c r="AP48" s="19" t="n"/>
      <c r="AQ48" s="19" t="n"/>
      <c r="AR48" s="5" t="inlineStr">
        <is>
          <t>SOURCE-001; SOURCE-047</t>
        </is>
      </c>
      <c r="AS48" s="5" t="inlineStr">
        <is>
          <t>Medium</t>
        </is>
      </c>
      <c r="AT48" s="5" t="inlineStr">
        <is>
          <t>Two separate romances are scored because Kapoor plays two men: Amar with Bhavna, and Pawan with Sangeeta. The article records that Kapoor took seven slaps from Padmini Kolhapure in one scene. The premise, a woman treated by impersonating her dead lover, makes the deception therapeutic in intent and damaging in effect.</t>
        </is>
      </c>
    </row>
    <row r="49" ht="79" customHeight="1">
      <c r="A49" s="15" t="inlineStr">
        <is>
          <t>FILM-048</t>
        </is>
      </c>
      <c r="B49" s="5" t="inlineStr">
        <is>
          <t>Sitamgar</t>
        </is>
      </c>
      <c r="C49" s="16" t="n">
        <v>31219</v>
      </c>
      <c r="D49" s="17" t="n">
        <v>1985</v>
      </c>
      <c r="E49" s="5" t="inlineStr">
        <is>
          <t>1980s</t>
        </is>
      </c>
      <c r="F49" s="5" t="inlineStr">
        <is>
          <t>Hindi</t>
        </is>
      </c>
      <c r="G49" s="5" t="inlineStr">
        <is>
          <t>Action</t>
        </is>
      </c>
      <c r="H49" s="5" t="n"/>
      <c r="I49" s="18" t="n"/>
      <c r="J49" s="5" t="inlineStr">
        <is>
          <t>Raj N. Sippy</t>
        </is>
      </c>
      <c r="K49" s="5" t="n"/>
      <c r="L49" s="5" t="n"/>
      <c r="M49" s="5" t="inlineStr">
        <is>
          <t>Humayun Mirza</t>
        </is>
      </c>
      <c r="N49" s="5" t="n"/>
      <c r="O49" s="5" t="inlineStr">
        <is>
          <t>R. D. Burman</t>
        </is>
      </c>
      <c r="P49" s="5" t="n"/>
      <c r="Q49" s="5" t="n"/>
      <c r="R49" s="5" t="inlineStr">
        <is>
          <t>Jai Kumar</t>
        </is>
      </c>
      <c r="S49" s="5" t="n"/>
      <c r="T49" s="5" t="inlineStr">
        <is>
          <t>Co-lead</t>
        </is>
      </c>
      <c r="U49" s="20" t="n">
        <v>2</v>
      </c>
      <c r="V49" s="5" t="inlineStr">
        <is>
          <t>Not documented</t>
        </is>
      </c>
      <c r="W49" s="5" t="n"/>
      <c r="X49" s="19" t="inlineStr">
        <is>
          <t>Kapoor plays Jai opposite Dharmendra's Sonu / Shankar in Raj N. Sippy's action film, with Parveen Babi as Sheela and Poonam Dhillon as Nisha. The article's plot section is present but empty, so nothing about the role, its conflict or its outcome is documented.</t>
        </is>
      </c>
      <c r="Y49" s="19" t="n"/>
      <c r="Z49" s="19" t="n"/>
      <c r="AA49" s="19" t="n"/>
      <c r="AB49" s="19" t="n"/>
      <c r="AC49" s="5" t="n"/>
      <c r="AD49" s="5" t="inlineStr">
        <is>
          <t>Poonam Dhillon; Parveen Babi</t>
        </is>
      </c>
      <c r="AE49" s="5" t="inlineStr">
        <is>
          <t>Secondary</t>
        </is>
      </c>
      <c r="AF49" s="18" t="n"/>
      <c r="AG49" s="19" t="n"/>
      <c r="AH49" s="5" t="n"/>
      <c r="AI49" s="5" t="n"/>
      <c r="AJ49" s="5" t="n"/>
      <c r="AK49" s="5" t="n"/>
      <c r="AL49" s="5" t="n"/>
      <c r="AM49" s="5" t="n"/>
      <c r="AN49" s="5" t="n"/>
      <c r="AO49" s="18" t="n"/>
      <c r="AP49" s="19" t="n"/>
      <c r="AQ49" s="19" t="n"/>
      <c r="AR49" s="5" t="inlineStr">
        <is>
          <t>SOURCE-001; SOURCE-048</t>
        </is>
      </c>
      <c r="AS49" s="5" t="inlineStr">
        <is>
          <t>Low</t>
        </is>
      </c>
      <c r="AT49" s="5" t="inlineStr">
        <is>
          <t>The article has a plot heading with no text beneath it and only a cast list. Romance presence is inferred from the two billed heroines in a two-hero action film and marked Low confidence; no Romances row is created and no scores are assigned.</t>
        </is>
      </c>
    </row>
    <row r="50" ht="79" customHeight="1">
      <c r="A50" s="15" t="inlineStr">
        <is>
          <t>FILM-049</t>
        </is>
      </c>
      <c r="B50" s="5" t="inlineStr">
        <is>
          <t>Saagar</t>
        </is>
      </c>
      <c r="C50" s="16" t="n">
        <v>31268</v>
      </c>
      <c r="D50" s="17" t="n">
        <v>1985</v>
      </c>
      <c r="E50" s="5" t="inlineStr">
        <is>
          <t>1980s</t>
        </is>
      </c>
      <c r="F50" s="5" t="inlineStr">
        <is>
          <t>Hindi</t>
        </is>
      </c>
      <c r="G50" s="5" t="inlineStr">
        <is>
          <t>Musical romantic drama</t>
        </is>
      </c>
      <c r="H50" s="5" t="inlineStr">
        <is>
          <t>Tragedy</t>
        </is>
      </c>
      <c r="I50" s="17" t="n">
        <v>187</v>
      </c>
      <c r="J50" s="5" t="inlineStr">
        <is>
          <t>Ramesh Sippy</t>
        </is>
      </c>
      <c r="K50" s="5" t="inlineStr">
        <is>
          <t>G. P. Sippy</t>
        </is>
      </c>
      <c r="L50" s="5" t="inlineStr">
        <is>
          <t>Sippy Films</t>
        </is>
      </c>
      <c r="M50" s="5" t="inlineStr">
        <is>
          <t>Javed Akhtar</t>
        </is>
      </c>
      <c r="N50" s="5" t="n"/>
      <c r="O50" s="5" t="inlineStr">
        <is>
          <t>R. D. Burman</t>
        </is>
      </c>
      <c r="P50" s="5" t="n"/>
      <c r="Q50" s="5" t="inlineStr">
        <is>
          <t>Javed Akhtar</t>
        </is>
      </c>
      <c r="R50" s="5" t="inlineStr">
        <is>
          <t>Ravi</t>
        </is>
      </c>
      <c r="S50" s="5" t="n"/>
      <c r="T50" s="5" t="inlineStr">
        <is>
          <t>Lead</t>
        </is>
      </c>
      <c r="U50" s="20" t="n">
        <v>1</v>
      </c>
      <c r="V50" s="5" t="inlineStr">
        <is>
          <t>Son of an industrialist family, newly returned from the United States</t>
        </is>
      </c>
      <c r="W50" s="5" t="inlineStr">
        <is>
          <t>Wealthy and foreign-educated, moving to Goa into a world of fishermen and small restaurants</t>
        </is>
      </c>
      <c r="X50" s="19" t="inlineStr">
        <is>
          <t>Ravi arrives in Goa from America and falls in love with Mona, who runs a small restaurant, not knowing that his friend Raja has loved her silently for years. His grandmother opposes the match on grounds of class, and the film resolves not through his struggle but through Raja's decision to give up both the woman and his life for them.</t>
        </is>
      </c>
      <c r="Y50" s="19" t="inlineStr">
        <is>
          <t>To marry Mona against his grandmother's objection.</t>
        </is>
      </c>
      <c r="Z50" s="19" t="inlineStr">
        <is>
          <t>Class opposition from his own family, and a friend whose prior claim he never knew existed.</t>
        </is>
      </c>
      <c r="AA50" s="19" t="inlineStr">
        <is>
          <t>From a returning rich boy to a man who owes his marriage to another man's sacrifice.</t>
        </is>
      </c>
      <c r="AB50" s="19" t="inlineStr">
        <is>
          <t>Good</t>
        </is>
      </c>
      <c r="AC50" s="5" t="inlineStr">
        <is>
          <t>Marries Mona after Raja sacrifices his love and his life for them.</t>
        </is>
      </c>
      <c r="AD50" s="5" t="inlineStr">
        <is>
          <t>Dimple Kapadia</t>
        </is>
      </c>
      <c r="AE50" s="5" t="inlineStr">
        <is>
          <t>Central</t>
        </is>
      </c>
      <c r="AF50" s="20" t="n">
        <v>9</v>
      </c>
      <c r="AG50" s="19" t="inlineStr">
        <is>
          <t>Love triangle</t>
        </is>
      </c>
      <c r="AH50" s="5" t="n"/>
      <c r="AI50" s="5" t="n"/>
      <c r="AJ50" s="5" t="n"/>
      <c r="AK50" s="5" t="n"/>
      <c r="AL50" s="5" t="n"/>
      <c r="AM50" s="5" t="n"/>
      <c r="AN50" s="5" t="n"/>
      <c r="AO50" s="18" t="n"/>
      <c r="AP50" s="19" t="n"/>
      <c r="AQ50" s="19" t="inlineStr">
        <is>
          <t>Dimple Kapadia's comeback film, reuniting her with Kapoor twelve years after Bobby, and among the best regarded of his mid-1980s credits; R. D. Burman's score and Javed Akhtar's screenplay are central to its standing.</t>
        </is>
      </c>
      <c r="AR50" s="5" t="inlineStr">
        <is>
          <t>SOURCE-001; SOURCE-049</t>
        </is>
      </c>
      <c r="AS50" s="5" t="inlineStr">
        <is>
          <t>High</t>
        </is>
      </c>
      <c r="AT50" s="5" t="inlineStr">
        <is>
          <t>The reunion with Dimple Kapadia after Bobby is the film's most cited fact. The triangle's weight sits with Kamal Haasan's Raja, whose unspoken love and sacrifice resolve the plot; Kapoor's Ravi is the man who gets what Raja wanted.</t>
        </is>
      </c>
    </row>
    <row r="51" ht="94" customHeight="1">
      <c r="A51" s="15" t="inlineStr">
        <is>
          <t>FILM-050</t>
        </is>
      </c>
      <c r="B51" s="5" t="inlineStr">
        <is>
          <t>Tawaif</t>
        </is>
      </c>
      <c r="C51" s="16" t="n">
        <v>31296</v>
      </c>
      <c r="D51" s="17" t="n">
        <v>1985</v>
      </c>
      <c r="E51" s="5" t="inlineStr">
        <is>
          <t>1980s</t>
        </is>
      </c>
      <c r="F51" s="5" t="inlineStr">
        <is>
          <t>Hindi</t>
        </is>
      </c>
      <c r="G51" s="5" t="inlineStr">
        <is>
          <t>Drama</t>
        </is>
      </c>
      <c r="H51" s="5" t="inlineStr">
        <is>
          <t>Romance</t>
        </is>
      </c>
      <c r="I51" s="17" t="n">
        <v>142</v>
      </c>
      <c r="J51" s="5" t="inlineStr">
        <is>
          <t>B. R. Chopra</t>
        </is>
      </c>
      <c r="K51" s="5" t="inlineStr">
        <is>
          <t>R. C. Kumar</t>
        </is>
      </c>
      <c r="L51" s="5" t="n"/>
      <c r="M51" s="5" t="inlineStr">
        <is>
          <t>Rahi Masoom Raza; Aleem Masrur; Satish Bhatnagar; C. J. Pavri</t>
        </is>
      </c>
      <c r="N51" s="5" t="n"/>
      <c r="O51" s="5" t="inlineStr">
        <is>
          <t>Ravi</t>
        </is>
      </c>
      <c r="P51" s="5" t="n"/>
      <c r="Q51" s="5" t="n"/>
      <c r="R51" s="5" t="inlineStr">
        <is>
          <t>Dawood Mohammed Ali Khan Yusuf Zahir</t>
        </is>
      </c>
      <c r="S51" s="5" t="n"/>
      <c r="T51" s="5" t="inlineStr">
        <is>
          <t>Lead</t>
        </is>
      </c>
      <c r="U51" s="20" t="n">
        <v>1</v>
      </c>
      <c r="V51" s="5" t="inlineStr">
        <is>
          <t>Employee of the publishing house Kitaab Gher</t>
        </is>
      </c>
      <c r="W51" s="5" t="inlineStr">
        <is>
          <t>Orphan raised in a community home by Ameena Bai, who treats him as her son</t>
        </is>
      </c>
      <c r="X51" s="19" t="inlineStr">
        <is>
          <t>Dawood is forced at knifepoint to shelter a courtesan for a night, and wakes to find the neighbourhood has decided she is his wife. He resents Sultana, is courting the writer Kaynat, and only gradually comes to see the woman keeping house in his name. It is Kaynat who finally tells him he loves Sultana and sends him to bring her back from the man who owns her.</t>
        </is>
      </c>
      <c r="Y51" s="19" t="inlineStr">
        <is>
          <t>To marry Kaynat, and then to recover Sultana once he understands what she has become to him.</t>
        </is>
      </c>
      <c r="Z51" s="19" t="inlineStr">
        <is>
          <t>The mafia lord Rahim Shaikh, who bought Sultana and intends to reclaim her.</t>
        </is>
      </c>
      <c r="AA51" s="19" t="inlineStr">
        <is>
          <t>From a man humiliated by a forced pretence of marriage to one who chooses the woman society says he cannot have.</t>
        </is>
      </c>
      <c r="AB51" s="19" t="inlineStr">
        <is>
          <t>Good</t>
        </is>
      </c>
      <c r="AC51" s="5" t="inlineStr">
        <is>
          <t>Goes to rescue Sultana from Rahim Shaikh; the article's summary breaks off during the attempt.</t>
        </is>
      </c>
      <c r="AD51" s="5" t="inlineStr">
        <is>
          <t>Rati Agnihotri; Poonam Dhillon</t>
        </is>
      </c>
      <c r="AE51" s="5" t="inlineStr">
        <is>
          <t>Central</t>
        </is>
      </c>
      <c r="AF51" s="20" t="n">
        <v>9</v>
      </c>
      <c r="AG51" s="19" t="inlineStr">
        <is>
          <t>Multiple romantic relationships</t>
        </is>
      </c>
      <c r="AH51" s="5" t="n"/>
      <c r="AI51" s="5" t="n"/>
      <c r="AJ51" s="5" t="n"/>
      <c r="AK51" s="5" t="n"/>
      <c r="AL51" s="5" t="n"/>
      <c r="AM51" s="5" t="n"/>
      <c r="AN51" s="5" t="n"/>
      <c r="AO51" s="18" t="n"/>
      <c r="AP51" s="19" t="n"/>
      <c r="AQ51" s="19" t="inlineStr">
        <is>
          <t>A B. R. Chopra social drama taking up the standing of a courtesan directly, and among the more substantial dramatic roles of Kapoor's mid-1980s work.</t>
        </is>
      </c>
      <c r="AR51" s="5" t="inlineStr">
        <is>
          <t>SOURCE-001; SOURCE-046</t>
        </is>
      </c>
      <c r="AS51" s="5" t="inlineStr">
        <is>
          <t>Medium</t>
        </is>
      </c>
      <c r="AT51" s="5" t="inlineStr">
        <is>
          <t>Two relationships are scored: Sultana, the courtesan forced into his house and taken for his wife, and Kaynat, the writer he courts and who ultimately gives him up. The article's plot breaks off mid-rescue.</t>
        </is>
      </c>
    </row>
    <row r="52" ht="154" customHeight="1">
      <c r="A52" s="15" t="inlineStr">
        <is>
          <t>FILM-051</t>
        </is>
      </c>
      <c r="B52" s="5" t="inlineStr">
        <is>
          <t>Pahunche Huwey Log</t>
        </is>
      </c>
      <c r="C52" s="5" t="inlineStr">
        <is>
          <t>1986</t>
        </is>
      </c>
      <c r="D52" s="17" t="n">
        <v>1986</v>
      </c>
      <c r="E52" s="5" t="inlineStr">
        <is>
          <t>1980s</t>
        </is>
      </c>
      <c r="F52" s="5" t="n"/>
      <c r="G52" s="5" t="n"/>
      <c r="H52" s="5" t="n"/>
      <c r="I52" s="18" t="n"/>
      <c r="J52" s="5" t="n"/>
      <c r="K52" s="5" t="n"/>
      <c r="L52" s="5" t="n"/>
      <c r="M52" s="5" t="n"/>
      <c r="N52" s="5" t="n"/>
      <c r="O52" s="5" t="n"/>
      <c r="P52" s="5" t="n"/>
      <c r="Q52" s="5" t="n"/>
      <c r="R52" s="5" t="inlineStr">
        <is>
          <t>Himself</t>
        </is>
      </c>
      <c r="S52" s="5" t="n"/>
      <c r="T52" s="5" t="inlineStr">
        <is>
          <t>Self appearance</t>
        </is>
      </c>
      <c r="U52" s="18" t="n"/>
      <c r="V52" s="5" t="n"/>
      <c r="W52" s="5" t="n"/>
      <c r="X52" s="19" t="inlineStr">
        <is>
          <t>The filmography table records a self appearance under this title and nothing further. There is no Wikipedia article, no cast list and no plot, so every other field is undocumented.</t>
        </is>
      </c>
      <c r="Y52" s="19" t="n"/>
      <c r="Z52" s="19" t="n"/>
      <c r="AA52" s="19" t="n"/>
      <c r="AB52" s="19" t="n"/>
      <c r="AC52" s="5" t="n"/>
      <c r="AD52" s="5" t="n"/>
      <c r="AE52" s="5" t="inlineStr">
        <is>
          <t>None</t>
        </is>
      </c>
      <c r="AF52" s="18" t="n"/>
      <c r="AG52" s="19" t="n"/>
      <c r="AH52" s="5" t="n"/>
      <c r="AI52" s="5" t="n"/>
      <c r="AJ52" s="5" t="n"/>
      <c r="AK52" s="5" t="n"/>
      <c r="AL52" s="5" t="n"/>
      <c r="AM52" s="5" t="n"/>
      <c r="AN52" s="5" t="n"/>
      <c r="AO52" s="18" t="n"/>
      <c r="AP52" s="19" t="n"/>
      <c r="AQ52" s="19" t="n"/>
      <c r="AR52" s="5" t="inlineStr">
        <is>
          <t>SOURCE-001</t>
        </is>
      </c>
      <c r="AS52" s="5" t="inlineStr">
        <is>
          <t>Unknown</t>
        </is>
      </c>
      <c r="AT52" s="5" t="inlineStr">
        <is>
          <t>Filmography notes: Guest Appearance. No Wikipedia film article; fields come from the filmography table. No Wikipedia article. Released 18 April 1986, the only film written and directed by the comedian Johnny Walker, produced by his sons Nazim and Kazim. Kapoor appears as himself in a guest appearance. Search summaries only. One of the nine article-less films. The role type is carried over from the filmography table's own note; genre, co-stars, director and all narrative fields are deliberately left blank rather than guessed.</t>
        </is>
      </c>
    </row>
    <row r="53" ht="94" customHeight="1">
      <c r="A53" s="15" t="inlineStr">
        <is>
          <t>FILM-052</t>
        </is>
      </c>
      <c r="B53" s="5" t="inlineStr">
        <is>
          <t>Naseeb Apna Apna</t>
        </is>
      </c>
      <c r="C53" s="16" t="n">
        <v>31443</v>
      </c>
      <c r="D53" s="17" t="n">
        <v>1986</v>
      </c>
      <c r="E53" s="5" t="inlineStr">
        <is>
          <t>1980s</t>
        </is>
      </c>
      <c r="F53" s="5" t="inlineStr">
        <is>
          <t>Hindi</t>
        </is>
      </c>
      <c r="G53" s="5" t="inlineStr">
        <is>
          <t>Drama</t>
        </is>
      </c>
      <c r="H53" s="5" t="inlineStr">
        <is>
          <t>Family melodrama</t>
        </is>
      </c>
      <c r="I53" s="18" t="n"/>
      <c r="J53" s="5" t="inlineStr">
        <is>
          <t>T. Rama Rao</t>
        </is>
      </c>
      <c r="K53" s="5" t="inlineStr">
        <is>
          <t>K. C. Bokadia</t>
        </is>
      </c>
      <c r="L53" s="5" t="inlineStr">
        <is>
          <t>BMB Combines</t>
        </is>
      </c>
      <c r="M53" s="5" t="inlineStr">
        <is>
          <t>Manivannan; Mushtaq Jalili</t>
        </is>
      </c>
      <c r="N53" s="5" t="inlineStr">
        <is>
          <t>Based on Gopurangal Saivathillai by Manivannan</t>
        </is>
      </c>
      <c r="O53" s="5" t="inlineStr">
        <is>
          <t>Laxmikant–Pyarelal</t>
        </is>
      </c>
      <c r="P53" s="5" t="n"/>
      <c r="Q53" s="5" t="n"/>
      <c r="R53" s="5" t="inlineStr">
        <is>
          <t>Kishan Singh</t>
        </is>
      </c>
      <c r="S53" s="5" t="n"/>
      <c r="T53" s="5" t="inlineStr">
        <is>
          <t>Lead</t>
        </is>
      </c>
      <c r="U53" s="20" t="n">
        <v>1</v>
      </c>
      <c r="V53" s="5" t="inlineStr">
        <is>
          <t>Travelling salesman</t>
        </is>
      </c>
      <c r="W53" s="5" t="inlineStr">
        <is>
          <t>Son of the domineering Bhim Singh, married off to his father's friend's daughter without being consulted</t>
        </is>
      </c>
      <c r="X53" s="19" t="inlineStr">
        <is>
          <t>Kishan is married against his will to Chando, whom he finds plain and graceless, and refuses to live with her in any real sense. Transferred to Bombay to escape both father and wife, he marries the beautiful Radha without disclosing the first marriage, and then abandons Chando at the station only to find her installed in his own house as a maid.</t>
        </is>
      </c>
      <c r="Y53" s="19" t="inlineStr">
        <is>
          <t>To escape a marriage he never agreed to and keep the woman he chose.</t>
        </is>
      </c>
      <c r="Z53" s="19" t="inlineStr">
        <is>
          <t>A father who arranged the first marriage, and a bigamy he has to conceal from both wives.</t>
        </is>
      </c>
      <c r="AA53" s="19" t="inlineStr">
        <is>
          <t>From a son too frightened of his father to refuse, to a man whose two marriages are living in the same house.</t>
        </is>
      </c>
      <c r="AB53" s="19" t="inlineStr">
        <is>
          <t>Morally mixed</t>
        </is>
      </c>
      <c r="AC53" s="5" t="inlineStr">
        <is>
          <t>Not documented; the article's summary breaks off as Chando and Radha become close and Radha is given a makeover.</t>
        </is>
      </c>
      <c r="AD53" s="5" t="inlineStr">
        <is>
          <t>Radhika; Farah Naaz</t>
        </is>
      </c>
      <c r="AE53" s="5" t="inlineStr">
        <is>
          <t>Central</t>
        </is>
      </c>
      <c r="AF53" s="20" t="n">
        <v>9</v>
      </c>
      <c r="AG53" s="19" t="inlineStr">
        <is>
          <t>Multiple romantic relationships</t>
        </is>
      </c>
      <c r="AH53" s="5" t="n"/>
      <c r="AI53" s="5" t="n"/>
      <c r="AJ53" s="5" t="n"/>
      <c r="AK53" s="5" t="n"/>
      <c r="AL53" s="5" t="n"/>
      <c r="AM53" s="5" t="n"/>
      <c r="AN53" s="5" t="n"/>
      <c r="AO53" s="18" t="n"/>
      <c r="AP53" s="19" t="n"/>
      <c r="AQ53" s="19" t="n"/>
      <c r="AR53" s="5" t="inlineStr">
        <is>
          <t>SOURCE-001; SOURCE-055</t>
        </is>
      </c>
      <c r="AS53" s="5" t="inlineStr">
        <is>
          <t>Medium</t>
        </is>
      </c>
      <c r="AT53" s="5" t="inlineStr">
        <is>
          <t>A remake of the 1982 Tamil film Gopurangal Saivathillai. Two marriages are scored separately. The film's premise rests on Chando being presented as ugly and dark-skinned, which the plot treats as the reason for Kishan's rejection; that framing is recorded in the pairing row's critical reading rather than adopted.</t>
        </is>
      </c>
    </row>
    <row r="54" ht="124" customHeight="1">
      <c r="A54" s="15" t="inlineStr">
        <is>
          <t>FILM-053</t>
        </is>
      </c>
      <c r="B54" s="5" t="inlineStr">
        <is>
          <t>Allah Rakha</t>
        </is>
      </c>
      <c r="C54" s="16" t="n">
        <v>31639</v>
      </c>
      <c r="D54" s="17" t="n">
        <v>1986</v>
      </c>
      <c r="E54" s="5" t="inlineStr">
        <is>
          <t>1980s</t>
        </is>
      </c>
      <c r="F54" s="5" t="inlineStr">
        <is>
          <t>Hindi</t>
        </is>
      </c>
      <c r="G54" s="5" t="inlineStr">
        <is>
          <t>Masala</t>
        </is>
      </c>
      <c r="H54" s="5" t="n"/>
      <c r="I54" s="18" t="n"/>
      <c r="J54" s="5" t="inlineStr">
        <is>
          <t>Ketan Desai</t>
        </is>
      </c>
      <c r="K54" s="5" t="inlineStr">
        <is>
          <t>Ketan Desai</t>
        </is>
      </c>
      <c r="L54" s="5" t="inlineStr">
        <is>
          <t>MKD Films Combine</t>
        </is>
      </c>
      <c r="M54" s="5" t="inlineStr">
        <is>
          <t>K. K. Shukla; Javed Siddiqui; Prayag Raj</t>
        </is>
      </c>
      <c r="N54" s="5" t="n"/>
      <c r="O54" s="5" t="inlineStr">
        <is>
          <t>Anu Malik</t>
        </is>
      </c>
      <c r="P54" s="5" t="n"/>
      <c r="Q54" s="5" t="n"/>
      <c r="R54" s="5" t="inlineStr">
        <is>
          <t>Himself</t>
        </is>
      </c>
      <c r="S54" s="5" t="n"/>
      <c r="T54" s="5" t="inlineStr">
        <is>
          <t>Self appearance</t>
        </is>
      </c>
      <c r="U54" s="18" t="n"/>
      <c r="V54" s="5" t="n"/>
      <c r="W54" s="5" t="n"/>
      <c r="X54" s="19" t="inlineStr">
        <is>
          <t>A guest appearance in Ketan Desai's film about a man raised as another family's son, which stars Jackie Shroff in the title role with Dimple Kapadia, Meenakshi Sheshadri, Shammi Kapoor and Waheeda Rehman. Kapoor is credited as himself with no character and no bearing on the plot.</t>
        </is>
      </c>
      <c r="Y54" s="19" t="n"/>
      <c r="Z54" s="19" t="n"/>
      <c r="AA54" s="19" t="n"/>
      <c r="AB54" s="19" t="inlineStr">
        <is>
          <t>Not applicable</t>
        </is>
      </c>
      <c r="AC54" s="5" t="n"/>
      <c r="AD54" s="5" t="n"/>
      <c r="AE54" s="5" t="inlineStr">
        <is>
          <t>None</t>
        </is>
      </c>
      <c r="AF54" s="18" t="n"/>
      <c r="AG54" s="19" t="inlineStr">
        <is>
          <t>No meaningful romance</t>
        </is>
      </c>
      <c r="AH54" s="5" t="n"/>
      <c r="AI54" s="5" t="n"/>
      <c r="AJ54" s="5" t="n"/>
      <c r="AK54" s="5" t="n"/>
      <c r="AL54" s="5" t="n"/>
      <c r="AM54" s="5" t="n"/>
      <c r="AN54" s="5" t="n"/>
      <c r="AO54" s="18" t="n"/>
      <c r="AP54" s="19" t="n"/>
      <c r="AQ54" s="19" t="n"/>
      <c r="AR54" s="5" t="inlineStr">
        <is>
          <t>SOURCE-001; SOURCE-051</t>
        </is>
      </c>
      <c r="AS54" s="5" t="inlineStr">
        <is>
          <t>Low</t>
        </is>
      </c>
      <c r="AT54" s="5" t="inlineStr">
        <is>
          <t>Filmography notes: Guest appearance. As above: the article (Jackie Shroff, Dimple Kapadia, Meenakshi Sheshadri, 1986) does not mention Kapoor, whose credit is a guest appearance as himself. Resolved via the title 'Allah Rakha (film)'. Kapoor is not in the article's cast list; the filmography table supplies the credit as 'Himself'. The article notes the film as unusual in Hindi cinema for a Muslim protagonist.</t>
        </is>
      </c>
    </row>
    <row r="55" ht="124" customHeight="1">
      <c r="A55" s="15" t="inlineStr">
        <is>
          <t>FILM-054</t>
        </is>
      </c>
      <c r="B55" s="5" t="inlineStr">
        <is>
          <t>Ek Chadar Maili Si</t>
        </is>
      </c>
      <c r="C55" s="16" t="n">
        <v>31652</v>
      </c>
      <c r="D55" s="17" t="n">
        <v>1986</v>
      </c>
      <c r="E55" s="5" t="inlineStr">
        <is>
          <t>1980s</t>
        </is>
      </c>
      <c r="F55" s="5" t="inlineStr">
        <is>
          <t>Hindi</t>
        </is>
      </c>
      <c r="G55" s="5" t="inlineStr">
        <is>
          <t>Drama</t>
        </is>
      </c>
      <c r="H55" s="5" t="inlineStr">
        <is>
          <t>Literary adaptation</t>
        </is>
      </c>
      <c r="I55" s="18" t="n"/>
      <c r="J55" s="5" t="inlineStr">
        <is>
          <t>Sukhwant Dhadda</t>
        </is>
      </c>
      <c r="K55" s="5" t="inlineStr">
        <is>
          <t>G.M. Singh Nindrajog</t>
        </is>
      </c>
      <c r="L55" s="5" t="n"/>
      <c r="M55" s="5" t="inlineStr">
        <is>
          <t>Phani Majumdar; Makhan Singh; Rajinder Singh Bedi; Madan Joshi</t>
        </is>
      </c>
      <c r="N55" s="5" t="n"/>
      <c r="O55" s="5" t="inlineStr">
        <is>
          <t>Anu Malik</t>
        </is>
      </c>
      <c r="P55" s="5" t="n"/>
      <c r="Q55" s="5" t="n"/>
      <c r="R55" s="5" t="inlineStr">
        <is>
          <t>Mangal</t>
        </is>
      </c>
      <c r="S55" s="5" t="n"/>
      <c r="T55" s="5" t="inlineStr">
        <is>
          <t>Co-lead</t>
        </is>
      </c>
      <c r="U55" s="20" t="n">
        <v>2</v>
      </c>
      <c r="V55" s="5" t="inlineStr">
        <is>
          <t>Village man; younger brother of the drunkard Trilok</t>
        </is>
      </c>
      <c r="W55" s="5" t="inlineStr">
        <is>
          <t>Punjabi village household under a grasping mother and a blind, powerless father</t>
        </is>
      </c>
      <c r="X55" s="19" t="inlineStr">
        <is>
          <t>Mangal is the one member of the household who shields his sister-in-law Rano from her drunken husband. When Trilok is murdered, custom compels Rano to marry Mangal, ten years her junior and until then her protector; the article records that he abuses her in his frustration exactly as her first husband did.</t>
        </is>
      </c>
      <c r="Y55" s="19" t="inlineStr">
        <is>
          <t>Not his own; he is placed in the marriage by custom rather than choosing it.</t>
        </is>
      </c>
      <c r="Z55" s="19" t="inlineStr">
        <is>
          <t>A forced remarriage to the woman he had been protecting, and the resentment it produces in both of them.</t>
        </is>
      </c>
      <c r="AA55" s="19" t="inlineStr">
        <is>
          <t>From Rano's only defender to another husband she has to endure.</t>
        </is>
      </c>
      <c r="AB55" s="19" t="inlineStr">
        <is>
          <t>Morally mixed</t>
        </is>
      </c>
      <c r="AC55" s="5" t="inlineStr">
        <is>
          <t>Married to Rano under the custom; the article does not carry the resolution.</t>
        </is>
      </c>
      <c r="AD55" s="5" t="inlineStr">
        <is>
          <t>Hema Malini; Poonam Dhillon</t>
        </is>
      </c>
      <c r="AE55" s="5" t="inlineStr">
        <is>
          <t>Major</t>
        </is>
      </c>
      <c r="AF55" s="20" t="n">
        <v>8</v>
      </c>
      <c r="AG55" s="19" t="inlineStr">
        <is>
          <t>Unequal or coercive relationship</t>
        </is>
      </c>
      <c r="AH55" s="5" t="n"/>
      <c r="AI55" s="5" t="n"/>
      <c r="AJ55" s="5" t="n"/>
      <c r="AK55" s="5" t="n"/>
      <c r="AL55" s="5" t="n"/>
      <c r="AM55" s="5" t="n"/>
      <c r="AN55" s="5" t="n"/>
      <c r="AO55" s="18" t="n"/>
      <c r="AP55" s="19" t="n"/>
      <c r="AQ55" s="19" t="inlineStr">
        <is>
          <t>An adaptation of Rajinder Singh Bedi's Urdu novella, which won the 1965 Sahitya Akademi Award, and one of the darkest parts Kapoor took in this period.</t>
        </is>
      </c>
      <c r="AR55" s="5" t="inlineStr">
        <is>
          <t>SOURCE-001; SOURCE-052</t>
        </is>
      </c>
      <c r="AS55" s="5" t="inlineStr">
        <is>
          <t>Medium</t>
        </is>
      </c>
      <c r="AT55" s="5" t="inlineStr">
        <is>
          <t>Adapted from Rajinder Singh Bedi's novella of the same name. The marriage is a karewa, a widow married to her dead husband's brother, and the article is explicit that Mangal comes to abuse Rano as Trilok did. This is the clearest instance in the filmography of Kapoor cast against the lover-boy persona. Raji, the gypsy girl, is named as his love interest and is scored as a second, separate attachment.</t>
        </is>
      </c>
    </row>
    <row r="56" ht="79" customHeight="1">
      <c r="A56" s="15" t="inlineStr">
        <is>
          <t>FILM-055</t>
        </is>
      </c>
      <c r="B56" s="5" t="inlineStr">
        <is>
          <t>Dosti Dushmani</t>
        </is>
      </c>
      <c r="C56" s="16" t="n">
        <v>31716</v>
      </c>
      <c r="D56" s="17" t="n">
        <v>1986</v>
      </c>
      <c r="E56" s="5" t="inlineStr">
        <is>
          <t>1980s</t>
        </is>
      </c>
      <c r="F56" s="5" t="inlineStr">
        <is>
          <t>Hindi</t>
        </is>
      </c>
      <c r="G56" s="5" t="inlineStr">
        <is>
          <t>Action drama</t>
        </is>
      </c>
      <c r="H56" s="5" t="n"/>
      <c r="I56" s="17" t="n">
        <v>152</v>
      </c>
      <c r="J56" s="5" t="inlineStr">
        <is>
          <t>T. Rama Rao</t>
        </is>
      </c>
      <c r="K56" s="5" t="inlineStr">
        <is>
          <t>T. Rama Rao</t>
        </is>
      </c>
      <c r="L56" s="5" t="inlineStr">
        <is>
          <t>Srinath Productions</t>
        </is>
      </c>
      <c r="M56" s="5" t="inlineStr">
        <is>
          <t>Rahi Masoom Raza; M. Balamurugan; M. D. Sunder</t>
        </is>
      </c>
      <c r="N56" s="5" t="inlineStr">
        <is>
          <t>Based on Chakravarthy by Mahendran</t>
        </is>
      </c>
      <c r="O56" s="5" t="inlineStr">
        <is>
          <t>Laxmikant–Pyarelal</t>
        </is>
      </c>
      <c r="P56" s="5" t="n"/>
      <c r="Q56" s="5" t="n"/>
      <c r="R56" s="5" t="inlineStr">
        <is>
          <t>Prakash</t>
        </is>
      </c>
      <c r="S56" s="5" t="n"/>
      <c r="T56" s="5" t="inlineStr">
        <is>
          <t>Ensemble lead</t>
        </is>
      </c>
      <c r="U56" s="20" t="n">
        <v>3</v>
      </c>
      <c r="V56" s="5" t="inlineStr">
        <is>
          <t>Criminal lawyer</t>
        </is>
      </c>
      <c r="W56" s="5" t="inlineStr">
        <is>
          <t>One of three friends raised together, the third of whom is the gangster Daaga's son</t>
        </is>
      </c>
      <c r="X56" s="19" t="inlineStr">
        <is>
          <t>Prakash is the lawyer of three inseparable friends, defending Sandeep when the policeman among them is duty-bound to arrest him, and fabricating a wife for Sandeep to secure the acquittal. His own romance is with Shanti, a pickpocket who is one of Daaga's victims, and the film ends with the three friends reunited against Daaga.</t>
        </is>
      </c>
      <c r="Y56" s="19" t="inlineStr">
        <is>
          <t>To keep his friend out of prison and the three of them together.</t>
        </is>
      </c>
      <c r="Z56" s="19" t="inlineStr">
        <is>
          <t>The gangster Daaga, who engineers the rift between the friends, and the law that puts one friend against another.</t>
        </is>
      </c>
      <c r="AA56" s="19" t="inlineStr">
        <is>
          <t>From a lawyer bending the law for a friend to one of three men who close ranks against the man who divided them.</t>
        </is>
      </c>
      <c r="AB56" s="19" t="inlineStr">
        <is>
          <t>Good</t>
        </is>
      </c>
      <c r="AC56" s="5" t="inlineStr">
        <is>
          <t>Reunited with Sandeep and Ranjit, and Daaga is stopped.</t>
        </is>
      </c>
      <c r="AD56" s="5" t="inlineStr">
        <is>
          <t>Kimi Katkar</t>
        </is>
      </c>
      <c r="AE56" s="5" t="inlineStr">
        <is>
          <t>Minor</t>
        </is>
      </c>
      <c r="AF56" s="20" t="n">
        <v>4</v>
      </c>
      <c r="AG56" s="19" t="inlineStr">
        <is>
          <t>Romance subordinate to another genre</t>
        </is>
      </c>
      <c r="AH56" s="5" t="n"/>
      <c r="AI56" s="5" t="n"/>
      <c r="AJ56" s="5" t="n"/>
      <c r="AK56" s="5" t="n"/>
      <c r="AL56" s="5" t="n"/>
      <c r="AM56" s="5" t="n"/>
      <c r="AN56" s="5" t="n"/>
      <c r="AO56" s="18" t="n"/>
      <c r="AP56" s="19" t="n"/>
      <c r="AQ56" s="19" t="n"/>
      <c r="AR56" s="5" t="inlineStr">
        <is>
          <t>SOURCE-001; SOURCE-053</t>
        </is>
      </c>
      <c r="AS56" s="5" t="inlineStr">
        <is>
          <t>Medium</t>
        </is>
      </c>
      <c r="AT56" s="5" t="inlineStr">
        <is>
          <t>Third-billed behind Jeetendra and Rajinikanth in a friendship film with three parallel romances. The article's plot is written in unusually compressed English and some relationships are stated rather than shown.</t>
        </is>
      </c>
    </row>
    <row r="57" ht="109" customHeight="1">
      <c r="A57" s="15" t="inlineStr">
        <is>
          <t>FILM-056</t>
        </is>
      </c>
      <c r="B57" s="5" t="inlineStr">
        <is>
          <t>Nagina</t>
        </is>
      </c>
      <c r="C57" s="16" t="n">
        <v>31744</v>
      </c>
      <c r="D57" s="17" t="n">
        <v>1986</v>
      </c>
      <c r="E57" s="5" t="inlineStr">
        <is>
          <t>1980s</t>
        </is>
      </c>
      <c r="F57" s="5" t="inlineStr">
        <is>
          <t>Hindi</t>
        </is>
      </c>
      <c r="G57" s="5" t="inlineStr">
        <is>
          <t>Fantasy</t>
        </is>
      </c>
      <c r="H57" s="5" t="inlineStr">
        <is>
          <t>Romance</t>
        </is>
      </c>
      <c r="I57" s="18" t="n"/>
      <c r="J57" s="5" t="inlineStr">
        <is>
          <t>Harmesh Malhotra</t>
        </is>
      </c>
      <c r="K57" s="5" t="inlineStr">
        <is>
          <t>Harmesh Malhotra</t>
        </is>
      </c>
      <c r="L57" s="5" t="inlineStr">
        <is>
          <t>Eastern Films</t>
        </is>
      </c>
      <c r="M57" s="5" t="inlineStr">
        <is>
          <t>Jagmohan Kapoor; Achala Nagar; Ravi Kapoor</t>
        </is>
      </c>
      <c r="N57" s="5" t="n"/>
      <c r="O57" s="5" t="inlineStr">
        <is>
          <t>Laxmikant–Pyarelal</t>
        </is>
      </c>
      <c r="P57" s="5" t="n"/>
      <c r="Q57" s="5" t="inlineStr">
        <is>
          <t>Rajasri</t>
        </is>
      </c>
      <c r="R57" s="5" t="inlineStr">
        <is>
          <t>Rajiv</t>
        </is>
      </c>
      <c r="S57" s="5" t="n"/>
      <c r="T57" s="5" t="inlineStr">
        <is>
          <t>Co-lead</t>
        </is>
      </c>
      <c r="U57" s="20" t="n">
        <v>2</v>
      </c>
      <c r="V57" s="5" t="inlineStr">
        <is>
          <t>Landowner's son returned from studying abroad</t>
        </is>
      </c>
      <c r="W57" s="5" t="inlineStr">
        <is>
          <t>Wealthy land-owning family; his estate managed for years by the Thakur who expects him to marry his daughter</t>
        </is>
      </c>
      <c r="X57" s="19" t="inlineStr">
        <is>
          <t>Rajiv comes home from abroad and marries Rajni against his mother's preference and the Thakur's plans, not knowing she is an ichchhadhari naagin who came to avenge the snake killed to save his life as a child. He spends the film as the object of forces he cannot see: protected by his wife, attacked by the Thakur's men, and targeted by the tantric who wants her destroyed.</t>
        </is>
      </c>
      <c r="Y57" s="19" t="inlineStr">
        <is>
          <t>To marry the woman he chose rather than the one intended for him.</t>
        </is>
      </c>
      <c r="Z57" s="19" t="inlineStr">
        <is>
          <t>A tantric determined to expose and kill his wife, and the Thakur whose plans the marriage ruined.</t>
        </is>
      </c>
      <c r="AA57" s="19" t="inlineStr">
        <is>
          <t>Little of his own; he is the ground the supernatural contest is fought over, and survives it because Rajni chooses him over her revenge.</t>
        </is>
      </c>
      <c r="AB57" s="19" t="inlineStr">
        <is>
          <t>Good</t>
        </is>
      </c>
      <c r="AC57" s="5" t="inlineStr">
        <is>
          <t>Saved by Rajni, who kills Bhairo Nath rather than complete the vengeance she came for.</t>
        </is>
      </c>
      <c r="AD57" s="5" t="inlineStr">
        <is>
          <t>Sridevi</t>
        </is>
      </c>
      <c r="AE57" s="5" t="inlineStr">
        <is>
          <t>Central</t>
        </is>
      </c>
      <c r="AF57" s="20" t="n">
        <v>8</v>
      </c>
      <c r="AG57" s="19" t="inlineStr">
        <is>
          <t>United couple versus external world</t>
        </is>
      </c>
      <c r="AH57" s="5" t="n"/>
      <c r="AI57" s="5" t="n"/>
      <c r="AJ57" s="21" t="n">
        <v>4.75</v>
      </c>
      <c r="AK57" s="5" t="n"/>
      <c r="AL57" s="5" t="n"/>
      <c r="AM57" s="5" t="inlineStr">
        <is>
          <t>INR crore</t>
        </is>
      </c>
      <c r="AN57" s="5" t="inlineStr">
        <is>
          <t>Commercial success</t>
        </is>
      </c>
      <c r="AO57" s="18" t="n"/>
      <c r="AP57" s="19" t="inlineStr">
        <is>
          <t>The article records the film as a commercial success grossing approximately ₹4.75 crore.</t>
        </is>
      </c>
      <c r="AQ57" s="19" t="inlineStr">
        <is>
          <t>One of the biggest hits of 1986 and the film that made Sridevi's snake-woman iconic; followed by the sequel Nigahen (1989), in which Kapoor's character appears only in archive footage.</t>
        </is>
      </c>
      <c r="AR57" s="5" t="inlineStr">
        <is>
          <t>SOURCE-001; SOURCE-054</t>
        </is>
      </c>
      <c r="AS57" s="5" t="inlineStr">
        <is>
          <t>Medium</t>
        </is>
      </c>
      <c r="AT57" s="5" t="inlineStr">
        <is>
          <t>Infobox gross '₹13 crore' has no nett/gross label and is not entered. Gross of about ₹4.75 crore given without a nett/gross distinction beyond the word 'grossing'; entered as a domestic gross. The romance is genuinely mutual despite its origin in a revenge plan, which is why it is scored as a united couple rather than as deception.</t>
        </is>
      </c>
    </row>
    <row r="58" ht="79" customHeight="1">
      <c r="A58" s="15" t="inlineStr">
        <is>
          <t>FILM-057</t>
        </is>
      </c>
      <c r="B58" s="5" t="inlineStr">
        <is>
          <t>Khazana</t>
        </is>
      </c>
      <c r="C58" s="16" t="n">
        <v>31778</v>
      </c>
      <c r="D58" s="17" t="n">
        <v>1987</v>
      </c>
      <c r="E58" s="5" t="inlineStr">
        <is>
          <t>1980s</t>
        </is>
      </c>
      <c r="F58" s="5" t="inlineStr">
        <is>
          <t>Hindi</t>
        </is>
      </c>
      <c r="G58" s="5" t="inlineStr">
        <is>
          <t>Action adventure</t>
        </is>
      </c>
      <c r="H58" s="5" t="n"/>
      <c r="I58" s="17" t="n">
        <v>127</v>
      </c>
      <c r="J58" s="5" t="inlineStr">
        <is>
          <t>Harmesh Malhotra</t>
        </is>
      </c>
      <c r="K58" s="5" t="inlineStr">
        <is>
          <t>Subhash Kapoor</t>
        </is>
      </c>
      <c r="L58" s="5" t="inlineStr">
        <is>
          <t>Subhash International</t>
        </is>
      </c>
      <c r="M58" s="5" t="inlineStr">
        <is>
          <t>Rahi Masoom Raza; Ravi Kapoor</t>
        </is>
      </c>
      <c r="N58" s="5" t="n"/>
      <c r="O58" s="5" t="inlineStr">
        <is>
          <t>Laxmikant–Pyarelal</t>
        </is>
      </c>
      <c r="P58" s="5" t="n"/>
      <c r="Q58" s="5" t="inlineStr">
        <is>
          <t>Anand Bakshi</t>
        </is>
      </c>
      <c r="R58" s="5" t="inlineStr">
        <is>
          <t>Singer</t>
        </is>
      </c>
      <c r="S58" s="5" t="n"/>
      <c r="T58" s="5" t="inlineStr">
        <is>
          <t>Extended special appearance</t>
        </is>
      </c>
      <c r="U58" s="18" t="n"/>
      <c r="V58" s="5" t="n"/>
      <c r="W58" s="5" t="n"/>
      <c r="X58" s="19" t="inlineStr">
        <is>
          <t>Kapoor appears as a singer and dancer named Ramnath Shastri, alongside Jeetendra in a matching guest spot, in Harmesh Malhotra's treasure-hunt adventure starring Randhir Kapoor and Rekha. The credit is a musical special appearance outside the plot, which concerns a Mughal treasure in Rajasthan.</t>
        </is>
      </c>
      <c r="Y58" s="19" t="n"/>
      <c r="Z58" s="19" t="n"/>
      <c r="AA58" s="19" t="n"/>
      <c r="AB58" s="19" t="inlineStr">
        <is>
          <t>Not applicable</t>
        </is>
      </c>
      <c r="AC58" s="5" t="n"/>
      <c r="AD58" s="5" t="n"/>
      <c r="AE58" s="5" t="inlineStr">
        <is>
          <t>None</t>
        </is>
      </c>
      <c r="AF58" s="18" t="n"/>
      <c r="AG58" s="19" t="inlineStr">
        <is>
          <t>No meaningful romance</t>
        </is>
      </c>
      <c r="AH58" s="5" t="n"/>
      <c r="AI58" s="5" t="n"/>
      <c r="AJ58" s="5" t="n"/>
      <c r="AK58" s="5" t="n"/>
      <c r="AL58" s="5" t="n"/>
      <c r="AM58" s="5" t="n"/>
      <c r="AN58" s="5" t="n"/>
      <c r="AO58" s="18" t="n"/>
      <c r="AP58" s="19" t="n"/>
      <c r="AQ58" s="19" t="n"/>
      <c r="AR58" s="5" t="inlineStr">
        <is>
          <t>SOURCE-001; SOURCE-059</t>
        </is>
      </c>
      <c r="AS58" s="5" t="inlineStr">
        <is>
          <t>Medium</t>
        </is>
      </c>
      <c r="AT58" s="5" t="inlineStr">
        <is>
          <t>Filmography notes: Guest appearance. The article states explicitly that Jeetendra and Kapoor have special appearances. His brother Randhir Kapoor is the lead.</t>
        </is>
      </c>
    </row>
    <row r="59" ht="94" customHeight="1">
      <c r="A59" s="15" t="inlineStr">
        <is>
          <t>FILM-058</t>
        </is>
      </c>
      <c r="B59" s="5" t="inlineStr">
        <is>
          <t>Pyar Ke Kabil</t>
        </is>
      </c>
      <c r="C59" s="16" t="n">
        <v>31829</v>
      </c>
      <c r="D59" s="17" t="n">
        <v>1987</v>
      </c>
      <c r="E59" s="5" t="inlineStr">
        <is>
          <t>1980s</t>
        </is>
      </c>
      <c r="F59" s="5" t="inlineStr">
        <is>
          <t>Hindi</t>
        </is>
      </c>
      <c r="G59" s="5" t="inlineStr">
        <is>
          <t>Drama</t>
        </is>
      </c>
      <c r="H59" s="5" t="n"/>
      <c r="I59" s="18" t="n"/>
      <c r="J59" s="5" t="inlineStr">
        <is>
          <t>Anil Ganguly</t>
        </is>
      </c>
      <c r="K59" s="5" t="inlineStr">
        <is>
          <t>Suresh K Grover</t>
        </is>
      </c>
      <c r="L59" s="5" t="n"/>
      <c r="M59" s="5" t="n"/>
      <c r="N59" s="5" t="n"/>
      <c r="O59" s="5" t="inlineStr">
        <is>
          <t>Bappi Lahiri</t>
        </is>
      </c>
      <c r="P59" s="5" t="n"/>
      <c r="Q59" s="5" t="n"/>
      <c r="R59" s="5" t="inlineStr">
        <is>
          <t>Amar Kapoor</t>
        </is>
      </c>
      <c r="S59" s="5" t="n"/>
      <c r="T59" s="5" t="inlineStr">
        <is>
          <t>Lead</t>
        </is>
      </c>
      <c r="U59" s="20" t="n">
        <v>1</v>
      </c>
      <c r="V59" s="5" t="inlineStr">
        <is>
          <t>Not documented</t>
        </is>
      </c>
      <c r="W59" s="5" t="n"/>
      <c r="X59" s="19" t="inlineStr">
        <is>
          <t>Kapoor plays Amar Kapoor opposite Padmini Kolhapure's Sangeeta in Anil Ganguly's film, with Bindu, Utpal Dutt and Deven Verma in support. The article carries an infobox, a cast list and a soundtrack but no plot section, so the role's substance is undocumented.</t>
        </is>
      </c>
      <c r="Y59" s="19" t="n"/>
      <c r="Z59" s="19" t="n"/>
      <c r="AA59" s="19" t="n"/>
      <c r="AB59" s="19" t="n"/>
      <c r="AC59" s="5" t="n"/>
      <c r="AD59" s="5" t="inlineStr">
        <is>
          <t>Padmini Kolhapure</t>
        </is>
      </c>
      <c r="AE59" s="5" t="inlineStr">
        <is>
          <t>Major</t>
        </is>
      </c>
      <c r="AF59" s="18" t="n"/>
      <c r="AG59" s="19" t="n"/>
      <c r="AH59" s="5" t="n"/>
      <c r="AI59" s="5" t="n"/>
      <c r="AJ59" s="5" t="n"/>
      <c r="AK59" s="5" t="n"/>
      <c r="AL59" s="5" t="n"/>
      <c r="AM59" s="5" t="n"/>
      <c r="AN59" s="5" t="n"/>
      <c r="AO59" s="18" t="n"/>
      <c r="AP59" s="19" t="n"/>
      <c r="AQ59" s="19" t="n"/>
      <c r="AR59" s="5" t="inlineStr">
        <is>
          <t>SOURCE-001; SOURCE-056</t>
        </is>
      </c>
      <c r="AS59" s="5" t="inlineStr">
        <is>
          <t>Low</t>
        </is>
      </c>
      <c r="AT59" s="5" t="inlineStr">
        <is>
          <t>No plot section in the article, which describes the film as a loose copy of Do Kaliyan (1968). The characters share the surname Kapoor, suggesting a marriage, but nothing located confirms the relationship, so no Romances row is created and no scores are assigned. The fifth of six films with Padmini Kolhapure.</t>
        </is>
      </c>
    </row>
    <row r="60" ht="94" customHeight="1">
      <c r="A60" s="15" t="inlineStr">
        <is>
          <t>FILM-059</t>
        </is>
      </c>
      <c r="B60" s="5" t="inlineStr">
        <is>
          <t>Hawalaat</t>
        </is>
      </c>
      <c r="C60" s="16" t="n">
        <v>31954</v>
      </c>
      <c r="D60" s="17" t="n">
        <v>1987</v>
      </c>
      <c r="E60" s="5" t="inlineStr">
        <is>
          <t>1980s</t>
        </is>
      </c>
      <c r="F60" s="5" t="inlineStr">
        <is>
          <t>Hindi</t>
        </is>
      </c>
      <c r="G60" s="5" t="inlineStr">
        <is>
          <t>Action</t>
        </is>
      </c>
      <c r="H60" s="5" t="inlineStr">
        <is>
          <t>Crime drama</t>
        </is>
      </c>
      <c r="I60" s="17" t="n">
        <v>140</v>
      </c>
      <c r="J60" s="5" t="inlineStr">
        <is>
          <t>Surendra Mohan</t>
        </is>
      </c>
      <c r="K60" s="5" t="inlineStr">
        <is>
          <t>Surendra Mohan</t>
        </is>
      </c>
      <c r="L60" s="5" t="n"/>
      <c r="M60" s="5" t="inlineStr">
        <is>
          <t>Ranbir Pushp; Ram Kelkar</t>
        </is>
      </c>
      <c r="N60" s="5" t="n"/>
      <c r="O60" s="5" t="inlineStr">
        <is>
          <t>Anu Malik</t>
        </is>
      </c>
      <c r="P60" s="5" t="n"/>
      <c r="Q60" s="5" t="inlineStr">
        <is>
          <t>Gulshan Bawra</t>
        </is>
      </c>
      <c r="R60" s="5" t="inlineStr">
        <is>
          <t>Shyam</t>
        </is>
      </c>
      <c r="S60" s="5" t="n"/>
      <c r="T60" s="5" t="inlineStr">
        <is>
          <t>Supporting</t>
        </is>
      </c>
      <c r="U60" s="20" t="n">
        <v>3</v>
      </c>
      <c r="V60" s="5" t="inlineStr">
        <is>
          <t>Not documented</t>
        </is>
      </c>
      <c r="W60" s="5" t="inlineStr">
        <is>
          <t>Not documented</t>
        </is>
      </c>
      <c r="X60" s="19" t="inlineStr">
        <is>
          <t>Kapoor is third-billed as Shyam in Surendra Mohan's ensemble action film, whose plot as the article gives it follows the journalist Geeta, abducted and repeatedly raped by criminals and a police inspector after exposing a drug ring. The article's summary covers only that thread and says nothing about Shyam.</t>
        </is>
      </c>
      <c r="Y60" s="19" t="n"/>
      <c r="Z60" s="19" t="n"/>
      <c r="AA60" s="19" t="n"/>
      <c r="AB60" s="19" t="inlineStr">
        <is>
          <t>Not documented</t>
        </is>
      </c>
      <c r="AC60" s="5" t="n"/>
      <c r="AD60" s="5" t="inlineStr">
        <is>
          <t>Padmini Kolhapure</t>
        </is>
      </c>
      <c r="AE60" s="5" t="inlineStr">
        <is>
          <t>Minor</t>
        </is>
      </c>
      <c r="AF60" s="18" t="n"/>
      <c r="AG60" s="19" t="n"/>
      <c r="AH60" s="5" t="n"/>
      <c r="AI60" s="5" t="n"/>
      <c r="AJ60" s="5" t="n"/>
      <c r="AK60" s="5" t="n"/>
      <c r="AL60" s="5" t="n"/>
      <c r="AM60" s="5" t="n"/>
      <c r="AN60" s="5" t="n"/>
      <c r="AO60" s="18" t="n"/>
      <c r="AP60" s="19" t="n"/>
      <c r="AQ60" s="19" t="n"/>
      <c r="AR60" s="5" t="inlineStr">
        <is>
          <t>SOURCE-001; SOURCE-057</t>
        </is>
      </c>
      <c r="AS60" s="5" t="inlineStr">
        <is>
          <t>Low</t>
        </is>
      </c>
      <c r="AT60" s="5" t="inlineStr">
        <is>
          <t>The article's plot section is two sentences and concerns Geeta rather than Kapoor's character, so his role is effectively undocumented despite third billing in a large cast. No Romances row is created: Padmini Kolhapure plays Geeta, but nothing locates a romance between her and Shyam.</t>
        </is>
      </c>
    </row>
    <row r="61" ht="64" customHeight="1">
      <c r="A61" s="15" t="inlineStr">
        <is>
          <t>FILM-060</t>
        </is>
      </c>
      <c r="B61" s="5" t="inlineStr">
        <is>
          <t>Khudgarz</t>
        </is>
      </c>
      <c r="C61" s="16" t="n">
        <v>31989</v>
      </c>
      <c r="D61" s="17" t="n">
        <v>1987</v>
      </c>
      <c r="E61" s="5" t="inlineStr">
        <is>
          <t>1980s</t>
        </is>
      </c>
      <c r="F61" s="5" t="inlineStr">
        <is>
          <t>Hindi</t>
        </is>
      </c>
      <c r="G61" s="5" t="inlineStr">
        <is>
          <t>Action drama</t>
        </is>
      </c>
      <c r="H61" s="5" t="n"/>
      <c r="I61" s="17" t="n">
        <v>158</v>
      </c>
      <c r="J61" s="5" t="inlineStr">
        <is>
          <t>Rakesh Roshan</t>
        </is>
      </c>
      <c r="K61" s="5" t="inlineStr">
        <is>
          <t>Rakesh Roshan</t>
        </is>
      </c>
      <c r="L61" s="5" t="inlineStr">
        <is>
          <t>Filmkraft</t>
        </is>
      </c>
      <c r="M61" s="5" t="inlineStr">
        <is>
          <t>Rakesh Roshan; Mohan Kaul; Ravi Kapoor</t>
        </is>
      </c>
      <c r="N61" s="5" t="n"/>
      <c r="O61" s="5" t="inlineStr">
        <is>
          <t>Rajesh Roshan</t>
        </is>
      </c>
      <c r="P61" s="5" t="n"/>
      <c r="Q61" s="5" t="n"/>
      <c r="R61" s="5" t="inlineStr">
        <is>
          <t>Singing Tramp</t>
        </is>
      </c>
      <c r="S61" s="5" t="n"/>
      <c r="T61" s="5" t="inlineStr">
        <is>
          <t>Extended special appearance</t>
        </is>
      </c>
      <c r="U61" s="18" t="n"/>
      <c r="V61" s="5" t="n"/>
      <c r="W61" s="5" t="n"/>
      <c r="X61" s="19" t="inlineStr">
        <is>
          <t>Kapoor appears as a singing tramp in Rakesh Roshan's directorial debut, a drama about two childhood friends divided by a land deal and a family's greed. The cast list records the part explicitly as a guest appearance, outside the Amar and Bihari story the film is built on.</t>
        </is>
      </c>
      <c r="Y61" s="19" t="n"/>
      <c r="Z61" s="19" t="n"/>
      <c r="AA61" s="19" t="n"/>
      <c r="AB61" s="19" t="inlineStr">
        <is>
          <t>Not applicable</t>
        </is>
      </c>
      <c r="AC61" s="5" t="n"/>
      <c r="AD61" s="5" t="n"/>
      <c r="AE61" s="5" t="inlineStr">
        <is>
          <t>None</t>
        </is>
      </c>
      <c r="AF61" s="18" t="n"/>
      <c r="AG61" s="19" t="inlineStr">
        <is>
          <t>No meaningful romance</t>
        </is>
      </c>
      <c r="AH61" s="5" t="n"/>
      <c r="AI61" s="5" t="n"/>
      <c r="AJ61" s="5" t="n"/>
      <c r="AK61" s="5" t="n"/>
      <c r="AL61" s="5" t="n"/>
      <c r="AM61" s="5" t="n"/>
      <c r="AN61" s="5" t="n"/>
      <c r="AO61" s="18" t="n"/>
      <c r="AP61" s="19" t="n"/>
      <c r="AQ61" s="19" t="n"/>
      <c r="AR61" s="5" t="inlineStr">
        <is>
          <t>SOURCE-001; SOURCE-058</t>
        </is>
      </c>
      <c r="AS61" s="5" t="inlineStr">
        <is>
          <t>Medium</t>
        </is>
      </c>
      <c r="AT61" s="5" t="inlineStr">
        <is>
          <t>Filmography notes: Guest appearance. The filmography table gives the character as 'Singing Tramp' and the article's cast list confirms a guest appearance. Rakesh Roshan's first film as director.</t>
        </is>
      </c>
    </row>
    <row r="62" ht="139" customHeight="1">
      <c r="A62" s="15" t="inlineStr">
        <is>
          <t>FILM-061</t>
        </is>
      </c>
      <c r="B62" s="5" t="inlineStr">
        <is>
          <t>Sindoor</t>
        </is>
      </c>
      <c r="C62" s="16" t="n">
        <v>32003</v>
      </c>
      <c r="D62" s="17" t="n">
        <v>1987</v>
      </c>
      <c r="E62" s="5" t="inlineStr">
        <is>
          <t>1980s</t>
        </is>
      </c>
      <c r="F62" s="5" t="inlineStr">
        <is>
          <t>Hindi</t>
        </is>
      </c>
      <c r="G62" s="5" t="inlineStr">
        <is>
          <t>Drama</t>
        </is>
      </c>
      <c r="H62" s="5" t="inlineStr">
        <is>
          <t>Family melodrama</t>
        </is>
      </c>
      <c r="I62" s="17" t="n">
        <v>165</v>
      </c>
      <c r="J62" s="5" t="inlineStr">
        <is>
          <t>K. Ravi Shankar</t>
        </is>
      </c>
      <c r="K62" s="5" t="inlineStr">
        <is>
          <t>A. Krishnamurthy</t>
        </is>
      </c>
      <c r="L62" s="5" t="inlineStr">
        <is>
          <t>Tinu International Films</t>
        </is>
      </c>
      <c r="M62" s="5" t="inlineStr">
        <is>
          <t>Kader Khan; K. Rangaraj; Gyandev Agnihotri</t>
        </is>
      </c>
      <c r="N62" s="5" t="inlineStr">
        <is>
          <t>Based on Unnai Naan Santhithen by K. Rangaraj</t>
        </is>
      </c>
      <c r="O62" s="5" t="inlineStr">
        <is>
          <t>Laxmikant–Pyarelal</t>
        </is>
      </c>
      <c r="P62" s="5" t="n"/>
      <c r="Q62" s="5" t="n"/>
      <c r="R62" s="5" t="inlineStr">
        <is>
          <t>Kumar</t>
        </is>
      </c>
      <c r="S62" s="5" t="n"/>
      <c r="T62" s="5" t="inlineStr">
        <is>
          <t>Cameo</t>
        </is>
      </c>
      <c r="U62" s="18" t="n"/>
      <c r="V62" s="5" t="inlineStr">
        <is>
          <t>Professional singer</t>
        </is>
      </c>
      <c r="W62" s="5" t="n"/>
      <c r="X62" s="19" t="inlineStr">
        <is>
          <t>Kumar is the singer with whom Laxmi forms a celebrated performing duo, and the misconception that grows out of that partnership is what makes her husband Vijay drive her from the house. He is the suspected lover rather than an actual one: the misunderstanding is cleared the day Vijay learns Kumar is getting married, by which time Laxmi cannot be traced.</t>
        </is>
      </c>
      <c r="Y62" s="19" t="inlineStr">
        <is>
          <t>Not documented; he is a professional partner rather than an agent in the plot.</t>
        </is>
      </c>
      <c r="Z62" s="19" t="n"/>
      <c r="AA62" s="19" t="n"/>
      <c r="AB62" s="19" t="inlineStr">
        <is>
          <t>Good</t>
        </is>
      </c>
      <c r="AC62" s="5" t="inlineStr">
        <is>
          <t>Marries, off screen, which is the fact that clears Laxmi's name too late to help her.</t>
        </is>
      </c>
      <c r="AD62" s="5" t="n"/>
      <c r="AE62" s="5" t="inlineStr">
        <is>
          <t>None</t>
        </is>
      </c>
      <c r="AF62" s="20" t="n">
        <v>8</v>
      </c>
      <c r="AG62" s="19" t="inlineStr">
        <is>
          <t>No meaningful romance</t>
        </is>
      </c>
      <c r="AH62" s="5" t="n"/>
      <c r="AI62" s="5" t="n"/>
      <c r="AJ62" s="5" t="n"/>
      <c r="AK62" s="5" t="n"/>
      <c r="AL62" s="5" t="n"/>
      <c r="AM62" s="5" t="n"/>
      <c r="AN62" s="5" t="n"/>
      <c r="AO62" s="18" t="n"/>
      <c r="AP62" s="19" t="n"/>
      <c r="AQ62" s="19" t="n"/>
      <c r="AR62" s="5" t="inlineStr">
        <is>
          <t>SOURCE-001; SOURCE-060</t>
        </is>
      </c>
      <c r="AS62" s="5" t="inlineStr">
        <is>
          <t>Medium</t>
        </is>
      </c>
      <c r="AT62" s="5" t="inlineStr">
        <is>
          <t>Filmography notes: Cameo appearance. An unusual cameo in that the character's function is to be wrongly suspected of a romance. Kapoor has no romantic involvement in the film; the marriage that clears the misunderstanding happens off screen and to someone unnamed. Romance centrality reflects the Vijay-Laxmi marriage, which is the film's whole subject. Shashi Kapoor plays Vijay, one of several films in which the two appear together.</t>
        </is>
      </c>
    </row>
    <row r="63" ht="259" customHeight="1">
      <c r="A63" s="15" t="inlineStr">
        <is>
          <t>FILM-062</t>
        </is>
      </c>
      <c r="B63" s="5" t="inlineStr">
        <is>
          <t>Janam Janam</t>
        </is>
      </c>
      <c r="C63" s="5" t="inlineStr">
        <is>
          <t>1988</t>
        </is>
      </c>
      <c r="D63" s="17" t="n">
        <v>1988</v>
      </c>
      <c r="E63" s="5" t="inlineStr">
        <is>
          <t>1980s</t>
        </is>
      </c>
      <c r="F63" s="5" t="n"/>
      <c r="G63" s="5" t="n"/>
      <c r="H63" s="5" t="n"/>
      <c r="I63" s="18" t="n"/>
      <c r="J63" s="5" t="n"/>
      <c r="K63" s="5" t="n"/>
      <c r="L63" s="5" t="n"/>
      <c r="M63" s="5" t="n"/>
      <c r="N63" s="5" t="n"/>
      <c r="O63" s="5" t="n"/>
      <c r="P63" s="5" t="n"/>
      <c r="Q63" s="5" t="n"/>
      <c r="R63" s="5" t="inlineStr">
        <is>
          <t>Sunil</t>
        </is>
      </c>
      <c r="S63" s="5" t="inlineStr">
        <is>
          <t>Vinay</t>
        </is>
      </c>
      <c r="T63" s="5" t="n"/>
      <c r="U63" s="18" t="n"/>
      <c r="V63" s="5" t="n"/>
      <c r="W63" s="5" t="n"/>
      <c r="X63" s="19" t="inlineStr">
        <is>
          <t>The filmography table gives the title, the year 1988 and the character name Sunil, and nothing else. There is no Wikipedia article under any spelling, so the role type, the co-stars, the director and every narrative field are undocumented.</t>
        </is>
      </c>
      <c r="Y63" s="19" t="n"/>
      <c r="Z63" s="19" t="n"/>
      <c r="AA63" s="19" t="n"/>
      <c r="AB63" s="19" t="n"/>
      <c r="AC63" s="5" t="n"/>
      <c r="AD63" s="5" t="n"/>
      <c r="AE63" s="5" t="n"/>
      <c r="AF63" s="18" t="n"/>
      <c r="AG63" s="19" t="n"/>
      <c r="AH63" s="5" t="n"/>
      <c r="AI63" s="5" t="n"/>
      <c r="AJ63" s="5" t="n"/>
      <c r="AK63" s="5" t="n"/>
      <c r="AL63" s="5" t="n"/>
      <c r="AM63" s="5" t="n"/>
      <c r="AN63" s="5" t="n"/>
      <c r="AO63" s="18" t="n"/>
      <c r="AP63" s="19" t="n"/>
      <c r="AQ63" s="19" t="n"/>
      <c r="AR63" s="5" t="inlineStr">
        <is>
          <t>SOURCE-001</t>
        </is>
      </c>
      <c r="AS63" s="5" t="inlineStr">
        <is>
          <t>Unknown</t>
        </is>
      </c>
      <c r="AT63" s="5" t="inlineStr">
        <is>
          <t>No Wikipedia film article; fields come from the filmography table. No Wikipedia article; see _rerun_warning item 3, where the title is a redirect to a song section of Dilwale (2015). Released 1988. [[List of Hindi films of 1988]] gives the director as Vijay Sadanah and the cast as Kapoor, Danny Denzongpa and Amrish Puri, genre Drama; the filmography table gives his character as Sunil. Those year-list facts are the only sourcing available, so the row stays at Low confidence. One of the nine article-less films, and one of the three caught only by hand: the title redirects to [[Dilwale (2015 film)#Soundtrack]] because Janam Janam is the name of a song in that film, which silently attached Rohit Shetty's 2015 film to this 1988 credit until the impossible release date exposed it. The repair is recorded in extract_config.json. All fields are deliberately left blank rather than guessed.</t>
        </is>
      </c>
    </row>
    <row r="64" ht="154" customHeight="1">
      <c r="A64" s="15" t="inlineStr">
        <is>
          <t>FILM-063</t>
        </is>
      </c>
      <c r="B64" s="5" t="inlineStr">
        <is>
          <t>Hamara Khandaan</t>
        </is>
      </c>
      <c r="C64" s="5" t="inlineStr">
        <is>
          <t>1988</t>
        </is>
      </c>
      <c r="D64" s="17" t="n">
        <v>1988</v>
      </c>
      <c r="E64" s="5" t="inlineStr">
        <is>
          <t>1980s</t>
        </is>
      </c>
      <c r="F64" s="5" t="n"/>
      <c r="G64" s="5" t="n"/>
      <c r="H64" s="5" t="n"/>
      <c r="I64" s="18" t="n"/>
      <c r="J64" s="5" t="n"/>
      <c r="K64" s="5" t="n"/>
      <c r="L64" s="5" t="n"/>
      <c r="M64" s="5" t="n"/>
      <c r="N64" s="5" t="n"/>
      <c r="O64" s="5" t="n"/>
      <c r="P64" s="5" t="n"/>
      <c r="Q64" s="5" t="n"/>
      <c r="R64" s="5" t="inlineStr">
        <is>
          <t>Vishal</t>
        </is>
      </c>
      <c r="S64" s="5" t="n"/>
      <c r="T64" s="5" t="n"/>
      <c r="U64" s="18" t="n"/>
      <c r="V64" s="5" t="n"/>
      <c r="W64" s="5" t="n"/>
      <c r="X64" s="19" t="inlineStr">
        <is>
          <t>The filmography table gives the title, the year 1988 and the character name Vishal, and nothing else. No Wikipedia article exists for the film, so the role type, the co-stars, the director and every narrative field are undocumented.</t>
        </is>
      </c>
      <c r="Y64" s="19" t="n"/>
      <c r="Z64" s="19" t="n"/>
      <c r="AA64" s="19" t="n"/>
      <c r="AB64" s="19" t="n"/>
      <c r="AC64" s="5" t="n"/>
      <c r="AD64" s="5" t="n"/>
      <c r="AE64" s="5" t="n"/>
      <c r="AF64" s="18" t="n"/>
      <c r="AG64" s="19" t="n"/>
      <c r="AH64" s="5" t="n"/>
      <c r="AI64" s="5" t="n"/>
      <c r="AJ64" s="5" t="n"/>
      <c r="AK64" s="5" t="n"/>
      <c r="AL64" s="5" t="n"/>
      <c r="AM64" s="5" t="n"/>
      <c r="AN64" s="5" t="n"/>
      <c r="AO64" s="18" t="n"/>
      <c r="AP64" s="19" t="n"/>
      <c r="AQ64" s="19" t="n"/>
      <c r="AR64" s="5" t="inlineStr">
        <is>
          <t>SOURCE-001</t>
        </is>
      </c>
      <c r="AS64" s="5" t="inlineStr">
        <is>
          <t>Unknown</t>
        </is>
      </c>
      <c r="AT64" s="5" t="inlineStr">
        <is>
          <t>No Wikipedia film article; fields come from the filmography table. No article of its own; the title is a redirect into [[List of Hindi films of 1988]], which gives the director as Anwar Pasha and the cast as Kapoor, Farha Naaz and Kiran Juneja. One of the nine article-less films, and one of the three caught only by hand: the title is a {{Redirect from film}} into [[List of Hindi films of 1988]] rather than an article. The repair is recorded in extract_config.json. All fields are deliberately left blank rather than guessed.</t>
        </is>
      </c>
    </row>
    <row r="65" ht="124" customHeight="1">
      <c r="A65" s="15" t="inlineStr">
        <is>
          <t>FILM-064</t>
        </is>
      </c>
      <c r="B65" s="5" t="inlineStr">
        <is>
          <t>Ghar Ghar Ki Kahani</t>
        </is>
      </c>
      <c r="C65" s="16" t="n">
        <v>32324</v>
      </c>
      <c r="D65" s="17" t="n">
        <v>1988</v>
      </c>
      <c r="E65" s="5" t="inlineStr">
        <is>
          <t>1980s</t>
        </is>
      </c>
      <c r="F65" s="5" t="inlineStr">
        <is>
          <t>Hindi</t>
        </is>
      </c>
      <c r="G65" s="5" t="inlineStr">
        <is>
          <t>Drama</t>
        </is>
      </c>
      <c r="H65" s="5" t="inlineStr">
        <is>
          <t>Family melodrama</t>
        </is>
      </c>
      <c r="I65" s="18" t="n"/>
      <c r="J65" s="5" t="inlineStr">
        <is>
          <t>Kalpataru</t>
        </is>
      </c>
      <c r="K65" s="5" t="inlineStr">
        <is>
          <t>Jawaharlal Bafna; Vasant Doshi</t>
        </is>
      </c>
      <c r="L65" s="5" t="n"/>
      <c r="M65" s="5" t="inlineStr">
        <is>
          <t>Kader Khan; Keshav Rathod; Palagummi Padmaraju</t>
        </is>
      </c>
      <c r="N65" s="5" t="inlineStr">
        <is>
          <t>Based on Santhi Nivasam (Telugu)</t>
        </is>
      </c>
      <c r="O65" s="5" t="inlineStr">
        <is>
          <t>Bappi Lahiri</t>
        </is>
      </c>
      <c r="P65" s="5" t="n"/>
      <c r="Q65" s="5" t="inlineStr">
        <is>
          <t>Majrooh Sultanpuri; Anjaan; Indeevar</t>
        </is>
      </c>
      <c r="R65" s="5" t="inlineStr">
        <is>
          <t>Ram</t>
        </is>
      </c>
      <c r="S65" s="5" t="n"/>
      <c r="T65" s="5" t="inlineStr">
        <is>
          <t>Lead</t>
        </is>
      </c>
      <c r="U65" s="20" t="n">
        <v>1</v>
      </c>
      <c r="V65" s="5" t="inlineStr">
        <is>
          <t>Son of the wealthy Dhanraj household</t>
        </is>
      </c>
      <c r="W65" s="5" t="inlineStr">
        <is>
          <t>Second son of a rich joint family ruled by a violent mother, living with his wife under her authority</t>
        </is>
      </c>
      <c r="X65" s="19" t="inlineStr">
        <is>
          <t>Ram is the second son of the Dhanraj house, married to Sita, and the film's engine is his jealousy: his sister Uma suggests that Sita and his younger brother Amar are having an affair, and he believes it. He spies on them, keeps believing after Amar marries someone else, assumes Sita's pregnancy is Amar's, and turns to the doctor who talks him out of suicide.</t>
        </is>
      </c>
      <c r="Y65" s="19" t="inlineStr">
        <is>
          <t>To establish what he already believes about his wife.</t>
        </is>
      </c>
      <c r="Z65" s="19" t="inlineStr">
        <is>
          <t>A sister's insinuation, a wife he will not trust, and a brother whose secrecy has an innocent explanation.</t>
        </is>
      </c>
      <c r="AA65" s="19" t="inlineStr">
        <is>
          <t>From a husband in a working marriage to one who has destroyed it on no evidence, and who proposes to another woman while his wife is carrying his child.</t>
        </is>
      </c>
      <c r="AB65" s="19" t="inlineStr">
        <is>
          <t>Morally mixed</t>
        </is>
      </c>
      <c r="AC65" s="5" t="inlineStr">
        <is>
          <t>Not documented in full; the article's summary breaks off with Deepa telling Sita that her husband is cheating on her.</t>
        </is>
      </c>
      <c r="AD65" s="5" t="inlineStr">
        <is>
          <t>Jaya Prada; Anita Raj</t>
        </is>
      </c>
      <c r="AE65" s="5" t="inlineStr">
        <is>
          <t>Central</t>
        </is>
      </c>
      <c r="AF65" s="20" t="n">
        <v>9</v>
      </c>
      <c r="AG65" s="19" t="inlineStr">
        <is>
          <t>Relationship damaged by mistrust</t>
        </is>
      </c>
      <c r="AH65" s="21" t="n">
        <v>1.8</v>
      </c>
      <c r="AI65" s="5" t="n"/>
      <c r="AJ65" s="5" t="n"/>
      <c r="AK65" s="5" t="n"/>
      <c r="AL65" s="21" t="n">
        <v>8</v>
      </c>
      <c r="AM65" s="5" t="inlineStr">
        <is>
          <t>INR crore</t>
        </is>
      </c>
      <c r="AN65" s="5" t="inlineStr">
        <is>
          <t>Hit</t>
        </is>
      </c>
      <c r="AO65" s="18" t="n"/>
      <c r="AP65" s="19" t="inlineStr">
        <is>
          <t>The article records that the film performed well at the box office and was declared a hit.</t>
        </is>
      </c>
      <c r="AQ65" s="19" t="n"/>
      <c r="AR65" s="5" t="inlineStr">
        <is>
          <t>SOURCE-001; SOURCE-061</t>
        </is>
      </c>
      <c r="AS65" s="5" t="inlineStr">
        <is>
          <t>Medium</t>
        </is>
      </c>
      <c r="AT65" s="5" t="inlineStr">
        <is>
          <t>A remake of a Telugu film the article names as Santhi. Two relationships are scored: the marriage to Sita, destroyed by his own suspicion, and Deepa, the doctor he proposes to while still married. The film's real subject is the mother-in-law's violence towards her daughters-in-law, and its resolution has the father-in-law beat his wife while the family applauds, which is recorded in the pairing rows' critical readings.</t>
        </is>
      </c>
    </row>
    <row r="66" ht="109" customHeight="1">
      <c r="A66" s="15" t="inlineStr">
        <is>
          <t>FILM-065</t>
        </is>
      </c>
      <c r="B66" s="5" t="inlineStr">
        <is>
          <t>Vijay</t>
        </is>
      </c>
      <c r="C66" s="16" t="n">
        <v>32367</v>
      </c>
      <c r="D66" s="17" t="n">
        <v>1988</v>
      </c>
      <c r="E66" s="5" t="inlineStr">
        <is>
          <t>1980s</t>
        </is>
      </c>
      <c r="F66" s="5" t="inlineStr">
        <is>
          <t>Hindi</t>
        </is>
      </c>
      <c r="G66" s="5" t="inlineStr">
        <is>
          <t>Action drama</t>
        </is>
      </c>
      <c r="H66" s="5" t="inlineStr">
        <is>
          <t>Family melodrama</t>
        </is>
      </c>
      <c r="I66" s="17" t="n">
        <v>172</v>
      </c>
      <c r="J66" s="5" t="inlineStr">
        <is>
          <t>Yash Chopra</t>
        </is>
      </c>
      <c r="K66" s="5" t="inlineStr">
        <is>
          <t>Yash Chopra</t>
        </is>
      </c>
      <c r="L66" s="5" t="inlineStr">
        <is>
          <t>Yash Raj Films</t>
        </is>
      </c>
      <c r="M66" s="5" t="inlineStr">
        <is>
          <t>Sachin Bhowmick; Akhtar ul Iman</t>
        </is>
      </c>
      <c r="N66" s="5" t="n"/>
      <c r="O66" s="5" t="inlineStr">
        <is>
          <t>Shiv–Hari</t>
        </is>
      </c>
      <c r="P66" s="5" t="n"/>
      <c r="Q66" s="5" t="inlineStr">
        <is>
          <t>Nida Fazli</t>
        </is>
      </c>
      <c r="R66" s="5" t="inlineStr">
        <is>
          <t>Vikram Bhardwaj</t>
        </is>
      </c>
      <c r="S66" s="5" t="n"/>
      <c r="T66" s="5" t="inlineStr">
        <is>
          <t>Supporting</t>
        </is>
      </c>
      <c r="U66" s="20" t="n">
        <v>3</v>
      </c>
      <c r="V66" s="5" t="inlineStr">
        <is>
          <t>Not documented</t>
        </is>
      </c>
      <c r="W66" s="5" t="inlineStr">
        <is>
          <t>Grandson of the tycoon Yodhraj Bhalla, raised in his palatial house after his mother returned to it, and estranged from his living father</t>
        </is>
      </c>
      <c r="X66" s="19" t="inlineStr">
        <is>
          <t>Vikram is raised in his grandfather's house by a mother who left his father there, and grows up without knowing that Arjun, the friend he makes, is his cousin. When Yodhraj's old cruelties resurface and the two young men are turned into enemies, the rift extends to their girlfriends, and Vikram finds himself on the side of the man who ruined both their fathers.</t>
        </is>
      </c>
      <c r="Y66" s="19" t="inlineStr">
        <is>
          <t>To hold his grandfather's line in a quarrel whose origins he does not know.</t>
        </is>
      </c>
      <c r="Z66" s="19" t="inlineStr">
        <is>
          <t>A friend who turns out to be his cousin, and a grandfather whose old decisions caused everything.</t>
        </is>
      </c>
      <c r="AA66" s="19" t="inlineStr">
        <is>
          <t>From a young man secure in his grandfather's house to one discovering what that security was built on.</t>
        </is>
      </c>
      <c r="AB66" s="19" t="inlineStr">
        <is>
          <t>Good</t>
        </is>
      </c>
      <c r="AC66" s="5" t="inlineStr">
        <is>
          <t>Not documented; the article's plot breaks off after Arjun's reunion with his dying mother.</t>
        </is>
      </c>
      <c r="AD66" s="5" t="inlineStr">
        <is>
          <t>Sonam</t>
        </is>
      </c>
      <c r="AE66" s="5" t="inlineStr">
        <is>
          <t>Secondary</t>
        </is>
      </c>
      <c r="AF66" s="20" t="n">
        <v>5</v>
      </c>
      <c r="AG66" s="19" t="inlineStr">
        <is>
          <t>Romance subordinate to another genre</t>
        </is>
      </c>
      <c r="AH66" s="5" t="n"/>
      <c r="AI66" s="5" t="n"/>
      <c r="AJ66" s="5" t="n"/>
      <c r="AK66" s="5" t="n"/>
      <c r="AL66" s="5" t="n"/>
      <c r="AM66" s="5" t="n"/>
      <c r="AN66" s="5" t="n"/>
      <c r="AO66" s="18" t="n"/>
      <c r="AP66" s="19" t="n"/>
      <c r="AQ66" s="19" t="inlineStr">
        <is>
          <t>A Yash Chopra multi-starrer; the article records that Anupam Kher won the Filmfare Award for Best Supporting Actor for it.</t>
        </is>
      </c>
      <c r="AR66" s="5" t="inlineStr">
        <is>
          <t>SOURCE-001; SOURCE-062</t>
        </is>
      </c>
      <c r="AS66" s="5" t="inlineStr">
        <is>
          <t>Low</t>
        </is>
      </c>
      <c r="AT66" s="5" t="inlineStr">
        <is>
          <t>Third-billed in a large ensemble headed by Rajesh Khanna and Hema Malini. The article states that the enmity between Arjun and Vikram creates a rift between their girlfriends Sapna and Nisha, which pairs Kapoor's Vikram with Sonam's Nisha Mehra, but the relationship is not developed anywhere in the summary, so no Romances row is created and no scores are assigned.</t>
        </is>
      </c>
    </row>
    <row r="67" ht="79" customHeight="1">
      <c r="A67" s="15" t="inlineStr">
        <is>
          <t>FILM-066</t>
        </is>
      </c>
      <c r="B67" s="5" t="inlineStr">
        <is>
          <t>Akarshan</t>
        </is>
      </c>
      <c r="C67" s="16" t="n">
        <v>32423</v>
      </c>
      <c r="D67" s="17" t="n">
        <v>1988</v>
      </c>
      <c r="E67" s="5" t="inlineStr">
        <is>
          <t>1980s</t>
        </is>
      </c>
      <c r="F67" s="5" t="inlineStr">
        <is>
          <t>Hindi</t>
        </is>
      </c>
      <c r="G67" s="5" t="inlineStr">
        <is>
          <t>Romance</t>
        </is>
      </c>
      <c r="H67" s="5" t="n"/>
      <c r="I67" s="18" t="n"/>
      <c r="J67" s="5" t="inlineStr">
        <is>
          <t>Tanvir Ahmed</t>
        </is>
      </c>
      <c r="K67" s="5" t="inlineStr">
        <is>
          <t>Pramod Kumar Saraswat</t>
        </is>
      </c>
      <c r="L67" s="5" t="n"/>
      <c r="M67" s="5" t="n"/>
      <c r="N67" s="5" t="n"/>
      <c r="O67" s="5" t="inlineStr">
        <is>
          <t>Ajit Singh</t>
        </is>
      </c>
      <c r="P67" s="5" t="n"/>
      <c r="Q67" s="5" t="n"/>
      <c r="R67" s="5" t="inlineStr">
        <is>
          <t>Himself</t>
        </is>
      </c>
      <c r="S67" s="5" t="n"/>
      <c r="T67" s="5" t="inlineStr">
        <is>
          <t>Self appearance</t>
        </is>
      </c>
      <c r="U67" s="18" t="n"/>
      <c r="V67" s="5" t="n"/>
      <c r="W67" s="5" t="n"/>
      <c r="X67" s="19" t="inlineStr">
        <is>
          <t>One of a long row of star walk-ons in Tanvir Ahmed's romance about an actress, Priya, who falls for the co-star who saves her during a stunt and then nurses him after he is paralysed. Kapoor appears as himself alongside Amitabh Bachchan, Rekha, Anil Kapoor, Smita Patil, Parveen Babi and others, with no character and no part in the story.</t>
        </is>
      </c>
      <c r="Y67" s="19" t="n"/>
      <c r="Z67" s="19" t="n"/>
      <c r="AA67" s="19" t="n"/>
      <c r="AB67" s="19" t="inlineStr">
        <is>
          <t>Not applicable</t>
        </is>
      </c>
      <c r="AC67" s="5" t="n"/>
      <c r="AD67" s="5" t="n"/>
      <c r="AE67" s="5" t="inlineStr">
        <is>
          <t>None</t>
        </is>
      </c>
      <c r="AF67" s="20" t="n">
        <v>9</v>
      </c>
      <c r="AG67" s="19" t="inlineStr">
        <is>
          <t>No meaningful romance</t>
        </is>
      </c>
      <c r="AH67" s="5" t="n"/>
      <c r="AI67" s="5" t="n"/>
      <c r="AJ67" s="5" t="n"/>
      <c r="AK67" s="5" t="n"/>
      <c r="AL67" s="5" t="n"/>
      <c r="AM67" s="5" t="n"/>
      <c r="AN67" s="5" t="n"/>
      <c r="AO67" s="18" t="n"/>
      <c r="AP67" s="19" t="n"/>
      <c r="AQ67" s="19" t="n"/>
      <c r="AR67" s="5" t="inlineStr">
        <is>
          <t>SOURCE-001; SOURCE-063</t>
        </is>
      </c>
      <c r="AS67" s="5" t="inlineStr">
        <is>
          <t>Medium</t>
        </is>
      </c>
      <c r="AT67" s="5" t="inlineStr">
        <is>
          <t>Filmography notes: Guest appearance. The cast list names a very large number of stars in special appearances. Romance centrality reflects the film, which is wholly a romance; Kapoor's appearance carries none of it.</t>
        </is>
      </c>
    </row>
    <row r="68" ht="199" customHeight="1">
      <c r="A68" s="15" t="inlineStr">
        <is>
          <t>FILM-067</t>
        </is>
      </c>
      <c r="B68" s="5" t="inlineStr">
        <is>
          <t>Naqab</t>
        </is>
      </c>
      <c r="C68" s="5" t="inlineStr">
        <is>
          <t>1989</t>
        </is>
      </c>
      <c r="D68" s="17" t="n">
        <v>1989</v>
      </c>
      <c r="E68" s="5" t="inlineStr">
        <is>
          <t>1980s</t>
        </is>
      </c>
      <c r="F68" s="5" t="n"/>
      <c r="G68" s="5" t="n"/>
      <c r="H68" s="5" t="n"/>
      <c r="I68" s="18" t="n"/>
      <c r="J68" s="5" t="n"/>
      <c r="K68" s="5" t="n"/>
      <c r="L68" s="5" t="n"/>
      <c r="M68" s="5" t="n"/>
      <c r="N68" s="5" t="n"/>
      <c r="O68" s="5" t="n"/>
      <c r="P68" s="5" t="n"/>
      <c r="Q68" s="5" t="n"/>
      <c r="R68" s="5" t="inlineStr">
        <is>
          <t>Imran</t>
        </is>
      </c>
      <c r="S68" s="5" t="n"/>
      <c r="T68" s="5" t="n"/>
      <c r="U68" s="18" t="n"/>
      <c r="V68" s="5" t="n"/>
      <c r="W68" s="5" t="n"/>
      <c r="X68" s="19" t="inlineStr">
        <is>
          <t>The filmography table gives the title, the year 1989 and the character name Imran, and nothing else. No Wikipedia article exists under any spelling, so the role type, the co-stars, the director and every narrative field are undocumented.</t>
        </is>
      </c>
      <c r="Y68" s="19" t="n"/>
      <c r="Z68" s="19" t="n"/>
      <c r="AA68" s="19" t="n"/>
      <c r="AB68" s="19" t="n"/>
      <c r="AC68" s="5" t="n"/>
      <c r="AD68" s="5" t="n"/>
      <c r="AE68" s="5" t="n"/>
      <c r="AF68" s="18" t="n"/>
      <c r="AG68" s="19" t="n"/>
      <c r="AH68" s="5" t="n"/>
      <c r="AI68" s="5" t="n"/>
      <c r="AJ68" s="5" t="n"/>
      <c r="AK68" s="5" t="n"/>
      <c r="AL68" s="5" t="n"/>
      <c r="AM68" s="5" t="n"/>
      <c r="AN68" s="5" t="n"/>
      <c r="AO68" s="18" t="n"/>
      <c r="AP68" s="19" t="n"/>
      <c r="AQ68" s="19" t="n"/>
      <c r="AR68" s="5" t="inlineStr">
        <is>
          <t>SOURCE-001</t>
        </is>
      </c>
      <c r="AS68" s="5" t="inlineStr">
        <is>
          <t>Unknown</t>
        </is>
      </c>
      <c r="AT68" s="5" t="inlineStr">
        <is>
          <t>No Wikipedia film article; fields come from the filmography table. No Wikipedia article under any spelling; see _rerun_warning. Released in 1989, directed by Raj Khosla, with Kapoor as Imran (matching the table's role) opposite Farha Naaz. Reportedly he replaced Vinod Khanna. Sourced only from search summaries and aggregator listings, so the row stays at Low confidence. One of the nine article-less films, and one of the three caught only by hand: the filmography table links it as [[Naqab 1989|Naqab]], a malformed target with no article under any spelling. The repair is recorded in extract_config.json. All fields are deliberately left blank rather than guessed.</t>
        </is>
      </c>
    </row>
    <row r="69" ht="109" customHeight="1">
      <c r="A69" s="15" t="inlineStr">
        <is>
          <t>FILM-068</t>
        </is>
      </c>
      <c r="B69" s="5" t="inlineStr">
        <is>
          <t>Gharana</t>
        </is>
      </c>
      <c r="C69" s="16" t="n">
        <v>32509</v>
      </c>
      <c r="D69" s="17" t="n">
        <v>1989</v>
      </c>
      <c r="E69" s="5" t="inlineStr">
        <is>
          <t>1980s</t>
        </is>
      </c>
      <c r="F69" s="5" t="inlineStr">
        <is>
          <t>Hindi</t>
        </is>
      </c>
      <c r="G69" s="5" t="inlineStr">
        <is>
          <t>Drama</t>
        </is>
      </c>
      <c r="H69" s="5" t="inlineStr">
        <is>
          <t>Family melodrama</t>
        </is>
      </c>
      <c r="I69" s="18" t="n"/>
      <c r="J69" s="5" t="inlineStr">
        <is>
          <t>K. Ravi Shankar</t>
        </is>
      </c>
      <c r="K69" s="5" t="inlineStr">
        <is>
          <t>K. Ravi Shankar; A. Krishnamoorthi</t>
        </is>
      </c>
      <c r="L69" s="5" t="inlineStr">
        <is>
          <t>Tina Films International</t>
        </is>
      </c>
      <c r="M69" s="5" t="inlineStr">
        <is>
          <t>Abrar Alvi; Gyandev Agnihotri</t>
        </is>
      </c>
      <c r="N69" s="5" t="n"/>
      <c r="O69" s="5" t="inlineStr">
        <is>
          <t>Laxmikant–Pyarelal</t>
        </is>
      </c>
      <c r="P69" s="5" t="n"/>
      <c r="Q69" s="5" t="inlineStr">
        <is>
          <t>Anand Bakshi</t>
        </is>
      </c>
      <c r="R69" s="5" t="inlineStr">
        <is>
          <t>Vijay Mehra</t>
        </is>
      </c>
      <c r="S69" s="5" t="n"/>
      <c r="T69" s="5" t="inlineStr">
        <is>
          <t>Lead</t>
        </is>
      </c>
      <c r="U69" s="20" t="n">
        <v>1</v>
      </c>
      <c r="V69" s="5" t="inlineStr">
        <is>
          <t>Newspaper reporter</t>
        </is>
      </c>
      <c r="W69" s="5" t="inlineStr">
        <is>
          <t>Elder son of a wealthy, generous family ruined by a framed diamond theft and living on the charity of a former employee</t>
        </is>
      </c>
      <c r="X69" s="19" t="inlineStr">
        <is>
          <t>Vijay takes work as a reporter after his father is framed for theft, stripped of everything and paralysed by a stroke. Unable to raise the seven lakh dowry his sister's marriage requires, he abandons Radha, the colleague he loves and whose family has already blessed the match, and marries his boss's daughter Naina for exactly that sum, letting his family and Radha believe he married for money.</t>
        </is>
      </c>
      <c r="Y69" s="19" t="inlineStr">
        <is>
          <t>To find seven lakh rupees for his sister's wedding without telling anyone what it cost him.</t>
        </is>
      </c>
      <c r="Z69" s="19" t="inlineStr">
        <is>
          <t>A family destroyed by a false accusation, and a dowry he can only raise by selling his own marriage.</t>
        </is>
      </c>
      <c r="AA69" s="19" t="inlineStr">
        <is>
          <t>From a young man in an approved love match to one who takes the blame for mercenary motives rather than admit the sacrifice.</t>
        </is>
      </c>
      <c r="AB69" s="19" t="inlineStr">
        <is>
          <t>Good</t>
        </is>
      </c>
      <c r="AC69" s="5" t="inlineStr">
        <is>
          <t>Widowed when Naina is killed by Dharamdas's goon; she asks Radha and Vijay to marry before she dies, and the family is reunited with his father's name cleared.</t>
        </is>
      </c>
      <c r="AD69" s="5" t="inlineStr">
        <is>
          <t>Meenakshi Seshadri; Jaya Prada</t>
        </is>
      </c>
      <c r="AE69" s="5" t="inlineStr">
        <is>
          <t>Central</t>
        </is>
      </c>
      <c r="AF69" s="20" t="n">
        <v>9</v>
      </c>
      <c r="AG69" s="19" t="inlineStr">
        <is>
          <t>Multiple romantic relationships</t>
        </is>
      </c>
      <c r="AH69" s="5" t="n"/>
      <c r="AI69" s="5" t="n"/>
      <c r="AJ69" s="5" t="n"/>
      <c r="AK69" s="5" t="n"/>
      <c r="AL69" s="5" t="n"/>
      <c r="AM69" s="5" t="n"/>
      <c r="AN69" s="5" t="n"/>
      <c r="AO69" s="18" t="n"/>
      <c r="AP69" s="19" t="n"/>
      <c r="AQ69" s="19" t="n"/>
      <c r="AR69" s="5" t="inlineStr">
        <is>
          <t>SOURCE-001; SOURCE-069</t>
        </is>
      </c>
      <c r="AS69" s="5" t="inlineStr">
        <is>
          <t>Medium</t>
        </is>
      </c>
      <c r="AT69" s="5" t="inlineStr">
        <is>
          <t>Two relationships are scored: Radha, the colleague he renounces without explanation, and Naina, whom he marries for the dowry money and who releases him as she dies. The structure is a deliberate inversion of the lover-boy pattern, since the hero appears mercenary precisely because he is sacrificing, and the film withholds his motive from every other character.</t>
        </is>
      </c>
    </row>
    <row r="70" ht="124" customHeight="1">
      <c r="A70" s="15" t="inlineStr">
        <is>
          <t>FILM-069</t>
        </is>
      </c>
      <c r="B70" s="5" t="inlineStr">
        <is>
          <t>Hathyar</t>
        </is>
      </c>
      <c r="C70" s="16" t="n">
        <v>32577</v>
      </c>
      <c r="D70" s="17" t="n">
        <v>1989</v>
      </c>
      <c r="E70" s="5" t="inlineStr">
        <is>
          <t>1980s</t>
        </is>
      </c>
      <c r="F70" s="5" t="inlineStr">
        <is>
          <t>Hindi</t>
        </is>
      </c>
      <c r="G70" s="5" t="inlineStr">
        <is>
          <t>Action crime</t>
        </is>
      </c>
      <c r="H70" s="5" t="inlineStr">
        <is>
          <t>Social drama</t>
        </is>
      </c>
      <c r="I70" s="17" t="n">
        <v>170</v>
      </c>
      <c r="J70" s="5" t="inlineStr">
        <is>
          <t>J. P. Dutta</t>
        </is>
      </c>
      <c r="K70" s="5" t="inlineStr">
        <is>
          <t>F. A. Nadiadwala</t>
        </is>
      </c>
      <c r="L70" s="5" t="n"/>
      <c r="M70" s="5" t="inlineStr">
        <is>
          <t>J. P. Dutta</t>
        </is>
      </c>
      <c r="N70" s="5" t="n"/>
      <c r="O70" s="5" t="inlineStr">
        <is>
          <t>Laxmikant–Pyarelal</t>
        </is>
      </c>
      <c r="P70" s="5" t="n"/>
      <c r="Q70" s="5" t="n"/>
      <c r="R70" s="5" t="inlineStr">
        <is>
          <t>Samiullah Khan</t>
        </is>
      </c>
      <c r="S70" s="5" t="n"/>
      <c r="T70" s="5" t="inlineStr">
        <is>
          <t>Supporting</t>
        </is>
      </c>
      <c r="U70" s="20" t="n">
        <v>2</v>
      </c>
      <c r="V70" s="5" t="inlineStr">
        <is>
          <t>Not documented; he refuses to work in his brother's criminal organisation</t>
        </is>
      </c>
      <c r="W70" s="5" t="inlineStr">
        <is>
          <t>Younger brother of the underworld crime lord Khushal Khan, and the respectable member of the family</t>
        </is>
      </c>
      <c r="X70" s="19" t="inlineStr">
        <is>
          <t>Samiullah Khan is the crime lord's younger brother who refuses any part in the business and is trusted in the neighbourhood because of it. His usefulness to Avinash's destitute family is what draws them into the orbit of the gang war between Khushal Khan and Rajan Anna, and he functions as the one decent connection between the poor and the criminal world.</t>
        </is>
      </c>
      <c r="Y70" s="19" t="inlineStr">
        <is>
          <t>To keep clear of his brother's business while remaining of use to his neighbours.</t>
        </is>
      </c>
      <c r="Z70" s="19" t="inlineStr">
        <is>
          <t>A brother whose trade he rejects, and a rivalry that engulfs the family he tries to help.</t>
        </is>
      </c>
      <c r="AA70" s="19" t="inlineStr">
        <is>
          <t>Not documented; the article's plot follows Avinash's descent rather than Sami's response to it.</t>
        </is>
      </c>
      <c r="AB70" s="19" t="inlineStr">
        <is>
          <t>Good</t>
        </is>
      </c>
      <c r="AC70" s="5" t="inlineStr">
        <is>
          <t>Not documented; the article's summary ends with Avinash caught between the two gang bosses.</t>
        </is>
      </c>
      <c r="AD70" s="5" t="n"/>
      <c r="AE70" s="5" t="inlineStr">
        <is>
          <t>None</t>
        </is>
      </c>
      <c r="AF70" s="18" t="n"/>
      <c r="AG70" s="19" t="inlineStr">
        <is>
          <t>No meaningful romance</t>
        </is>
      </c>
      <c r="AH70" s="5" t="n"/>
      <c r="AI70" s="5" t="n"/>
      <c r="AJ70" s="5" t="n"/>
      <c r="AK70" s="5" t="n"/>
      <c r="AL70" s="5" t="n"/>
      <c r="AM70" s="5" t="n"/>
      <c r="AN70" s="5" t="n"/>
      <c r="AO70" s="18" t="n"/>
      <c r="AP70" s="19" t="n"/>
      <c r="AQ70" s="19" t="n"/>
      <c r="AR70" s="5" t="inlineStr">
        <is>
          <t>SOURCE-001; SOURCE-068</t>
        </is>
      </c>
      <c r="AS70" s="5" t="inlineStr">
        <is>
          <t>Low</t>
        </is>
      </c>
      <c r="AT70" s="5" t="inlineStr">
        <is>
          <t>Second-billed to Dharmendra in a J. P. Dutta ensemble, but the article's plot is written entirely around Sanjay Dutt's Avinash and gives Sami only his position in the family. Amrita Singh and Sangeeta Bijlani are billed but the summary does not attach either to Kapoor's character, so romance presence is recorded as None on the article's silence rather than asserted from the billing, and no Romances row is created.</t>
        </is>
      </c>
    </row>
    <row r="71" ht="109" customHeight="1">
      <c r="A71" s="15" t="inlineStr">
        <is>
          <t>FILM-070</t>
        </is>
      </c>
      <c r="B71" s="5" t="inlineStr">
        <is>
          <t>Bade Ghar Ki Beti</t>
        </is>
      </c>
      <c r="C71" s="16" t="n">
        <v>32654</v>
      </c>
      <c r="D71" s="17" t="n">
        <v>1989</v>
      </c>
      <c r="E71" s="5" t="inlineStr">
        <is>
          <t>1980s</t>
        </is>
      </c>
      <c r="F71" s="5" t="inlineStr">
        <is>
          <t>Hindi</t>
        </is>
      </c>
      <c r="G71" s="5" t="inlineStr">
        <is>
          <t>Drama</t>
        </is>
      </c>
      <c r="H71" s="5" t="inlineStr">
        <is>
          <t>Family melodrama</t>
        </is>
      </c>
      <c r="I71" s="17" t="n">
        <v>18</v>
      </c>
      <c r="J71" s="5" t="inlineStr">
        <is>
          <t>Kalpataru</t>
        </is>
      </c>
      <c r="K71" s="5" t="inlineStr">
        <is>
          <t>S.K. Jain; B.K. Jaiswal; Mohanji Prasad</t>
        </is>
      </c>
      <c r="L71" s="5" t="n"/>
      <c r="M71" s="5" t="inlineStr">
        <is>
          <t>Mohanji Prasad; Kader Khan; K. B. Pathak</t>
        </is>
      </c>
      <c r="N71" s="5" t="n"/>
      <c r="O71" s="5" t="inlineStr">
        <is>
          <t>Laxmikant–Pyarelal</t>
        </is>
      </c>
      <c r="P71" s="5" t="n"/>
      <c r="Q71" s="5" t="inlineStr">
        <is>
          <t>Santosh Anand; Hasan Kamal</t>
        </is>
      </c>
      <c r="R71" s="5" t="inlineStr">
        <is>
          <t>Gopal</t>
        </is>
      </c>
      <c r="S71" s="5" t="n"/>
      <c r="T71" s="5" t="inlineStr">
        <is>
          <t>Co-lead</t>
        </is>
      </c>
      <c r="U71" s="20" t="n">
        <v>2</v>
      </c>
      <c r="V71" s="5" t="inlineStr">
        <is>
          <t>Musician, who becomes well known</t>
        </is>
      </c>
      <c r="W71" s="5" t="inlineStr">
        <is>
          <t>Fourth son of a wealthy household; married to the daughter of his family's own servant</t>
        </is>
      </c>
      <c r="X71" s="19" t="inlineStr">
        <is>
          <t>Gopal is married to Mala, his family's servant's daughter, at his father's wish, and the two of them are the only members of the house who behave decently. After the patriarch's death they move out, and Gopal builds a career as a musician while his brothers mortgage the family home, throw their mother out and live off his earnings, telling him she has gone on a pilgrimage.</t>
        </is>
      </c>
      <c r="Y71" s="19" t="inlineStr">
        <is>
          <t>To make a life with Mala outside a house that has turned poisonous.</t>
        </is>
      </c>
      <c r="Z71" s="19" t="inlineStr">
        <is>
          <t>Three brothers and their wives who neglect and finally evict their own mother, and then live on his money.</t>
        </is>
      </c>
      <c r="AA71" s="19" t="inlineStr">
        <is>
          <t>From the youngest son deferring to his family to a man who confronts his brothers over what they did to their mother.</t>
        </is>
      </c>
      <c r="AB71" s="19" t="inlineStr">
        <is>
          <t>Good</t>
        </is>
      </c>
      <c r="AC71" s="5" t="inlineStr">
        <is>
          <t>Discovers the truth about his mother and confronts his brothers.</t>
        </is>
      </c>
      <c r="AD71" s="5" t="inlineStr">
        <is>
          <t>Meenakshi Seshadri</t>
        </is>
      </c>
      <c r="AE71" s="5" t="inlineStr">
        <is>
          <t>Major</t>
        </is>
      </c>
      <c r="AF71" s="20" t="n">
        <v>7</v>
      </c>
      <c r="AG71" s="19" t="inlineStr">
        <is>
          <t>United couple versus external world</t>
        </is>
      </c>
      <c r="AH71" s="5" t="n"/>
      <c r="AI71" s="5" t="n"/>
      <c r="AJ71" s="5" t="n"/>
      <c r="AK71" s="5" t="n"/>
      <c r="AL71" s="5" t="n"/>
      <c r="AM71" s="5" t="n"/>
      <c r="AN71" s="5" t="n"/>
      <c r="AO71" s="18" t="n"/>
      <c r="AP71" s="19" t="n"/>
      <c r="AQ71" s="19" t="n"/>
      <c r="AR71" s="5" t="inlineStr">
        <is>
          <t>SOURCE-001; SOURCE-064</t>
        </is>
      </c>
      <c r="AS71" s="5" t="inlineStr">
        <is>
          <t>Medium</t>
        </is>
      </c>
      <c r="AT71" s="5" t="inlineStr">
        <is>
          <t>Meenakshi Seshadri is top-billed and the film's title refers to her. The marriage crosses the widest possible class line inside a single household, a servant's daughter married to the master's son, and is presented as the one sound relationship in the family, which is why it is scored as a united couple rather than as a class conflict.</t>
        </is>
      </c>
    </row>
    <row r="72" ht="109" customHeight="1">
      <c r="A72" s="15" t="inlineStr">
        <is>
          <t>FILM-071</t>
        </is>
      </c>
      <c r="B72" s="5" t="inlineStr">
        <is>
          <t>Paraya Ghar</t>
        </is>
      </c>
      <c r="C72" s="16" t="n">
        <v>32668</v>
      </c>
      <c r="D72" s="17" t="n">
        <v>1989</v>
      </c>
      <c r="E72" s="5" t="inlineStr">
        <is>
          <t>1980s</t>
        </is>
      </c>
      <c r="F72" s="5" t="inlineStr">
        <is>
          <t>Hindi</t>
        </is>
      </c>
      <c r="G72" s="5" t="inlineStr">
        <is>
          <t>Drama</t>
        </is>
      </c>
      <c r="H72" s="5" t="n"/>
      <c r="I72" s="18" t="n"/>
      <c r="J72" s="5" t="inlineStr">
        <is>
          <t>Kalpataru</t>
        </is>
      </c>
      <c r="K72" s="5" t="inlineStr">
        <is>
          <t>S Waris Ali</t>
        </is>
      </c>
      <c r="L72" s="5" t="n"/>
      <c r="M72" s="5" t="n"/>
      <c r="N72" s="5" t="n"/>
      <c r="O72" s="5" t="inlineStr">
        <is>
          <t>Laxmikant–Pyarelal</t>
        </is>
      </c>
      <c r="P72" s="5" t="n"/>
      <c r="Q72" s="5" t="n"/>
      <c r="R72" s="5" t="inlineStr">
        <is>
          <t>Arun</t>
        </is>
      </c>
      <c r="S72" s="5" t="n"/>
      <c r="T72" s="5" t="inlineStr">
        <is>
          <t>Lead</t>
        </is>
      </c>
      <c r="U72" s="20" t="n">
        <v>1</v>
      </c>
      <c r="V72" s="5" t="inlineStr">
        <is>
          <t>Not documented</t>
        </is>
      </c>
      <c r="W72" s="5" t="n"/>
      <c r="X72" s="19" t="inlineStr">
        <is>
          <t>Kapoor plays Arun in Kalpataru's film, top-billed alongside Jaya Prada, with Raj Babbar, Aruna Irani, Madhavi, Sachin Pilgaonkar, Tanuja and Kader Khan in support. The article carries only an infobox and a soundtrack listing, with neither a plot section nor a cast list, so nothing about the role beyond the character's name is documented.</t>
        </is>
      </c>
      <c r="Y72" s="19" t="n"/>
      <c r="Z72" s="19" t="n"/>
      <c r="AA72" s="19" t="n"/>
      <c r="AB72" s="19" t="n"/>
      <c r="AC72" s="5" t="n"/>
      <c r="AD72" s="5" t="inlineStr">
        <is>
          <t>Jaya Prada</t>
        </is>
      </c>
      <c r="AE72" s="5" t="inlineStr">
        <is>
          <t>Major</t>
        </is>
      </c>
      <c r="AF72" s="18" t="n"/>
      <c r="AG72" s="19" t="n"/>
      <c r="AH72" s="5" t="n"/>
      <c r="AI72" s="5" t="n"/>
      <c r="AJ72" s="5" t="n"/>
      <c r="AK72" s="5" t="n"/>
      <c r="AL72" s="5" t="n"/>
      <c r="AM72" s="5" t="n"/>
      <c r="AN72" s="5" t="n"/>
      <c r="AO72" s="18" t="n"/>
      <c r="AP72" s="19" t="n"/>
      <c r="AQ72" s="19" t="n"/>
      <c r="AR72" s="5" t="inlineStr">
        <is>
          <t>SOURCE-001; SOURCE-065</t>
        </is>
      </c>
      <c r="AS72" s="5" t="inlineStr">
        <is>
          <t>Low</t>
        </is>
      </c>
      <c r="AT72" s="5" t="inlineStr">
        <is>
          <t>The article has no plot section and no cast list; the character name comes from the filmography table and the co-stars from the article's lead sentence. Romance presence is inferred from the billing of Kapoor and Jaya Prada as the leads and is marked Low confidence; no Romances row is created and no scores are assigned. The third of five films Kalpataru directed him in.</t>
        </is>
      </c>
    </row>
    <row r="73" ht="94" customHeight="1">
      <c r="A73" s="15" t="inlineStr">
        <is>
          <t>FILM-072</t>
        </is>
      </c>
      <c r="B73" s="5" t="inlineStr">
        <is>
          <t>Khoj</t>
        </is>
      </c>
      <c r="C73" s="16" t="n">
        <v>32710</v>
      </c>
      <c r="D73" s="17" t="n">
        <v>1989</v>
      </c>
      <c r="E73" s="5" t="inlineStr">
        <is>
          <t>1980s</t>
        </is>
      </c>
      <c r="F73" s="5" t="inlineStr">
        <is>
          <t>Hindi</t>
        </is>
      </c>
      <c r="G73" s="5" t="inlineStr">
        <is>
          <t>Thriller</t>
        </is>
      </c>
      <c r="H73" s="5" t="inlineStr">
        <is>
          <t>Mystery</t>
        </is>
      </c>
      <c r="I73" s="18" t="n"/>
      <c r="J73" s="5" t="inlineStr">
        <is>
          <t>Keshu Ramsay</t>
        </is>
      </c>
      <c r="K73" s="5" t="inlineStr">
        <is>
          <t>Kiran Ramsay</t>
        </is>
      </c>
      <c r="L73" s="5" t="n"/>
      <c r="M73" s="5" t="n"/>
      <c r="N73" s="5" t="inlineStr">
        <is>
          <t>Remake of 1963 Bengali film Sesh Anka, which itself was previously remade into Hindi as Dhuan in 1981</t>
        </is>
      </c>
      <c r="O73" s="5" t="inlineStr">
        <is>
          <t>Bappi Lahiri</t>
        </is>
      </c>
      <c r="P73" s="5" t="n"/>
      <c r="Q73" s="5" t="n"/>
      <c r="R73" s="5" t="inlineStr">
        <is>
          <t>Ravi Kapoor</t>
        </is>
      </c>
      <c r="S73" s="5" t="n"/>
      <c r="T73" s="5" t="inlineStr">
        <is>
          <t>Lead</t>
        </is>
      </c>
      <c r="U73" s="20" t="n">
        <v>1</v>
      </c>
      <c r="V73" s="5" t="inlineStr">
        <is>
          <t>Not documented</t>
        </is>
      </c>
      <c r="W73" s="5" t="inlineStr">
        <is>
          <t>A married man with a daughter, holidaying abroad when the film opens</t>
        </is>
      </c>
      <c r="X73" s="19" t="inlineStr">
        <is>
          <t>Ravi's wife Anita vanishes from their hotel in Kathmandu. When a woman is produced at a church claiming to be her, he says flatly that she is not, and spends the rest of the film being dismantled: the wedding photographs, the family doctor, a police constable and finally his own daughter all identify the stranger as Anita, and every piece of evidence turns against him.</t>
        </is>
      </c>
      <c r="Y73" s="19" t="inlineStr">
        <is>
          <t>To prove that the woman everyone else recognises is not his wife.</t>
        </is>
      </c>
      <c r="Z73" s="19" t="inlineStr">
        <is>
          <t>An impostor the whole world corroborates, and an inspector for whom the husband is the obvious suspect.</t>
        </is>
      </c>
      <c r="AA73" s="19" t="inlineStr">
        <is>
          <t>From a man reporting a disappearance to one whose certainty about his own marriage is the only evidence he has left.</t>
        </is>
      </c>
      <c r="AB73" s="19" t="inlineStr">
        <is>
          <t>Good</t>
        </is>
      </c>
      <c r="AC73" s="5" t="inlineStr">
        <is>
          <t>Not documented; the article's summary ends with him unable to prove the woman is not Anita.</t>
        </is>
      </c>
      <c r="AD73" s="5" t="inlineStr">
        <is>
          <t>Kimi Katkar</t>
        </is>
      </c>
      <c r="AE73" s="5" t="inlineStr">
        <is>
          <t>Major</t>
        </is>
      </c>
      <c r="AF73" s="20" t="n">
        <v>7</v>
      </c>
      <c r="AG73" s="19" t="inlineStr">
        <is>
          <t>Relationship damaged by mistrust</t>
        </is>
      </c>
      <c r="AH73" s="5" t="n"/>
      <c r="AI73" s="5" t="n"/>
      <c r="AJ73" s="5" t="n"/>
      <c r="AK73" s="5" t="n"/>
      <c r="AL73" s="5" t="n"/>
      <c r="AM73" s="5" t="n"/>
      <c r="AN73" s="5" t="n"/>
      <c r="AO73" s="18" t="n"/>
      <c r="AP73" s="19" t="n"/>
      <c r="AQ73" s="19" t="n"/>
      <c r="AR73" s="5" t="inlineStr">
        <is>
          <t>SOURCE-001; SOURCE-066</t>
        </is>
      </c>
      <c r="AS73" s="5" t="inlineStr">
        <is>
          <t>Medium</t>
        </is>
      </c>
      <c r="AT73" s="5" t="inlineStr">
        <is>
          <t>A remake of the 1963 Bengali film Sesh Anka, previously remade in Hindi as Dhuan (1981). Kimi Katkar is credited as Sujata Singh / Anita Kapoor, that is as both the impostor and the wife, so a single Romances row records the marriage and the substitution together. Naseeruddin Shah plays the investigating inspector.</t>
        </is>
      </c>
    </row>
    <row r="74" ht="139" customHeight="1">
      <c r="A74" s="15" t="inlineStr">
        <is>
          <t>FILM-073</t>
        </is>
      </c>
      <c r="B74" s="5" t="inlineStr">
        <is>
          <t>Nigahen</t>
        </is>
      </c>
      <c r="C74" s="16" t="n">
        <v>32731</v>
      </c>
      <c r="D74" s="17" t="n">
        <v>1989</v>
      </c>
      <c r="E74" s="5" t="inlineStr">
        <is>
          <t>1980s</t>
        </is>
      </c>
      <c r="F74" s="5" t="inlineStr">
        <is>
          <t>Hindi</t>
        </is>
      </c>
      <c r="G74" s="5" t="inlineStr">
        <is>
          <t>Fantasy</t>
        </is>
      </c>
      <c r="H74" s="5" t="n"/>
      <c r="I74" s="18" t="n"/>
      <c r="J74" s="5" t="inlineStr">
        <is>
          <t>Harmesh Malhotra</t>
        </is>
      </c>
      <c r="K74" s="5" t="inlineStr">
        <is>
          <t>Harmesh Malhotra</t>
        </is>
      </c>
      <c r="L74" s="5" t="inlineStr">
        <is>
          <t>Eastern Films</t>
        </is>
      </c>
      <c r="M74" s="5" t="inlineStr">
        <is>
          <t>Jagmohan Kapoor; Harmesh Malhotra</t>
        </is>
      </c>
      <c r="N74" s="5" t="n"/>
      <c r="O74" s="5" t="inlineStr">
        <is>
          <t>Laxmikant–Pyarelal</t>
        </is>
      </c>
      <c r="P74" s="5" t="n"/>
      <c r="Q74" s="5" t="inlineStr">
        <is>
          <t>Anand Bakshi</t>
        </is>
      </c>
      <c r="R74" s="5" t="inlineStr">
        <is>
          <t>Rajiv</t>
        </is>
      </c>
      <c r="S74" s="5" t="n"/>
      <c r="T74" s="5" t="inlineStr">
        <is>
          <t>Cameo</t>
        </is>
      </c>
      <c r="U74" s="18" t="n"/>
      <c r="V74" s="5" t="inlineStr">
        <is>
          <t>Not documented</t>
        </is>
      </c>
      <c r="W74" s="5" t="n"/>
      <c r="X74" s="19" t="inlineStr">
        <is>
          <t>Kapoor appears only in archive footage from Nagina, as Rajiv, the husband of the shape-shifting Rajni and the father of the sequel's heroine Neelam. Both parents are dead before this film begins, killed in a car accident, so the credit is a reuse of existing material rather than a new performance.</t>
        </is>
      </c>
      <c r="Y74" s="19" t="n"/>
      <c r="Z74" s="19" t="n"/>
      <c r="AA74" s="19" t="n"/>
      <c r="AB74" s="19" t="inlineStr">
        <is>
          <t>Not applicable</t>
        </is>
      </c>
      <c r="AC74" s="5" t="n"/>
      <c r="AD74" s="5" t="n"/>
      <c r="AE74" s="5" t="inlineStr">
        <is>
          <t>None</t>
        </is>
      </c>
      <c r="AF74" s="20" t="n">
        <v>8</v>
      </c>
      <c r="AG74" s="19" t="inlineStr">
        <is>
          <t>No meaningful romance</t>
        </is>
      </c>
      <c r="AH74" s="5" t="n"/>
      <c r="AI74" s="5" t="n"/>
      <c r="AJ74" s="5" t="n"/>
      <c r="AK74" s="5" t="n"/>
      <c r="AL74" s="5" t="n"/>
      <c r="AM74" s="5" t="n"/>
      <c r="AN74" s="5" t="n"/>
      <c r="AO74" s="18" t="n"/>
      <c r="AP74" s="19" t="n"/>
      <c r="AQ74" s="19" t="n"/>
      <c r="AR74" s="5" t="inlineStr">
        <is>
          <t>SOURCE-001; SOURCE-070</t>
        </is>
      </c>
      <c r="AS74" s="5" t="inlineStr">
        <is>
          <t>Medium</t>
        </is>
      </c>
      <c r="AT74" s="5" t="inlineStr">
        <is>
          <t>Filmography notes: Cameo appearance. The cast list states explicitly that Kapoor appears as archive footage. The film is billed as Nigahen: Nagina Part II and continues the story with Sridevi in a dual role as both Rajni and her daughter Neelam. Romance centrality reflects the film's own Neelam and Anand romance; Kapoor's footage carries none. No Romances row is created, since the Rajiv and Rajni marriage is scored on Nagina, FILM-056.</t>
        </is>
      </c>
    </row>
    <row r="75" ht="109" customHeight="1">
      <c r="A75" s="15" t="inlineStr">
        <is>
          <t>FILM-074</t>
        </is>
      </c>
      <c r="B75" s="5" t="inlineStr">
        <is>
          <t>Chandni</t>
        </is>
      </c>
      <c r="C75" s="16" t="n">
        <v>32766</v>
      </c>
      <c r="D75" s="17" t="n">
        <v>1989</v>
      </c>
      <c r="E75" s="5" t="inlineStr">
        <is>
          <t>1980s</t>
        </is>
      </c>
      <c r="F75" s="5" t="inlineStr">
        <is>
          <t>Hindi</t>
        </is>
      </c>
      <c r="G75" s="5" t="inlineStr">
        <is>
          <t>Musical romance</t>
        </is>
      </c>
      <c r="H75" s="5" t="inlineStr">
        <is>
          <t>Melodrama</t>
        </is>
      </c>
      <c r="I75" s="17" t="n">
        <v>179</v>
      </c>
      <c r="J75" s="5" t="inlineStr">
        <is>
          <t>Yash Chopra</t>
        </is>
      </c>
      <c r="K75" s="5" t="inlineStr">
        <is>
          <t>Yash Chopra</t>
        </is>
      </c>
      <c r="L75" s="5" t="inlineStr">
        <is>
          <t>Yash Raj Films</t>
        </is>
      </c>
      <c r="M75" s="5" t="inlineStr">
        <is>
          <t>Kamna Chandra; Arun Kaul; Umesh Kalbagh</t>
        </is>
      </c>
      <c r="N75" s="5" t="n"/>
      <c r="O75" s="5" t="inlineStr">
        <is>
          <t>Shiv–Hari</t>
        </is>
      </c>
      <c r="P75" s="5" t="n"/>
      <c r="Q75" s="5" t="inlineStr">
        <is>
          <t>Anand Bakshi</t>
        </is>
      </c>
      <c r="R75" s="5" t="inlineStr">
        <is>
          <t>Rohit Gupta</t>
        </is>
      </c>
      <c r="S75" s="5" t="n"/>
      <c r="T75" s="5" t="inlineStr">
        <is>
          <t>Co-lead</t>
        </is>
      </c>
      <c r="U75" s="20" t="n">
        <v>2</v>
      </c>
      <c r="V75" s="5" t="inlineStr">
        <is>
          <t>Son of a wealthy business family</t>
        </is>
      </c>
      <c r="W75" s="5" t="inlineStr">
        <is>
          <t>The Gupta family's son, socially well above Chandni's middle-class household</t>
        </is>
      </c>
      <c r="X75" s="19" t="inlineStr">
        <is>
          <t>Rohit falls in love with Chandni at a wedding and courts her until she accepts him. Showering her with rose petals from a helicopter, he crashes and is paralysed down one side; his family blames her and mistreats her, and he releases her rather than make her a nurse. Recovered years later, he finds her engaged to the man who has become his friend, and gets her back only because that man gives her up.</t>
        </is>
      </c>
      <c r="Y75" s="19" t="inlineStr">
        <is>
          <t>To win Chandni, and later to spare her a husband he thinks he can no longer be.</t>
        </is>
      </c>
      <c r="Z75" s="19" t="inlineStr">
        <is>
          <t>His own injury and his family's cruelty, and afterwards a rival who is also a friend.</t>
        </is>
      </c>
      <c r="AA75" s="19" t="inlineStr">
        <is>
          <t>From an exuberant suitor to a man who renounces her out of shame, and finally to one who asks again and is chosen.</t>
        </is>
      </c>
      <c r="AB75" s="19" t="inlineStr">
        <is>
          <t>Good</t>
        </is>
      </c>
      <c r="AC75" s="5" t="inlineStr">
        <is>
          <t>Marries Chandni after Lalit recognises that she loves Rohit and stands aside.</t>
        </is>
      </c>
      <c r="AD75" s="5" t="inlineStr">
        <is>
          <t>Sridevi</t>
        </is>
      </c>
      <c r="AE75" s="5" t="inlineStr">
        <is>
          <t>Central</t>
        </is>
      </c>
      <c r="AF75" s="20" t="n">
        <v>10</v>
      </c>
      <c r="AG75" s="19" t="inlineStr">
        <is>
          <t>Love triangle</t>
        </is>
      </c>
      <c r="AH75" s="21" t="n">
        <v>8</v>
      </c>
      <c r="AI75" s="5" t="n"/>
      <c r="AJ75" s="5" t="n"/>
      <c r="AK75" s="5" t="n"/>
      <c r="AL75" s="5" t="n"/>
      <c r="AM75" s="5" t="inlineStr">
        <is>
          <t>INR crore</t>
        </is>
      </c>
      <c r="AN75" s="5" t="n"/>
      <c r="AO75" s="18" t="n"/>
      <c r="AP75" s="19" t="n"/>
      <c r="AQ75" s="19" t="inlineStr">
        <is>
          <t>One of the defining Yash Chopra romances and a landmark in Sridevi's career; the film is widely credited with restoring the lush romantic musical to Hindi cinema at the end of the 1980s.</t>
        </is>
      </c>
      <c r="AR75" s="5" t="inlineStr">
        <is>
          <t>SOURCE-001; SOURCE-067</t>
        </is>
      </c>
      <c r="AS75" s="5" t="inlineStr">
        <is>
          <t>High</t>
        </is>
      </c>
      <c r="AT75" s="5" t="inlineStr">
        <is>
          <t>Infobox gross 'Rs 27.2 Crore' has no nett/gross label and is not entered. Sridevi has the title role and is top-billed; Kapoor is second-billed and Vinod Khanna third. The pairing is scored as a triangle because the resolution belongs to Lalit's renunciation rather than to anything Rohit does. Juhi Chawla appears in a special appearance as Lalit's first love.</t>
        </is>
      </c>
    </row>
    <row r="76" ht="94" customHeight="1">
      <c r="A76" s="15" t="inlineStr">
        <is>
          <t>FILM-075</t>
        </is>
      </c>
      <c r="B76" s="5" t="inlineStr">
        <is>
          <t>Amiri Garibi</t>
        </is>
      </c>
      <c r="C76" s="16" t="n">
        <v>32955</v>
      </c>
      <c r="D76" s="17" t="n">
        <v>1990</v>
      </c>
      <c r="E76" s="5" t="inlineStr">
        <is>
          <t>1990s</t>
        </is>
      </c>
      <c r="F76" s="5" t="inlineStr">
        <is>
          <t>Hindi</t>
        </is>
      </c>
      <c r="G76" s="5" t="inlineStr">
        <is>
          <t>Drama</t>
        </is>
      </c>
      <c r="H76" s="5" t="inlineStr">
        <is>
          <t>Family melodrama</t>
        </is>
      </c>
      <c r="I76" s="17" t="n">
        <v>150</v>
      </c>
      <c r="J76" s="5" t="inlineStr">
        <is>
          <t>Harmesh Malhotra</t>
        </is>
      </c>
      <c r="K76" s="5" t="inlineStr">
        <is>
          <t>Pradeep Sharma</t>
        </is>
      </c>
      <c r="L76" s="5" t="inlineStr">
        <is>
          <t>TUTU Films</t>
        </is>
      </c>
      <c r="M76" s="5" t="inlineStr">
        <is>
          <t>Achala Nagar; K. B. Pathak</t>
        </is>
      </c>
      <c r="N76" s="5" t="inlineStr">
        <is>
          <t>Based on Makutamleni Maharaju (1987)</t>
        </is>
      </c>
      <c r="O76" s="5" t="inlineStr">
        <is>
          <t>Laxmikant–Pyarelal</t>
        </is>
      </c>
      <c r="P76" s="5" t="n"/>
      <c r="Q76" s="5" t="inlineStr">
        <is>
          <t>Anand Bakshi</t>
        </is>
      </c>
      <c r="R76" s="5" t="inlineStr">
        <is>
          <t>Deepak Bhardwaj</t>
        </is>
      </c>
      <c r="S76" s="5" t="n"/>
      <c r="T76" s="5" t="inlineStr">
        <is>
          <t>Supporting</t>
        </is>
      </c>
      <c r="U76" s="20" t="n">
        <v>3</v>
      </c>
      <c r="V76" s="5" t="inlineStr">
        <is>
          <t>Not documented</t>
        </is>
      </c>
      <c r="W76" s="5" t="inlineStr">
        <is>
          <t>Grown son of a poor Bhardwaj family, married as a child to the wealthy Jyoti</t>
        </is>
      </c>
      <c r="X76" s="19" t="inlineStr">
        <is>
          <t>Deepak Bhardwaj arrives at Kedarnath's house to claim Jyoti, the daughter of the family, as the wife he was married to in childhood, and moves in to the general disgust of Jyoti, her brother, her sister and her mother. When Kedarnath dies he and the ill-treated daughter-in-law Rani are left at the mother's mercy and are told to leave.</t>
        </is>
      </c>
      <c r="Y76" s="19" t="inlineStr">
        <is>
          <t>To claim the marriage his family contracted for him as a child.</t>
        </is>
      </c>
      <c r="Z76" s="19" t="inlineStr">
        <is>
          <t>A wealthy household that despises him, and a wife who does not want the marriage.</t>
        </is>
      </c>
      <c r="AA76" s="19" t="inlineStr">
        <is>
          <t>Not documented; the article's plot breaks off with him and Rani turned out of the house.</t>
        </is>
      </c>
      <c r="AB76" s="19" t="inlineStr">
        <is>
          <t>Morally mixed</t>
        </is>
      </c>
      <c r="AC76" s="5" t="inlineStr">
        <is>
          <t>Not documented; he and Rani are asked to leave after Kedarnath's death.</t>
        </is>
      </c>
      <c r="AD76" s="5" t="inlineStr">
        <is>
          <t>Neelam</t>
        </is>
      </c>
      <c r="AE76" s="5" t="inlineStr">
        <is>
          <t>Secondary</t>
        </is>
      </c>
      <c r="AF76" s="20" t="n">
        <v>6</v>
      </c>
      <c r="AG76" s="19" t="inlineStr">
        <is>
          <t>Unequal or coercive relationship</t>
        </is>
      </c>
      <c r="AH76" s="5" t="n"/>
      <c r="AI76" s="5" t="n"/>
      <c r="AJ76" s="5" t="n"/>
      <c r="AK76" s="5" t="n"/>
      <c r="AL76" s="5" t="n"/>
      <c r="AM76" s="5" t="n"/>
      <c r="AN76" s="5" t="n"/>
      <c r="AO76" s="18" t="n"/>
      <c r="AP76" s="19" t="n"/>
      <c r="AQ76" s="19" t="n"/>
      <c r="AR76" s="5" t="inlineStr">
        <is>
          <t>SOURCE-001; SOURCE-071</t>
        </is>
      </c>
      <c r="AS76" s="5" t="inlineStr">
        <is>
          <t>Low</t>
        </is>
      </c>
      <c r="AT76" s="5" t="inlineStr">
        <is>
          <t>Third-billed behind Jeetendra and Rekha in a large cast. The relationship rests on a child marriage the wife rejects and the husband enforces by arriving to live in her house, which is why it is classified as coercive rather than as a romance; the article records the chagrin of Jyoti and her family at his arrival.</t>
        </is>
      </c>
    </row>
    <row r="77" ht="109" customHeight="1">
      <c r="A77" s="15" t="inlineStr">
        <is>
          <t>FILM-076</t>
        </is>
      </c>
      <c r="B77" s="5" t="inlineStr">
        <is>
          <t>Azaad Desh Ke Gulam</t>
        </is>
      </c>
      <c r="C77" s="16" t="n">
        <v>32969</v>
      </c>
      <c r="D77" s="17" t="n">
        <v>1990</v>
      </c>
      <c r="E77" s="5" t="inlineStr">
        <is>
          <t>1990s</t>
        </is>
      </c>
      <c r="F77" s="5" t="inlineStr">
        <is>
          <t>Hindi</t>
        </is>
      </c>
      <c r="G77" s="5" t="inlineStr">
        <is>
          <t>Action drama</t>
        </is>
      </c>
      <c r="H77" s="5" t="inlineStr">
        <is>
          <t>Crime thriller</t>
        </is>
      </c>
      <c r="I77" s="18" t="n"/>
      <c r="J77" s="5" t="inlineStr">
        <is>
          <t>S. A. Chandrasekhar</t>
        </is>
      </c>
      <c r="K77" s="5" t="inlineStr">
        <is>
          <t>Suresh Bhagat</t>
        </is>
      </c>
      <c r="L77" s="5" t="inlineStr">
        <is>
          <t>Crystal Films</t>
        </is>
      </c>
      <c r="M77" s="5" t="inlineStr">
        <is>
          <t>Shoba Chandrasekhar; Anwar Khan</t>
        </is>
      </c>
      <c r="N77" s="5" t="inlineStr">
        <is>
          <t>Based on Sudhanthira Naattin Adimaigal by S. A. Chandrasekhar</t>
        </is>
      </c>
      <c r="O77" s="5" t="inlineStr">
        <is>
          <t>Laxmikant–Pyarelal</t>
        </is>
      </c>
      <c r="P77" s="5" t="n"/>
      <c r="Q77" s="5" t="inlineStr">
        <is>
          <t>Sameer Anjaan</t>
        </is>
      </c>
      <c r="R77" s="5" t="inlineStr">
        <is>
          <t>Vijay Shrivastav</t>
        </is>
      </c>
      <c r="S77" s="5" t="inlineStr">
        <is>
          <t>Credited as Vijay Shrivastav / Chanakya</t>
        </is>
      </c>
      <c r="T77" s="5" t="inlineStr">
        <is>
          <t>Lead</t>
        </is>
      </c>
      <c r="U77" s="20" t="n">
        <v>1</v>
      </c>
      <c r="V77" s="5" t="inlineStr">
        <is>
          <t>Law student, later a lawyer</t>
        </is>
      </c>
      <c r="W77" s="5" t="inlineStr">
        <is>
          <t>A fellow collegian of Bharti's at law college, without her family's wealth</t>
        </is>
      </c>
      <c r="X77" s="19" t="inlineStr">
        <is>
          <t>Vijay is Bharti's classmate at law college and her ally when she learns her wealthy father made his fortune trafficking children and women. He goes with her to Goa where she sees it for herself, helps her get hold of the documents that would expose a plot to hand the country to a foreign power, and stands by her through the murder charge and the attempt to have her declared insane.</t>
        </is>
      </c>
      <c r="Y77" s="19" t="inlineStr">
        <is>
          <t>To help Bharti expose her father and get the documents to the authorities.</t>
        </is>
      </c>
      <c r="Z77" s="19" t="inlineStr">
        <is>
          <t>A trafficking network with a minister behind it, and a conspiracy to have Bharti certified mad.</t>
        </is>
      </c>
      <c r="AA77" s="19" t="inlineStr">
        <is>
          <t>From a fellow student in love to a lawyer fighting her case in court.</t>
        </is>
      </c>
      <c r="AB77" s="19" t="inlineStr">
        <is>
          <t>Good</t>
        </is>
      </c>
      <c r="AC77" s="5" t="inlineStr">
        <is>
          <t>Saves Bharti, fights the case against the minister, and kills him with a thrown rope during the attack outside the court.</t>
        </is>
      </c>
      <c r="AD77" s="5" t="inlineStr">
        <is>
          <t>Rekha</t>
        </is>
      </c>
      <c r="AE77" s="5" t="inlineStr">
        <is>
          <t>Major</t>
        </is>
      </c>
      <c r="AF77" s="20" t="n">
        <v>7</v>
      </c>
      <c r="AG77" s="19" t="inlineStr">
        <is>
          <t>United couple versus external world</t>
        </is>
      </c>
      <c r="AH77" s="5" t="n"/>
      <c r="AI77" s="5" t="n"/>
      <c r="AJ77" s="5" t="n"/>
      <c r="AK77" s="5" t="n"/>
      <c r="AL77" s="5" t="n"/>
      <c r="AM77" s="5" t="n"/>
      <c r="AN77" s="5" t="inlineStr">
        <is>
          <t>Hit</t>
        </is>
      </c>
      <c r="AO77" s="18" t="n"/>
      <c r="AP77" s="19" t="inlineStr">
        <is>
          <t>The article states that the film was a hit.</t>
        </is>
      </c>
      <c r="AQ77" s="19" t="n"/>
      <c r="AR77" s="5" t="inlineStr">
        <is>
          <t>SOURCE-001; SOURCE-072</t>
        </is>
      </c>
      <c r="AS77" s="5" t="inlineStr">
        <is>
          <t>Low</t>
        </is>
      </c>
      <c r="AT77" s="5" t="inlineStr">
        <is>
          <t>A remake of the Tamil film Sudhanthira Naattin Adimaigal. The article's plot is internally contradictory: it states that Vijay was killed before the couple could act, and then has him save Bharti, fight her case and kill the minister. The later account is followed here because it is the more detailed, and the contradiction is the reason for the Low confidence grade.</t>
        </is>
      </c>
    </row>
    <row r="78" ht="94" customHeight="1">
      <c r="A78" s="15" t="inlineStr">
        <is>
          <t>FILM-077</t>
        </is>
      </c>
      <c r="B78" s="5" t="inlineStr">
        <is>
          <t>Sheshnaag</t>
        </is>
      </c>
      <c r="C78" s="16" t="n">
        <v>33079</v>
      </c>
      <c r="D78" s="17" t="n">
        <v>1990</v>
      </c>
      <c r="E78" s="5" t="inlineStr">
        <is>
          <t>1990s</t>
        </is>
      </c>
      <c r="F78" s="5" t="inlineStr">
        <is>
          <t>Hindi</t>
        </is>
      </c>
      <c r="G78" s="5" t="inlineStr">
        <is>
          <t>Fantasy</t>
        </is>
      </c>
      <c r="H78" s="5" t="inlineStr">
        <is>
          <t>Mythological drama</t>
        </is>
      </c>
      <c r="I78" s="17" t="n">
        <v>144</v>
      </c>
      <c r="J78" s="5" t="inlineStr">
        <is>
          <t>K.R. Reddy</t>
        </is>
      </c>
      <c r="K78" s="5" t="inlineStr">
        <is>
          <t>Syed Ayub; Nalini Shankar; Deepak Adhiya</t>
        </is>
      </c>
      <c r="L78" s="5" t="inlineStr">
        <is>
          <t>AA Films</t>
        </is>
      </c>
      <c r="M78" s="5" t="inlineStr">
        <is>
          <t>Iqbal Durrani; Rajendra Singh; Ravi Kapoor; Mohan Kaul</t>
        </is>
      </c>
      <c r="N78" s="5" t="n"/>
      <c r="O78" s="5" t="inlineStr">
        <is>
          <t>Laxmikant–Pyarelal</t>
        </is>
      </c>
      <c r="P78" s="5" t="n"/>
      <c r="Q78" s="5" t="n"/>
      <c r="R78" s="5" t="inlineStr">
        <is>
          <t>Bhola</t>
        </is>
      </c>
      <c r="S78" s="5" t="n"/>
      <c r="T78" s="5" t="inlineStr">
        <is>
          <t>Co-lead</t>
        </is>
      </c>
      <c r="U78" s="20" t="n">
        <v>2</v>
      </c>
      <c r="V78" s="5" t="inlineStr">
        <is>
          <t>Villager; later a man of means through supernatural gift</t>
        </is>
      </c>
      <c r="W78" s="5" t="inlineStr">
        <is>
          <t>Orphaned villager driven out by his brother-in-law and dependent on the serpent deities he once rescued</t>
        </is>
      </c>
      <c r="X78" s="19" t="inlineStr">
        <is>
          <t>Bhola rescues the wounded shape-shifting serpent Bhanu and is repaid for the rest of the film. Thrown out by the brother-in-law who gambles his sister away, he attempts suicide and is saved by Bhanu, who takes his sister's form, gives him wealth and has her husband Pritam train him into courage so that he can pursue Kamini, whose father intends her for a business partner.</t>
        </is>
      </c>
      <c r="Y78" s="19" t="inlineStr">
        <is>
          <t>To marry Kamini, and to recover the sister he believes dead.</t>
        </is>
      </c>
      <c r="Z78" s="19" t="inlineStr">
        <is>
          <t>Kamini's father, an animal trafficker and the wizard Aghori's disciple, who orders him killed.</t>
        </is>
      </c>
      <c r="AA78" s="19" t="inlineStr">
        <is>
          <t>From a bullied and suicidal villager into a man made courageous by supernatural patronage.</t>
        </is>
      </c>
      <c r="AB78" s="19" t="inlineStr">
        <is>
          <t>Good</t>
        </is>
      </c>
      <c r="AC78" s="5" t="inlineStr">
        <is>
          <t>Survives Aghori's poison, breaks into Kamini's wedding, and is reunited with his real sister as the serpents ascend.</t>
        </is>
      </c>
      <c r="AD78" s="5" t="inlineStr">
        <is>
          <t>Mandakini</t>
        </is>
      </c>
      <c r="AE78" s="5" t="inlineStr">
        <is>
          <t>Major</t>
        </is>
      </c>
      <c r="AF78" s="20" t="n">
        <v>6</v>
      </c>
      <c r="AG78" s="19" t="inlineStr">
        <is>
          <t>Forbidden love</t>
        </is>
      </c>
      <c r="AH78" s="5" t="n"/>
      <c r="AI78" s="5" t="n"/>
      <c r="AJ78" s="5" t="n"/>
      <c r="AK78" s="5" t="n"/>
      <c r="AL78" s="5" t="n"/>
      <c r="AM78" s="5" t="n"/>
      <c r="AN78" s="5" t="n"/>
      <c r="AO78" s="18" t="n"/>
      <c r="AP78" s="19" t="n"/>
      <c r="AQ78" s="19" t="n"/>
      <c r="AR78" s="5" t="inlineStr">
        <is>
          <t>SOURCE-001; SOURCE-074</t>
        </is>
      </c>
      <c r="AS78" s="5" t="inlineStr">
        <is>
          <t>Medium</t>
        </is>
      </c>
      <c r="AT78" s="5" t="inlineStr">
        <is>
          <t>Second-billed to Jeetendra in a fantasy with two plots, the serpents' contest with the wizard and Bhola's pursuit of Kamini. Rekha plays his sister Champa rather than a romantic interest, and Bhanu takes Champa's form for much of the film, so the female billing is misleading as a guide to the romance.</t>
        </is>
      </c>
    </row>
    <row r="79" ht="109" customHeight="1">
      <c r="A79" s="15" t="inlineStr">
        <is>
          <t>FILM-078</t>
        </is>
      </c>
      <c r="B79" s="5" t="inlineStr">
        <is>
          <t>Sher Dil</t>
        </is>
      </c>
      <c r="C79" s="16" t="n">
        <v>33123</v>
      </c>
      <c r="D79" s="17" t="n">
        <v>1990</v>
      </c>
      <c r="E79" s="5" t="inlineStr">
        <is>
          <t>1990s</t>
        </is>
      </c>
      <c r="F79" s="5" t="inlineStr">
        <is>
          <t>Hindi</t>
        </is>
      </c>
      <c r="G79" s="5" t="inlineStr">
        <is>
          <t>Action</t>
        </is>
      </c>
      <c r="H79" s="5" t="n"/>
      <c r="I79" s="18" t="n"/>
      <c r="J79" s="5" t="inlineStr">
        <is>
          <t>Mohan Sehgal</t>
        </is>
      </c>
      <c r="K79" s="5" t="inlineStr">
        <is>
          <t>Jagdish Sidana</t>
        </is>
      </c>
      <c r="L79" s="5" t="n"/>
      <c r="M79" s="5" t="n"/>
      <c r="N79" s="5" t="n"/>
      <c r="O79" s="5" t="inlineStr">
        <is>
          <t>Laxmikant–Pyarelal</t>
        </is>
      </c>
      <c r="P79" s="5" t="n"/>
      <c r="Q79" s="5" t="n"/>
      <c r="R79" s="5" t="inlineStr">
        <is>
          <t>Sanjay Saxena</t>
        </is>
      </c>
      <c r="S79" s="5" t="n"/>
      <c r="T79" s="5" t="inlineStr">
        <is>
          <t>Co-lead</t>
        </is>
      </c>
      <c r="U79" s="20" t="n">
        <v>2</v>
      </c>
      <c r="V79" s="5" t="inlineStr">
        <is>
          <t>Not documented</t>
        </is>
      </c>
      <c r="W79" s="5" t="inlineStr">
        <is>
          <t>Son of Ram Kumar Saxena and brother to Dharmendra's character</t>
        </is>
      </c>
      <c r="X79" s="19" t="inlineStr">
        <is>
          <t>Kapoor plays Sanjay Saxena opposite Dharmendra's triple role in Mohan Sehgal's action film, with Anita Raj as Kiran and Kimi Katkar as Jyoti, and Kader Khan in a double role as Shobhraj and Lobhraj. The article carries an infobox and cast list but no plot section, so the role's shape, its conflict and its outcome are undocumented.</t>
        </is>
      </c>
      <c r="Y79" s="19" t="n"/>
      <c r="Z79" s="19" t="n"/>
      <c r="AA79" s="19" t="n"/>
      <c r="AB79" s="19" t="n"/>
      <c r="AC79" s="5" t="n"/>
      <c r="AD79" s="5" t="inlineStr">
        <is>
          <t>Anita Raj; Kimi Katkar</t>
        </is>
      </c>
      <c r="AE79" s="5" t="inlineStr">
        <is>
          <t>Secondary</t>
        </is>
      </c>
      <c r="AF79" s="18" t="n"/>
      <c r="AG79" s="19" t="n"/>
      <c r="AH79" s="5" t="n"/>
      <c r="AI79" s="5" t="n"/>
      <c r="AJ79" s="5" t="n"/>
      <c r="AK79" s="5" t="n"/>
      <c r="AL79" s="5" t="n"/>
      <c r="AM79" s="5" t="n"/>
      <c r="AN79" s="5" t="n"/>
      <c r="AO79" s="18" t="n"/>
      <c r="AP79" s="19" t="n"/>
      <c r="AQ79" s="19" t="n"/>
      <c r="AR79" s="5" t="inlineStr">
        <is>
          <t>SOURCE-001; SOURCE-073</t>
        </is>
      </c>
      <c r="AS79" s="5" t="inlineStr">
        <is>
          <t>Low</t>
        </is>
      </c>
      <c r="AT79" s="5" t="inlineStr">
        <is>
          <t>No plot section in the article. Romance presence is inferred from the two billed heroines in a two-hero action film and marked Low confidence; no Romances row is created and no scores are assigned. The cast list notes that Jyoti is molested by a character credited only as a rapist, which suggests her thread is the film's melodramatic engine, but nothing further is documented.</t>
        </is>
      </c>
    </row>
    <row r="80" ht="94" customHeight="1">
      <c r="A80" s="15" t="inlineStr">
        <is>
          <t>FILM-079</t>
        </is>
      </c>
      <c r="B80" s="5" t="inlineStr">
        <is>
          <t>Ghar Parivar</t>
        </is>
      </c>
      <c r="C80" s="16" t="n">
        <v>33239</v>
      </c>
      <c r="D80" s="17" t="n">
        <v>1991</v>
      </c>
      <c r="E80" s="5" t="inlineStr">
        <is>
          <t>1990s</t>
        </is>
      </c>
      <c r="F80" s="5" t="inlineStr">
        <is>
          <t>Hindi</t>
        </is>
      </c>
      <c r="G80" s="5" t="inlineStr">
        <is>
          <t>Drama</t>
        </is>
      </c>
      <c r="H80" s="5" t="inlineStr">
        <is>
          <t>Family melodrama</t>
        </is>
      </c>
      <c r="I80" s="18" t="n"/>
      <c r="J80" s="5" t="inlineStr">
        <is>
          <t>Mohanji Prasad</t>
        </is>
      </c>
      <c r="K80" s="5" t="inlineStr">
        <is>
          <t>B. K. Parivar</t>
        </is>
      </c>
      <c r="L80" s="5" t="n"/>
      <c r="M80" s="5" t="inlineStr">
        <is>
          <t>S. M. Abbas</t>
        </is>
      </c>
      <c r="N80" s="5" t="n"/>
      <c r="O80" s="5" t="inlineStr">
        <is>
          <t>Kalyanji–Anandji</t>
        </is>
      </c>
      <c r="P80" s="5" t="n"/>
      <c r="Q80" s="5" t="inlineStr">
        <is>
          <t>Anjaan</t>
        </is>
      </c>
      <c r="R80" s="5" t="inlineStr">
        <is>
          <t>Birju</t>
        </is>
      </c>
      <c r="S80" s="5" t="n"/>
      <c r="T80" s="5" t="inlineStr">
        <is>
          <t>Co-lead</t>
        </is>
      </c>
      <c r="U80" s="20" t="n">
        <v>2</v>
      </c>
      <c r="V80" s="5" t="inlineStr">
        <is>
          <t>Not documented</t>
        </is>
      </c>
      <c r="W80" s="5" t="n"/>
      <c r="X80" s="19" t="inlineStr">
        <is>
          <t>Kapoor plays Birju in Mohanji Prasad's family drama, second-billed to Rajesh Khanna and alongside Moushumi Chatterjee and Meenakshi Seshadri. The article consists of an infobox and a cast table with no plot section, so nothing about the role beyond the character's name is documented, despite the film being among the year's biggest earners.</t>
        </is>
      </c>
      <c r="Y80" s="19" t="n"/>
      <c r="Z80" s="19" t="n"/>
      <c r="AA80" s="19" t="n"/>
      <c r="AB80" s="19" t="n"/>
      <c r="AC80" s="5" t="n"/>
      <c r="AD80" s="5" t="inlineStr">
        <is>
          <t>Moushumi Chatterjee; Meenakshi Seshadri</t>
        </is>
      </c>
      <c r="AE80" s="5" t="inlineStr">
        <is>
          <t>Secondary</t>
        </is>
      </c>
      <c r="AF80" s="18" t="n"/>
      <c r="AG80" s="19" t="n"/>
      <c r="AH80" s="5" t="n"/>
      <c r="AI80" s="5" t="n"/>
      <c r="AJ80" s="5" t="n"/>
      <c r="AK80" s="5" t="n"/>
      <c r="AL80" s="5" t="n"/>
      <c r="AM80" s="5" t="n"/>
      <c r="AN80" s="5" t="inlineStr">
        <is>
          <t>Hit</t>
        </is>
      </c>
      <c r="AO80" s="20" t="n">
        <v>6</v>
      </c>
      <c r="AP80" s="19" t="inlineStr">
        <is>
          <t>The article records the film as the sixth highest-grossing Indian film of 1991.</t>
        </is>
      </c>
      <c r="AQ80" s="19" t="n"/>
      <c r="AR80" s="5" t="inlineStr">
        <is>
          <t>SOURCE-001; SOURCE-079</t>
        </is>
      </c>
      <c r="AS80" s="5" t="inlineStr">
        <is>
          <t>Low</t>
        </is>
      </c>
      <c r="AT80" s="5" t="inlineStr">
        <is>
          <t>No plot section in the article, so the role is undocumented even though the commercial standing is clear. The two billed actresses cannot be attached to Kapoor's character from anything located, so romance presence is recorded as Secondary on the billing alone, marked Low confidence, and no Romances row is created.</t>
        </is>
      </c>
    </row>
    <row r="81" ht="154" customHeight="1">
      <c r="A81" s="15" t="inlineStr">
        <is>
          <t>FILM-080</t>
        </is>
      </c>
      <c r="B81" s="5" t="inlineStr">
        <is>
          <t>Ajooba</t>
        </is>
      </c>
      <c r="C81" s="16" t="n">
        <v>33340</v>
      </c>
      <c r="D81" s="17" t="n">
        <v>1991</v>
      </c>
      <c r="E81" s="5" t="inlineStr">
        <is>
          <t>1990s</t>
        </is>
      </c>
      <c r="F81" s="5" t="inlineStr">
        <is>
          <t>Hindi; Russian</t>
        </is>
      </c>
      <c r="G81" s="5" t="inlineStr">
        <is>
          <t>Fantasy adventure</t>
        </is>
      </c>
      <c r="H81" s="5" t="inlineStr">
        <is>
          <t>Action</t>
        </is>
      </c>
      <c r="I81" s="17" t="n">
        <v>170</v>
      </c>
      <c r="J81" s="5" t="inlineStr">
        <is>
          <t>Shashi Kapoor; Gennady Vasilyev</t>
        </is>
      </c>
      <c r="K81" s="5" t="inlineStr">
        <is>
          <t>Shashi Kapoor</t>
        </is>
      </c>
      <c r="L81" s="5" t="inlineStr">
        <is>
          <t>Aasia Films Pvt. Ltd.; Gorky Film Studio</t>
        </is>
      </c>
      <c r="M81" s="5" t="inlineStr">
        <is>
          <t>Prayag Raj; Brij Katyal; Bharat B. Bhalla; Yu Avetikov; Valentin Ezhov</t>
        </is>
      </c>
      <c r="N81" s="5" t="n"/>
      <c r="O81" s="5" t="inlineStr">
        <is>
          <t>Laxmikant–Pyarelal</t>
        </is>
      </c>
      <c r="P81" s="5" t="inlineStr">
        <is>
          <t>Vanraj Bhatia</t>
        </is>
      </c>
      <c r="Q81" s="5" t="n"/>
      <c r="R81" s="5" t="inlineStr">
        <is>
          <t>Hassan</t>
        </is>
      </c>
      <c r="S81" s="5" t="n"/>
      <c r="T81" s="5" t="inlineStr">
        <is>
          <t>Supporting</t>
        </is>
      </c>
      <c r="U81" s="20" t="n">
        <v>3</v>
      </c>
      <c r="V81" s="5" t="inlineStr">
        <is>
          <t>Companion to the restaurateur Ali</t>
        </is>
      </c>
      <c r="W81" s="5" t="inlineStr">
        <is>
          <t>A commoner of Baharistan and Ali's closest friend</t>
        </is>
      </c>
      <c r="X81" s="19" t="inlineStr">
        <is>
          <t>Hassan is the friend and accomplice of Ali, the restaurateur who is secretly the masked rider Ajooba, and the two together frustrate the Vazir's schemes and raid his strongholds. The role is the companion part in an Arabian-nights adventure whose weight belongs to Amitabh Bachchan's double identity.</t>
        </is>
      </c>
      <c r="Y81" s="19" t="inlineStr">
        <is>
          <t>To stand with Ali against the Vazir.</t>
        </is>
      </c>
      <c r="Z81" s="19" t="inlineStr">
        <is>
          <t>A devil-worshipping usurper with a stone giant at his command.</t>
        </is>
      </c>
      <c r="AA81" s="19" t="inlineStr">
        <is>
          <t>Not documented; the article's plot breaks off during the raids on the Vazir.</t>
        </is>
      </c>
      <c r="AB81" s="19" t="inlineStr">
        <is>
          <t>Good</t>
        </is>
      </c>
      <c r="AC81" s="5" t="inlineStr">
        <is>
          <t>Not documented.</t>
        </is>
      </c>
      <c r="AD81" s="5" t="inlineStr">
        <is>
          <t>Sonam</t>
        </is>
      </c>
      <c r="AE81" s="5" t="inlineStr">
        <is>
          <t>Minor</t>
        </is>
      </c>
      <c r="AF81" s="20" t="n">
        <v>4</v>
      </c>
      <c r="AG81" s="19" t="inlineStr">
        <is>
          <t>Romance subordinate to another genre</t>
        </is>
      </c>
      <c r="AH81" s="5" t="n"/>
      <c r="AI81" s="5" t="n"/>
      <c r="AJ81" s="5" t="n"/>
      <c r="AK81" s="5" t="n"/>
      <c r="AL81" s="5" t="n"/>
      <c r="AM81" s="5" t="n"/>
      <c r="AN81" s="5" t="n"/>
      <c r="AO81" s="18" t="n"/>
      <c r="AP81" s="19" t="n"/>
      <c r="AQ81" s="19" t="n"/>
      <c r="AR81" s="5" t="inlineStr">
        <is>
          <t>SOURCE-001; SOURCE-075</t>
        </is>
      </c>
      <c r="AS81" s="5" t="inlineStr">
        <is>
          <t>Low</t>
        </is>
      </c>
      <c r="AT81" s="5" t="inlineStr">
        <is>
          <t>Infobox release dates: 1990-07 (Soviet Union); 1991-04-12 (India). An Indo-Soviet co-production shot partly at the Gorky Film Studio, with Soviet cinematographers and Ariadna Shengelaya in the cast, and directed by Shashi Kapoor. Third-billed behind Amitabh Bachchan and Dimple Kapadia. Sonam plays Shehzadi Henna, who by elimination is Hassan's counterpart since Dimple Kapadia's Rukhsana belongs to Ali's thread, but the article's plot does not confirm the pairing, so no Romances row is created.</t>
        </is>
      </c>
    </row>
    <row r="82" ht="139" customHeight="1">
      <c r="A82" s="15" t="inlineStr">
        <is>
          <t>FILM-081</t>
        </is>
      </c>
      <c r="B82" s="5" t="inlineStr">
        <is>
          <t>Henna</t>
        </is>
      </c>
      <c r="C82" s="16" t="n">
        <v>33417</v>
      </c>
      <c r="D82" s="17" t="n">
        <v>1991</v>
      </c>
      <c r="E82" s="5" t="inlineStr">
        <is>
          <t>1990s</t>
        </is>
      </c>
      <c r="F82" s="5" t="inlineStr">
        <is>
          <t>Hindi; Urdu</t>
        </is>
      </c>
      <c r="G82" s="5" t="inlineStr">
        <is>
          <t>Musical romantic drama</t>
        </is>
      </c>
      <c r="H82" s="5" t="inlineStr">
        <is>
          <t>Partition and border drama</t>
        </is>
      </c>
      <c r="I82" s="17" t="n">
        <v>184</v>
      </c>
      <c r="J82" s="5" t="inlineStr">
        <is>
          <t>Randhir Kapoor</t>
        </is>
      </c>
      <c r="K82" s="5" t="inlineStr">
        <is>
          <t>Randhir Kapoor; Rajiv Kapoor</t>
        </is>
      </c>
      <c r="L82" s="5" t="inlineStr">
        <is>
          <t>R. K. Films</t>
        </is>
      </c>
      <c r="M82" s="5" t="inlineStr">
        <is>
          <t>Khwaja Ahmad Abbas; Jainendra Jain; Hasina Moin; V. P. Sathe</t>
        </is>
      </c>
      <c r="N82" s="5" t="n"/>
      <c r="O82" s="5" t="inlineStr">
        <is>
          <t>Ravindra Jain</t>
        </is>
      </c>
      <c r="P82" s="5" t="n"/>
      <c r="Q82" s="5" t="n"/>
      <c r="R82" s="5" t="inlineStr">
        <is>
          <t>Chandar Prakash</t>
        </is>
      </c>
      <c r="S82" s="5" t="inlineStr">
        <is>
          <t>Known as 'Chand' in Pakistan while amnesiac; credited as Chandar Prakash / Chand</t>
        </is>
      </c>
      <c r="T82" s="5" t="inlineStr">
        <is>
          <t>Lead</t>
        </is>
      </c>
      <c r="U82" s="20" t="n">
        <v>1</v>
      </c>
      <c r="V82" s="5" t="inlineStr">
        <is>
          <t>Kashmiri from Srinagar; works making clay pots while amnesiac</t>
        </is>
      </c>
      <c r="W82" s="5" t="inlineStr">
        <is>
          <t>An Indian Hindu from Srinagar, engaged to Chandni Kaul, who wakes with no memory in Pakistani Kashmir</t>
        </is>
      </c>
      <c r="X82" s="19" t="inlineStr">
        <is>
          <t>Chandar is engaged to Chandni when a car accident carries him across the line of control into Pakistan with no memory of who he is. Nursed by Henna and her family, called Chand after the name he cries in his sleep, he is loved by her and about to marry her when his memory returns on the wedding day and reveals that he is neither Muslim nor Pakistani.</t>
        </is>
      </c>
      <c r="Y82" s="19" t="inlineStr">
        <is>
          <t>First to recover an identity he has lost, and then to get home without destroying the family that saved him.</t>
        </is>
      </c>
      <c r="Z82" s="19" t="inlineStr">
        <is>
          <t>A border, two religions, a police officer who wants Henna for himself, and a suspicion that he is an Indian spy.</t>
        </is>
      </c>
      <c r="AA82" s="19" t="inlineStr">
        <is>
          <t>From a bridegroom to a man with no name, and back to himself at the exact moment that knowledge becomes catastrophic.</t>
        </is>
      </c>
      <c r="AB82" s="19" t="inlineStr">
        <is>
          <t>Good</t>
        </is>
      </c>
      <c r="AC82" s="5" t="inlineStr">
        <is>
          <t>Reaches India on the second attempt at the cost of Henna's life; the article records the film ending with him asking why there must be war.</t>
        </is>
      </c>
      <c r="AD82" s="5" t="inlineStr">
        <is>
          <t>Zeba Bakhtiar; Ashwini Bhave</t>
        </is>
      </c>
      <c r="AE82" s="5" t="inlineStr">
        <is>
          <t>Central</t>
        </is>
      </c>
      <c r="AF82" s="20" t="n">
        <v>10</v>
      </c>
      <c r="AG82" s="19" t="inlineStr">
        <is>
          <t>Multiple romantic relationships</t>
        </is>
      </c>
      <c r="AH82" s="21" t="n">
        <v>4</v>
      </c>
      <c r="AI82" s="5" t="n"/>
      <c r="AJ82" s="5" t="n"/>
      <c r="AK82" s="5" t="n"/>
      <c r="AL82" s="5" t="n"/>
      <c r="AM82" s="5" t="inlineStr">
        <is>
          <t>INR crore</t>
        </is>
      </c>
      <c r="AN82" s="5" t="n"/>
      <c r="AO82" s="18" t="n"/>
      <c r="AP82" s="19" t="n"/>
      <c r="AQ82" s="19" t="inlineStr">
        <is>
          <t>The project Raj Kapoor had planned and begun before his death, completed by Rishi's brother Randhir Kapoor, and notable for casting the Pakistani actress Zeba Bakhtiar in the title role. The film was India's official submission for the Academy Award for Best Foreign Language Film but was not accepted as a nominee.</t>
        </is>
      </c>
      <c r="AR82" s="5" t="inlineStr">
        <is>
          <t>SOURCE-001; SOURCE-076</t>
        </is>
      </c>
      <c r="AS82" s="5" t="inlineStr">
        <is>
          <t>High</t>
        </is>
      </c>
      <c r="AT82" s="5" t="inlineStr">
        <is>
          <t>Infobox gross '₹12 crore' has no nett/gross label and is not entered. Written by Khwaja Ahmad Abbas, who also wrote Shree 420 and Mera Naam Joker, so the first and the late-career film bracket the same writer. Two relationships are scored: Chandni, the fiancée he is separated from, and Henna, who loves the man with no memory and dies getting him home. The Shariat provision allowing Daroga Shahbaaz Khan two further marriages is the mechanism of the local threat to Henna.</t>
        </is>
      </c>
    </row>
    <row r="83" ht="124" customHeight="1">
      <c r="A83" s="15" t="inlineStr">
        <is>
          <t>FILM-082</t>
        </is>
      </c>
      <c r="B83" s="5" t="inlineStr">
        <is>
          <t>Ranbhoomi</t>
        </is>
      </c>
      <c r="C83" s="16" t="n">
        <v>33466</v>
      </c>
      <c r="D83" s="17" t="n">
        <v>1991</v>
      </c>
      <c r="E83" s="5" t="inlineStr">
        <is>
          <t>1990s</t>
        </is>
      </c>
      <c r="F83" s="5" t="inlineStr">
        <is>
          <t>Hindi</t>
        </is>
      </c>
      <c r="G83" s="5" t="inlineStr">
        <is>
          <t>Action</t>
        </is>
      </c>
      <c r="H83" s="5" t="inlineStr">
        <is>
          <t>Crime drama</t>
        </is>
      </c>
      <c r="I83" s="17" t="n">
        <v>143</v>
      </c>
      <c r="J83" s="5" t="inlineStr">
        <is>
          <t>Deepak Sareen</t>
        </is>
      </c>
      <c r="K83" s="5" t="inlineStr">
        <is>
          <t>Vijay Sinha</t>
        </is>
      </c>
      <c r="L83" s="5" t="inlineStr">
        <is>
          <t>V.K.S. Films</t>
        </is>
      </c>
      <c r="M83" s="5" t="inlineStr">
        <is>
          <t>K. K. Singh; Santosh Anand</t>
        </is>
      </c>
      <c r="N83" s="5" t="n"/>
      <c r="O83" s="5" t="inlineStr">
        <is>
          <t>Laxmikant–Pyarelal</t>
        </is>
      </c>
      <c r="P83" s="5" t="n"/>
      <c r="Q83" s="5" t="n"/>
      <c r="R83" s="5" t="inlineStr">
        <is>
          <t>Bhola</t>
        </is>
      </c>
      <c r="S83" s="5" t="n"/>
      <c r="T83" s="5" t="inlineStr">
        <is>
          <t>Co-lead</t>
        </is>
      </c>
      <c r="U83" s="20" t="n">
        <v>2</v>
      </c>
      <c r="V83" s="5" t="inlineStr">
        <is>
          <t>Not documented; a villager newly arrived in the city</t>
        </is>
      </c>
      <c r="W83" s="5" t="inlineStr">
        <is>
          <t>Village-born, simple-minded and honest, with five hundred rupees to his name</t>
        </is>
      </c>
      <c r="X83" s="19" t="inlineStr">
        <is>
          <t>Bholanath comes to the city with five hundred rupees and, thinking his money safer with her than with himself, leaves it with a prostitute. He then attaches himself to the gangster Roopa, keeps house for him, and when Roopa's war with a rival gangster escalates offers himself as the hostage that might end it.</t>
        </is>
      </c>
      <c r="Y83" s="19" t="inlineStr">
        <is>
          <t>To end the hostilities between the two gangsters by putting himself in the middle of them.</t>
        </is>
      </c>
      <c r="Z83" s="19" t="inlineStr">
        <is>
          <t>Two gang bosses, neither of whom has any reason to value his life.</t>
        </is>
      </c>
      <c r="AA83" s="19" t="inlineStr">
        <is>
          <t>From a naive villager to a man who stakes himself on a gangster's capacity for loyalty.</t>
        </is>
      </c>
      <c r="AB83" s="19" t="inlineStr">
        <is>
          <t>Good</t>
        </is>
      </c>
      <c r="AC83" s="5" t="inlineStr">
        <is>
          <t>Not documented; the article's plot ends on whether Roopa will compromise to save him and whether Chandan will let him live.</t>
        </is>
      </c>
      <c r="AD83" s="5" t="inlineStr">
        <is>
          <t>Dimple Kapadia; Neelam</t>
        </is>
      </c>
      <c r="AE83" s="5" t="inlineStr">
        <is>
          <t>Minor</t>
        </is>
      </c>
      <c r="AF83" s="18" t="n"/>
      <c r="AG83" s="19" t="n"/>
      <c r="AH83" s="5" t="n"/>
      <c r="AI83" s="5" t="n"/>
      <c r="AJ83" s="5" t="n"/>
      <c r="AK83" s="5" t="n"/>
      <c r="AL83" s="5" t="n"/>
      <c r="AM83" s="5" t="n"/>
      <c r="AN83" s="5" t="n"/>
      <c r="AO83" s="18" t="n"/>
      <c r="AP83" s="19" t="n"/>
      <c r="AQ83" s="19" t="n"/>
      <c r="AR83" s="5" t="inlineStr">
        <is>
          <t>SOURCE-001; SOURCE-077</t>
        </is>
      </c>
      <c r="AS83" s="5" t="inlineStr">
        <is>
          <t>Low</t>
        </is>
      </c>
      <c r="AT83" s="5" t="inlineStr">
        <is>
          <t>Second-billed to Jeetendra. The article's plot is a five-sentence summary ending in rhetorical questions and attaches neither Dimple Kapadia's Radha nor Neelam's Rani to Kapoor's character, so romance presence is recorded as Minor on the billing alone and no Romances row is created. The detail that Bhola entrusts his savings to a prostitute is recorded because it is the article's only characterisation of him.</t>
        </is>
      </c>
    </row>
    <row r="84" ht="109" customHeight="1">
      <c r="A84" s="15" t="inlineStr">
        <is>
          <t>FILM-083</t>
        </is>
      </c>
      <c r="B84" s="5" t="inlineStr">
        <is>
          <t>Banjaran</t>
        </is>
      </c>
      <c r="C84" s="16" t="n">
        <v>33550</v>
      </c>
      <c r="D84" s="17" t="n">
        <v>1991</v>
      </c>
      <c r="E84" s="5" t="inlineStr">
        <is>
          <t>1990s</t>
        </is>
      </c>
      <c r="F84" s="5" t="inlineStr">
        <is>
          <t>Hindi</t>
        </is>
      </c>
      <c r="G84" s="5" t="inlineStr">
        <is>
          <t>Romance</t>
        </is>
      </c>
      <c r="H84" s="5" t="inlineStr">
        <is>
          <t>Reincarnation drama</t>
        </is>
      </c>
      <c r="I84" s="18" t="n"/>
      <c r="J84" s="5" t="inlineStr">
        <is>
          <t>Harmesh Malhotra</t>
        </is>
      </c>
      <c r="K84" s="5" t="inlineStr">
        <is>
          <t>Om Prakash Mittal; Ram Singh</t>
        </is>
      </c>
      <c r="L84" s="5" t="n"/>
      <c r="M84" s="5" t="n"/>
      <c r="N84" s="5" t="n"/>
      <c r="O84" s="5" t="inlineStr">
        <is>
          <t>Laxmikant–Pyarelal</t>
        </is>
      </c>
      <c r="P84" s="5" t="n"/>
      <c r="Q84" s="5" t="inlineStr">
        <is>
          <t>Anand Bakshi</t>
        </is>
      </c>
      <c r="R84" s="5" t="inlineStr">
        <is>
          <t>Kumar Singh Sesodia</t>
        </is>
      </c>
      <c r="S84" s="5" t="inlineStr">
        <is>
          <t>Suraj</t>
        </is>
      </c>
      <c r="T84" s="5" t="inlineStr">
        <is>
          <t>Lead</t>
        </is>
      </c>
      <c r="U84" s="20" t="n">
        <v>1</v>
      </c>
      <c r="V84" s="5" t="inlineStr">
        <is>
          <t>Son of the landowner Rana Udaybhan Singh Sesodia</t>
        </is>
      </c>
      <c r="W84" s="5" t="inlineStr">
        <is>
          <t>Aristocratic landowning family, on whose land the nomadic Banjara tribe camps</t>
        </is>
      </c>
      <c r="X84" s="19" t="inlineStr">
        <is>
          <t>Kumar Singh feels an unaccountable pull towards Reshma, a Banjara girl camped on his father's land, and her recurring nightmare of being hunted to death stops the moment he arrives. Both families oppose them, she is promised elsewhere, and they run away to an old haveli, where the caretaker reveals that they are the reborn Devi and Suraj, killed the first time for the same love.</t>
        </is>
      </c>
      <c r="Y84" s="19" t="inlineStr">
        <is>
          <t>To be with Reshma against both fathers.</t>
        </is>
      </c>
      <c r="Z84" s="19" t="inlineStr">
        <is>
          <t>His own father's objection to a nomad girl, her father's prior engagement of her, and the armed men both bring.</t>
        </is>
      </c>
      <c r="AA84" s="19" t="inlineStr">
        <is>
          <t>From a landowner's son drawn to a stranger to one half of a couple completing a love interrupted by murder a generation earlier.</t>
        </is>
      </c>
      <c r="AB84" s="19" t="inlineStr">
        <is>
          <t>Good</t>
        </is>
      </c>
      <c r="AC84" s="5" t="inlineStr">
        <is>
          <t>United with Reshma after Thakur Baba's account of their previous lives ends the feud.</t>
        </is>
      </c>
      <c r="AD84" s="5" t="inlineStr">
        <is>
          <t>Sridevi</t>
        </is>
      </c>
      <c r="AE84" s="5" t="inlineStr">
        <is>
          <t>Central</t>
        </is>
      </c>
      <c r="AF84" s="20" t="n">
        <v>10</v>
      </c>
      <c r="AG84" s="19" t="inlineStr">
        <is>
          <t>Forbidden love</t>
        </is>
      </c>
      <c r="AH84" s="5" t="n"/>
      <c r="AI84" s="5" t="n"/>
      <c r="AJ84" s="5" t="n"/>
      <c r="AK84" s="5" t="n"/>
      <c r="AL84" s="5" t="n"/>
      <c r="AM84" s="5" t="n"/>
      <c r="AN84" s="5" t="n"/>
      <c r="AO84" s="18" t="n"/>
      <c r="AP84" s="19" t="n"/>
      <c r="AQ84" s="19" t="n"/>
      <c r="AR84" s="5" t="inlineStr">
        <is>
          <t>SOURCE-001; SOURCE-078</t>
        </is>
      </c>
      <c r="AS84" s="5" t="inlineStr">
        <is>
          <t>Medium</t>
        </is>
      </c>
      <c r="AT84" s="5" t="inlineStr">
        <is>
          <t>The third Kapoor and Sridevi pairing, after Nagina (1986) and Chandni (1989), and the second reincarnation romance of his career after Karz, though here the previous life belongs to both partners rather than to him alone. The resolution is unusual in that the man who killed the lovers in their first life is the one who pleads for them in the second.</t>
        </is>
      </c>
    </row>
    <row r="85" ht="109" customHeight="1">
      <c r="A85" s="15" t="inlineStr">
        <is>
          <t>FILM-084</t>
        </is>
      </c>
      <c r="B85" s="5" t="inlineStr">
        <is>
          <t>Kasak</t>
        </is>
      </c>
      <c r="C85" s="5" t="inlineStr">
        <is>
          <t>1992</t>
        </is>
      </c>
      <c r="D85" s="17" t="n">
        <v>1992</v>
      </c>
      <c r="E85" s="5" t="inlineStr">
        <is>
          <t>1990s</t>
        </is>
      </c>
      <c r="F85" s="5" t="inlineStr">
        <is>
          <t>Hindi</t>
        </is>
      </c>
      <c r="G85" s="5" t="inlineStr">
        <is>
          <t>Drama</t>
        </is>
      </c>
      <c r="H85" s="5" t="inlineStr">
        <is>
          <t>Romance</t>
        </is>
      </c>
      <c r="I85" s="18" t="n"/>
      <c r="J85" s="5" t="inlineStr">
        <is>
          <t>K. Bapaiah</t>
        </is>
      </c>
      <c r="K85" s="5" t="n"/>
      <c r="L85" s="5" t="n"/>
      <c r="M85" s="5" t="inlineStr">
        <is>
          <t>Mani Ratnam</t>
        </is>
      </c>
      <c r="N85" s="5" t="inlineStr">
        <is>
          <t>Based on Mouna Ragam by Mani Ratnam</t>
        </is>
      </c>
      <c r="O85" s="5" t="inlineStr">
        <is>
          <t>Rajesh Roshan</t>
        </is>
      </c>
      <c r="P85" s="5" t="n"/>
      <c r="Q85" s="5" t="n"/>
      <c r="R85" s="5" t="inlineStr">
        <is>
          <t>Vijay</t>
        </is>
      </c>
      <c r="S85" s="5" t="n"/>
      <c r="T85" s="5" t="inlineStr">
        <is>
          <t>Lead</t>
        </is>
      </c>
      <c r="U85" s="20" t="n">
        <v>1</v>
      </c>
      <c r="V85" s="5" t="inlineStr">
        <is>
          <t>Not documented; the prospective groom of an arranged match</t>
        </is>
      </c>
      <c r="W85" s="5" t="inlineStr">
        <is>
          <t>A suitable match produced by Divya's father, with no history in her life</t>
        </is>
      </c>
      <c r="X85" s="19" t="inlineStr">
        <is>
          <t>Vijay is the groom of an arranged marriage to a woman still grieving the revolutionary she loved and watched die. He waits out her rudeness, marries her when her father's heart attack forces her hand, does not touch her, listens to the whole of her history, and then offers her a choice between the divorce she asked for as a wedding gift and the anklets he bought her. She chooses divorce, and the law makes them live together for a year.</t>
        </is>
      </c>
      <c r="Y85" s="19" t="inlineStr">
        <is>
          <t>To be chosen by a woman who has already told him she does not want him.</t>
        </is>
      </c>
      <c r="Z85" s="19" t="inlineStr">
        <is>
          <t>A wife in love with a dead man, and a marriage neither the law nor her family will let her leave.</t>
        </is>
      </c>
      <c r="AA85" s="19" t="inlineStr">
        <is>
          <t>From a patient suitor to a husband who offers the divorce rather than extract a consent, and then has a year in which to be preferred.</t>
        </is>
      </c>
      <c r="AB85" s="19" t="inlineStr">
        <is>
          <t>Good</t>
        </is>
      </c>
      <c r="AC85" s="5" t="inlineStr">
        <is>
          <t>Not documented in full; the article's plot breaks off during the year the couple are compelled to share.</t>
        </is>
      </c>
      <c r="AD85" s="5" t="inlineStr">
        <is>
          <t>Neelam</t>
        </is>
      </c>
      <c r="AE85" s="5" t="inlineStr">
        <is>
          <t>Central</t>
        </is>
      </c>
      <c r="AF85" s="20" t="n">
        <v>10</v>
      </c>
      <c r="AG85" s="19" t="inlineStr">
        <is>
          <t>Marriage under strain</t>
        </is>
      </c>
      <c r="AH85" s="5" t="n"/>
      <c r="AI85" s="5" t="n"/>
      <c r="AJ85" s="5" t="n"/>
      <c r="AK85" s="5" t="n"/>
      <c r="AL85" s="5" t="n"/>
      <c r="AM85" s="5" t="n"/>
      <c r="AN85" s="5" t="n"/>
      <c r="AO85" s="18" t="n"/>
      <c r="AP85" s="19" t="n"/>
      <c r="AQ85" s="19" t="n"/>
      <c r="AR85" s="5" t="inlineStr">
        <is>
          <t>SOURCE-001; SOURCE-080</t>
        </is>
      </c>
      <c r="AS85" s="5" t="inlineStr">
        <is>
          <t>Medium</t>
        </is>
      </c>
      <c r="AT85" s="5" t="inlineStr">
        <is>
          <t>A remake of Mani Ratnam's Tamil film Mouna Ragam. Neelam is top-billed and the film is hers; Kapoor plays the husband whose restraint is the story's moral centre. This is one of the very few roles in the filmography in which he neither courts nor pursues, and it produces the highest relationship-health reading of any strained marriage in the career.</t>
        </is>
      </c>
    </row>
    <row r="86" ht="124" customHeight="1">
      <c r="A86" s="15" t="inlineStr">
        <is>
          <t>FILM-085</t>
        </is>
      </c>
      <c r="B86" s="5" t="inlineStr">
        <is>
          <t>Inteha Pyar Ki</t>
        </is>
      </c>
      <c r="C86" s="5" t="inlineStr">
        <is>
          <t>1992</t>
        </is>
      </c>
      <c r="D86" s="17" t="n">
        <v>1992</v>
      </c>
      <c r="E86" s="5" t="inlineStr">
        <is>
          <t>1990s</t>
        </is>
      </c>
      <c r="F86" s="5" t="n"/>
      <c r="G86" s="5" t="n"/>
      <c r="H86" s="5" t="n"/>
      <c r="I86" s="18" t="n"/>
      <c r="J86" s="5" t="n"/>
      <c r="K86" s="5" t="n"/>
      <c r="L86" s="5" t="n"/>
      <c r="M86" s="5" t="n"/>
      <c r="N86" s="5" t="n"/>
      <c r="O86" s="5" t="n"/>
      <c r="P86" s="5" t="n"/>
      <c r="Q86" s="5" t="n"/>
      <c r="R86" s="5" t="inlineStr">
        <is>
          <t>Rohit Shankar Walia</t>
        </is>
      </c>
      <c r="S86" s="5" t="n"/>
      <c r="T86" s="5" t="n"/>
      <c r="U86" s="18" t="n"/>
      <c r="V86" s="5" t="n"/>
      <c r="W86" s="5" t="n"/>
      <c r="X86" s="19" t="inlineStr">
        <is>
          <t>The filmography table gives the title, the year 1992 and the character name Rohit Shankar Walia, and nothing else. No Wikipedia article exists for the film, so the role type, the co-stars, the director and every narrative field are undocumented.</t>
        </is>
      </c>
      <c r="Y86" s="19" t="n"/>
      <c r="Z86" s="19" t="n"/>
      <c r="AA86" s="19" t="n"/>
      <c r="AB86" s="19" t="n"/>
      <c r="AC86" s="5" t="n"/>
      <c r="AD86" s="5" t="n"/>
      <c r="AE86" s="5" t="n"/>
      <c r="AF86" s="18" t="n"/>
      <c r="AG86" s="19" t="n"/>
      <c r="AH86" s="5" t="n"/>
      <c r="AI86" s="5" t="n"/>
      <c r="AJ86" s="5" t="n"/>
      <c r="AK86" s="5" t="n"/>
      <c r="AL86" s="5" t="n"/>
      <c r="AM86" s="5" t="n"/>
      <c r="AN86" s="5" t="n"/>
      <c r="AO86" s="18" t="n"/>
      <c r="AP86" s="19" t="n"/>
      <c r="AQ86" s="19" t="n"/>
      <c r="AR86" s="5" t="inlineStr">
        <is>
          <t>SOURCE-001</t>
        </is>
      </c>
      <c r="AS86" s="5" t="inlineStr">
        <is>
          <t>Unknown</t>
        </is>
      </c>
      <c r="AT86" s="5" t="inlineStr">
        <is>
          <t>No Wikipedia film article; fields come from the filmography table. No Wikipedia article. [[List of Hindi films of 1992]] gives J. K. Bihari as director and Kapoor and Rukhsar Rehman as leads; search summaries give a release of 13 April 1992. The table's role 'Rohit Shankar Walia' matches the reported character Rohit. One of the nine article-less films. All fields are deliberately left blank rather than guessed.</t>
        </is>
      </c>
    </row>
    <row r="87" ht="94" customHeight="1">
      <c r="A87" s="15" t="inlineStr">
        <is>
          <t>FILM-086</t>
        </is>
      </c>
      <c r="B87" s="5" t="inlineStr">
        <is>
          <t>Rishta To Ho Aisa</t>
        </is>
      </c>
      <c r="C87" s="5" t="inlineStr">
        <is>
          <t>1992</t>
        </is>
      </c>
      <c r="D87" s="17" t="n">
        <v>1992</v>
      </c>
      <c r="E87" s="5" t="inlineStr">
        <is>
          <t>1990s</t>
        </is>
      </c>
      <c r="F87" s="5" t="inlineStr">
        <is>
          <t>Hindi</t>
        </is>
      </c>
      <c r="G87" s="5" t="inlineStr">
        <is>
          <t>Drama</t>
        </is>
      </c>
      <c r="H87" s="5" t="inlineStr">
        <is>
          <t>Family melodrama</t>
        </is>
      </c>
      <c r="I87" s="17" t="n">
        <v>133</v>
      </c>
      <c r="J87" s="5" t="inlineStr">
        <is>
          <t>Kalpataru</t>
        </is>
      </c>
      <c r="K87" s="5" t="inlineStr">
        <is>
          <t>M.M.C. Cooper</t>
        </is>
      </c>
      <c r="L87" s="5" t="inlineStr">
        <is>
          <t>Marco Enterprises</t>
        </is>
      </c>
      <c r="M87" s="5" t="inlineStr">
        <is>
          <t>Kader Khan</t>
        </is>
      </c>
      <c r="N87" s="5" t="n"/>
      <c r="O87" s="5" t="inlineStr">
        <is>
          <t>Laxmikant–Pyarelal</t>
        </is>
      </c>
      <c r="P87" s="5" t="n"/>
      <c r="Q87" s="5" t="n"/>
      <c r="R87" s="5" t="inlineStr">
        <is>
          <t>Vijay</t>
        </is>
      </c>
      <c r="S87" s="5" t="n"/>
      <c r="T87" s="5" t="inlineStr">
        <is>
          <t>Co-lead</t>
        </is>
      </c>
      <c r="U87" s="20" t="n">
        <v>2</v>
      </c>
      <c r="V87" s="5" t="inlineStr">
        <is>
          <t>Pickpocket</t>
        </is>
      </c>
      <c r="W87" s="5" t="inlineStr">
        <is>
          <t>Ran away from home as a boy to escape his father's beatings and grew up a thief, unaware his elder brother is now wealthy</t>
        </is>
      </c>
      <c r="X87" s="19" t="inlineStr">
        <is>
          <t>Vijay left home as a child to escape his father and became a pickpocket. Courting the stage dancer Seema, he gives her a necklace stolen from a house that turns out to be his amnesiac brother's, for which his brother's abandoned wife is jailed. He confesses, takes the pregnant and disowned Sharda back to their village, and recognises from a portrait whose brother he is.</t>
        </is>
      </c>
      <c r="Y87" s="19" t="inlineStr">
        <is>
          <t>To keep Seema, and then to repair the harm his theft did to a woman he did not know was family.</t>
        </is>
      </c>
      <c r="Z87" s="19" t="inlineStr">
        <is>
          <t>A rival's conspiracy around his amnesiac brother, and the consequences of his own theft.</t>
        </is>
      </c>
      <c r="AA87" s="19" t="inlineStr">
        <is>
          <t>From a thief courting a dancer to the one member of the family who reassembles it.</t>
        </is>
      </c>
      <c r="AB87" s="19" t="inlineStr">
        <is>
          <t>Morally mixed</t>
        </is>
      </c>
      <c r="AC87" s="5" t="inlineStr">
        <is>
          <t>Rescues the family from Kalicharan; his brother's memory returns and the family is reunited.</t>
        </is>
      </c>
      <c r="AD87" s="5" t="inlineStr">
        <is>
          <t>Juhi Chawla</t>
        </is>
      </c>
      <c r="AE87" s="5" t="inlineStr">
        <is>
          <t>Secondary</t>
        </is>
      </c>
      <c r="AF87" s="20" t="n">
        <v>5</v>
      </c>
      <c r="AG87" s="19" t="inlineStr">
        <is>
          <t>Romance subordinate to another genre</t>
        </is>
      </c>
      <c r="AH87" s="5" t="n"/>
      <c r="AI87" s="5" t="n"/>
      <c r="AJ87" s="5" t="n"/>
      <c r="AK87" s="5" t="n"/>
      <c r="AL87" s="5" t="n"/>
      <c r="AM87" s="5" t="n"/>
      <c r="AN87" s="5" t="n"/>
      <c r="AO87" s="18" t="n"/>
      <c r="AP87" s="19" t="n"/>
      <c r="AQ87" s="19" t="n"/>
      <c r="AR87" s="5" t="inlineStr">
        <is>
          <t>SOURCE-001; SOURCE-084</t>
        </is>
      </c>
      <c r="AS87" s="5" t="inlineStr">
        <is>
          <t>Low</t>
        </is>
      </c>
      <c r="AT87" s="5" t="inlineStr">
        <is>
          <t>The article's title is given as Rishta Ho To Aisa in the lead sentence and as Rishta To Ho Aisa in the filmography table; the table's spelling is retained. The plot is written in unusually compressed English and several relationships are asserted rather than shown. Second-billed to Jeetendra.</t>
        </is>
      </c>
    </row>
    <row r="88" ht="124" customHeight="1">
      <c r="A88" s="15" t="inlineStr">
        <is>
          <t>FILM-087</t>
        </is>
      </c>
      <c r="B88" s="5" t="inlineStr">
        <is>
          <t>Deewana</t>
        </is>
      </c>
      <c r="C88" s="16" t="n">
        <v>33781</v>
      </c>
      <c r="D88" s="17" t="n">
        <v>1992</v>
      </c>
      <c r="E88" s="5" t="inlineStr">
        <is>
          <t>1990s</t>
        </is>
      </c>
      <c r="F88" s="5" t="inlineStr">
        <is>
          <t>Hindi</t>
        </is>
      </c>
      <c r="G88" s="5" t="inlineStr">
        <is>
          <t>Romance</t>
        </is>
      </c>
      <c r="H88" s="5" t="inlineStr">
        <is>
          <t>Action drama</t>
        </is>
      </c>
      <c r="I88" s="17" t="n">
        <v>162</v>
      </c>
      <c r="J88" s="5" t="inlineStr">
        <is>
          <t>Raj Kanwar</t>
        </is>
      </c>
      <c r="K88" s="5" t="inlineStr">
        <is>
          <t>Guddu Dhanoa; Lalit Kapoor; Raju Kothari</t>
        </is>
      </c>
      <c r="L88" s="5" t="inlineStr">
        <is>
          <t>Bhagwan Chitra Mandir; Mayank Arts</t>
        </is>
      </c>
      <c r="M88" s="5" t="inlineStr">
        <is>
          <t>Sagar Sarhadi; Ranbir Pushp</t>
        </is>
      </c>
      <c r="N88" s="5" t="n"/>
      <c r="O88" s="5" t="inlineStr">
        <is>
          <t>Nadeem–Shravan</t>
        </is>
      </c>
      <c r="P88" s="5" t="n"/>
      <c r="Q88" s="5" t="inlineStr">
        <is>
          <t>Sameer</t>
        </is>
      </c>
      <c r="R88" s="5" t="inlineStr">
        <is>
          <t>Ravi</t>
        </is>
      </c>
      <c r="S88" s="5" t="n"/>
      <c r="T88" s="5" t="inlineStr">
        <is>
          <t>Lead</t>
        </is>
      </c>
      <c r="U88" s="20" t="n">
        <v>1</v>
      </c>
      <c r="V88" s="5" t="inlineStr">
        <is>
          <t>Wealthy young man of the Sahai-adjacent business family</t>
        </is>
      </c>
      <c r="W88" s="5" t="inlineStr">
        <is>
          <t>Rich and handsome only son of Lakshmi Devi, and heir to a fortune his uncle and cousin are next in line for</t>
        </is>
      </c>
      <c r="X88" s="19" t="inlineStr">
        <is>
          <t>Ravi marries Kajal with his mother's blessing and is thrown off a cliff for it by relatives who stand to inherit. Presumed dead, he leaves her a widow; he survives, and returns to find that she has remarried and that her new husband has become his friend. The film's second half is built on his existence being the obstacle to a marriage he has no wish to break.</t>
        </is>
      </c>
      <c r="Y88" s="19" t="inlineStr">
        <is>
          <t>To marry Kajal, and after his return to avoid destroying what she has rebuilt.</t>
        </is>
      </c>
      <c r="Z88" s="19" t="inlineStr">
        <is>
          <t>A greedy uncle who tried to kill him, and a second marriage his survival invalidates.</t>
        </is>
      </c>
      <c r="AA88" s="19" t="inlineStr">
        <is>
          <t>From an untroubled bridegroom to a man whose being alive is a problem for the woman he loves.</t>
        </is>
      </c>
      <c r="AB88" s="19" t="inlineStr">
        <is>
          <t>Good</t>
        </is>
      </c>
      <c r="AC88" s="5" t="inlineStr">
        <is>
          <t>Kidnapped with Kajal and Raja by Dhirendra, who demands his property; the article's plot breaks off there.</t>
        </is>
      </c>
      <c r="AD88" s="5" t="inlineStr">
        <is>
          <t>Divya Bharti</t>
        </is>
      </c>
      <c r="AE88" s="5" t="inlineStr">
        <is>
          <t>Central</t>
        </is>
      </c>
      <c r="AF88" s="20" t="n">
        <v>9</v>
      </c>
      <c r="AG88" s="19" t="inlineStr">
        <is>
          <t>Love triangle</t>
        </is>
      </c>
      <c r="AH88" s="5" t="n"/>
      <c r="AI88" s="5" t="n"/>
      <c r="AJ88" s="5" t="n"/>
      <c r="AK88" s="5" t="n"/>
      <c r="AL88" s="5" t="n"/>
      <c r="AM88" s="5" t="n"/>
      <c r="AN88" s="5" t="n"/>
      <c r="AO88" s="18" t="n"/>
      <c r="AP88" s="19" t="inlineStr">
        <is>
          <t>The article records Kapoor crediting Nadeem-Shravan's music rather than himself for the film's success, and cites a reviewer praising the performances of Kapoor and Bharti. Rachit Gupta of Filmfare wrote in 2014 that Divya Bharti seemed at ease sharing screen space with him.</t>
        </is>
      </c>
      <c r="AQ88" s="19" t="inlineStr">
        <is>
          <t>Shah Rukh Khan's feature-film debut, in which he plays the second husband; among the most commercially successful films of Kapoor's later leading-man period, and inseparable from its Nadeem-Shravan score.</t>
        </is>
      </c>
      <c r="AR88" s="5" t="inlineStr">
        <is>
          <t>SOURCE-001; SOURCE-081</t>
        </is>
      </c>
      <c r="AS88" s="5" t="inlineStr">
        <is>
          <t>High</t>
        </is>
      </c>
      <c r="AT88" s="5" t="inlineStr">
        <is>
          <t>Infobox gross '₹18 crore' has no nett/gross label and is not entered. One of the few films in the filmography for which a located review comments directly on the pairing, which is recorded in the Romances row's chemistry explanation rather than being marked interpretive. The widow-remarriage theme connects the film to Prem Rog ten years earlier, with Kapoor on the opposite side of the arrangement.</t>
        </is>
      </c>
    </row>
    <row r="89" ht="109" customHeight="1">
      <c r="A89" s="15" t="inlineStr">
        <is>
          <t>FILM-088</t>
        </is>
      </c>
      <c r="B89" s="5" t="inlineStr">
        <is>
          <t>Honeymoon</t>
        </is>
      </c>
      <c r="C89" s="16" t="n">
        <v>33795</v>
      </c>
      <c r="D89" s="17" t="n">
        <v>1992</v>
      </c>
      <c r="E89" s="5" t="inlineStr">
        <is>
          <t>1990s</t>
        </is>
      </c>
      <c r="F89" s="5" t="inlineStr">
        <is>
          <t>Hindi</t>
        </is>
      </c>
      <c r="G89" s="5" t="inlineStr">
        <is>
          <t>Romance</t>
        </is>
      </c>
      <c r="H89" s="5" t="n"/>
      <c r="I89" s="17" t="n">
        <v>160</v>
      </c>
      <c r="J89" s="5" t="inlineStr">
        <is>
          <t>Surendra Mohan</t>
        </is>
      </c>
      <c r="K89" s="5" t="inlineStr">
        <is>
          <t>Surendra Mohan</t>
        </is>
      </c>
      <c r="L89" s="5" t="n"/>
      <c r="M89" s="5" t="inlineStr">
        <is>
          <t>Ranbir Pushp; D.R. Kaushal</t>
        </is>
      </c>
      <c r="N89" s="5" t="inlineStr">
        <is>
          <t>Remake of 1988 Marathi film Kiss Bai Kiss</t>
        </is>
      </c>
      <c r="O89" s="5" t="inlineStr">
        <is>
          <t>Anand–Milind</t>
        </is>
      </c>
      <c r="P89" s="5" t="n"/>
      <c r="Q89" s="5" t="n"/>
      <c r="R89" s="5" t="inlineStr">
        <is>
          <t>Suraj Verma</t>
        </is>
      </c>
      <c r="S89" s="5" t="n"/>
      <c r="T89" s="5" t="inlineStr">
        <is>
          <t>Lead</t>
        </is>
      </c>
      <c r="U89" s="20" t="n">
        <v>1</v>
      </c>
      <c r="V89" s="5" t="inlineStr">
        <is>
          <t>Not documented</t>
        </is>
      </c>
      <c r="W89" s="5" t="n"/>
      <c r="X89" s="19" t="inlineStr">
        <is>
          <t>Kapoor plays Suraj Verma in Surendra Mohan's romance, with Ashwini Bhave as Lata, Varsha Usgaonkar as Asha S. Verma and Mohnish Bahl as Vijay. The article's plot and cast headings are both present but empty of text, so nothing about the role beyond the character's name is documented.</t>
        </is>
      </c>
      <c r="Y89" s="19" t="n"/>
      <c r="Z89" s="19" t="n"/>
      <c r="AA89" s="19" t="n"/>
      <c r="AB89" s="19" t="n"/>
      <c r="AC89" s="5" t="n"/>
      <c r="AD89" s="5" t="inlineStr">
        <is>
          <t>Ashwini Bhave; Varsha Usgaonkar</t>
        </is>
      </c>
      <c r="AE89" s="5" t="inlineStr">
        <is>
          <t>Major</t>
        </is>
      </c>
      <c r="AF89" s="18" t="n"/>
      <c r="AG89" s="19" t="n"/>
      <c r="AH89" s="5" t="n"/>
      <c r="AI89" s="5" t="n"/>
      <c r="AJ89" s="5" t="n"/>
      <c r="AK89" s="5" t="n"/>
      <c r="AL89" s="5" t="n"/>
      <c r="AM89" s="5" t="n"/>
      <c r="AN89" s="5" t="n"/>
      <c r="AO89" s="18" t="n"/>
      <c r="AP89" s="19" t="n"/>
      <c r="AQ89" s="19" t="n"/>
      <c r="AR89" s="5" t="inlineStr">
        <is>
          <t>SOURCE-001; SOURCE-083</t>
        </is>
      </c>
      <c r="AS89" s="5" t="inlineStr">
        <is>
          <t>Low</t>
        </is>
      </c>
      <c r="AT89" s="5" t="inlineStr">
        <is>
          <t>A remake of the 1988 Marathi film Kiss Bai Kiss. The article records that the film received mixed reviews and has an empty plot section. Varsha Usgaonkar's character is credited as Asha S. Verma, sharing Kapoor's character's surname, which suggests a marriage, but nothing located confirms it; no Romances row is created and no scores are assigned.</t>
        </is>
      </c>
    </row>
    <row r="90" ht="109" customHeight="1">
      <c r="A90" s="15" t="inlineStr">
        <is>
          <t>FILM-089</t>
        </is>
      </c>
      <c r="B90" s="5" t="inlineStr">
        <is>
          <t>Bol Radha Bol</t>
        </is>
      </c>
      <c r="C90" s="16" t="n">
        <v>33837</v>
      </c>
      <c r="D90" s="17" t="n">
        <v>1992</v>
      </c>
      <c r="E90" s="5" t="inlineStr">
        <is>
          <t>1990s</t>
        </is>
      </c>
      <c r="F90" s="5" t="inlineStr">
        <is>
          <t>Hindi</t>
        </is>
      </c>
      <c r="G90" s="5" t="inlineStr">
        <is>
          <t>Action thriller</t>
        </is>
      </c>
      <c r="H90" s="5" t="inlineStr">
        <is>
          <t>Comedy</t>
        </is>
      </c>
      <c r="I90" s="18" t="n"/>
      <c r="J90" s="5" t="inlineStr">
        <is>
          <t>David Dhawan</t>
        </is>
      </c>
      <c r="K90" s="5" t="inlineStr">
        <is>
          <t>Nitin Manmohan</t>
        </is>
      </c>
      <c r="L90" s="5" t="inlineStr">
        <is>
          <t>Neha Arts</t>
        </is>
      </c>
      <c r="M90" s="5" t="inlineStr">
        <is>
          <t>Anees Bazmee; Sanjeev Duggal</t>
        </is>
      </c>
      <c r="N90" s="5" t="n"/>
      <c r="O90" s="5" t="inlineStr">
        <is>
          <t>Anand–Milind</t>
        </is>
      </c>
      <c r="P90" s="5" t="n"/>
      <c r="Q90" s="5" t="inlineStr">
        <is>
          <t>Sameer</t>
        </is>
      </c>
      <c r="R90" s="5" t="inlineStr">
        <is>
          <t>Kishan Malhotra</t>
        </is>
      </c>
      <c r="S90" s="5" t="inlineStr">
        <is>
          <t>Tony</t>
        </is>
      </c>
      <c r="T90" s="5" t="inlineStr">
        <is>
          <t>Lead</t>
        </is>
      </c>
      <c r="U90" s="20" t="n">
        <v>1</v>
      </c>
      <c r="V90" s="5" t="inlineStr">
        <is>
          <t>Industrialist heading the Malhotra empire</t>
        </is>
      </c>
      <c r="W90" s="5" t="inlineStr">
        <is>
          <t>Wealthy head of a business house, with a mother, an uncle and a defrauding cousin</t>
        </is>
      </c>
      <c r="X90" s="19" t="inlineStr">
        <is>
          <t>Kishan goes to a village on business, teaches Radha English and falls in love with her, and returns home to find his mother dead and an exact double installed in his place who knows everything about him, including Radha. His dog goes to the impostor, he is thrown out of his own house and arrested at his own office, and has to prove his identity from outside it.</t>
        </is>
      </c>
      <c r="Y90" s="19" t="inlineStr">
        <is>
          <t>To recover his own name, his house and Radha.</t>
        </is>
      </c>
      <c r="Z90" s="19" t="inlineStr">
        <is>
          <t>A double who has taken his identity, backed by the cousin he banished.</t>
        </is>
      </c>
      <c r="AA90" s="19" t="inlineStr">
        <is>
          <t>From an industrialist secure in everything to a man with no proof he is himself, and then to the one person who can expose the substitution.</t>
        </is>
      </c>
      <c r="AB90" s="19" t="inlineStr">
        <is>
          <t>Good</t>
        </is>
      </c>
      <c r="AC90" s="5" t="inlineStr">
        <is>
          <t>Escapes custody, reaches Radha, and traces the impostor to Goa, where he learns the man's name is Tony Montana.</t>
        </is>
      </c>
      <c r="AD90" s="5" t="inlineStr">
        <is>
          <t>Juhi Chawla</t>
        </is>
      </c>
      <c r="AE90" s="5" t="inlineStr">
        <is>
          <t>Central</t>
        </is>
      </c>
      <c r="AF90" s="20" t="n">
        <v>8</v>
      </c>
      <c r="AG90" s="19" t="inlineStr">
        <is>
          <t>Relationship manipulated by outsiders</t>
        </is>
      </c>
      <c r="AH90" s="5" t="n"/>
      <c r="AI90" s="5" t="n"/>
      <c r="AJ90" s="5" t="n"/>
      <c r="AK90" s="5" t="n"/>
      <c r="AL90" s="5" t="n"/>
      <c r="AM90" s="5" t="n"/>
      <c r="AN90" s="5" t="inlineStr">
        <is>
          <t>Hit</t>
        </is>
      </c>
      <c r="AO90" s="20" t="n">
        <v>10</v>
      </c>
      <c r="AP90" s="19" t="inlineStr">
        <is>
          <t>The article records the film as the tenth highest-grossing film of the year.</t>
        </is>
      </c>
      <c r="AQ90" s="19" t="n"/>
      <c r="AR90" s="5" t="inlineStr">
        <is>
          <t>SOURCE-001; SOURCE-082</t>
        </is>
      </c>
      <c r="AS90" s="5" t="inlineStr">
        <is>
          <t>Medium</t>
        </is>
      </c>
      <c r="AT90" s="5" t="inlineStr">
        <is>
          <t>Filmography notes: Double Role. The double role is played by Kapoor as both Kishan and Tony Montana, and Juhi Chawla is credited as Radha / Rita, so both leads are doubled. The romance is threatened not by a rival for Radha's affection but by a man wearing her lover's face, which is why it is classified as manipulated by outsiders.</t>
        </is>
      </c>
    </row>
    <row r="91" ht="154" customHeight="1">
      <c r="A91" s="15" t="inlineStr">
        <is>
          <t>FILM-090</t>
        </is>
      </c>
      <c r="B91" s="5" t="inlineStr">
        <is>
          <t>Dhartiputra</t>
        </is>
      </c>
      <c r="C91" s="5" t="inlineStr">
        <is>
          <t>1993</t>
        </is>
      </c>
      <c r="D91" s="17" t="n">
        <v>1993</v>
      </c>
      <c r="E91" s="5" t="inlineStr">
        <is>
          <t>1990s</t>
        </is>
      </c>
      <c r="F91" s="5" t="inlineStr">
        <is>
          <t>Hindi</t>
        </is>
      </c>
      <c r="G91" s="5" t="inlineStr">
        <is>
          <t>Action</t>
        </is>
      </c>
      <c r="H91" s="5" t="n"/>
      <c r="I91" s="18" t="n"/>
      <c r="J91" s="5" t="inlineStr">
        <is>
          <t>Iqbal Durrani</t>
        </is>
      </c>
      <c r="K91" s="5" t="inlineStr">
        <is>
          <t>Dinesh Patel</t>
        </is>
      </c>
      <c r="L91" s="5" t="inlineStr">
        <is>
          <t>Sonu Film International</t>
        </is>
      </c>
      <c r="M91" s="5" t="inlineStr">
        <is>
          <t>Iqbal Durrani</t>
        </is>
      </c>
      <c r="N91" s="5" t="n"/>
      <c r="O91" s="5" t="inlineStr">
        <is>
          <t>Nadeem–Shravan</t>
        </is>
      </c>
      <c r="P91" s="5" t="n"/>
      <c r="Q91" s="5" t="n"/>
      <c r="R91" s="5" t="inlineStr">
        <is>
          <t>Shiva</t>
        </is>
      </c>
      <c r="S91" s="5" t="n"/>
      <c r="T91" s="5" t="inlineStr">
        <is>
          <t>Cameo</t>
        </is>
      </c>
      <c r="U91" s="20" t="n">
        <v>2</v>
      </c>
      <c r="V91" s="5" t="inlineStr">
        <is>
          <t>Not documented</t>
        </is>
      </c>
      <c r="W91" s="5" t="n"/>
      <c r="X91" s="19" t="inlineStr">
        <is>
          <t>Kapoor is credited as Shiva in Iqbal Durrani's action film, whose plot as the article gives it is a single sentence about the police officer Kapil Dev Singh's fight with corrupt bureaucrats and politicians. Nothing about Shiva's part in it is documented.</t>
        </is>
      </c>
      <c r="Y91" s="19" t="n"/>
      <c r="Z91" s="19" t="n"/>
      <c r="AA91" s="19" t="n"/>
      <c r="AB91" s="19" t="inlineStr">
        <is>
          <t>Not documented</t>
        </is>
      </c>
      <c r="AC91" s="5" t="n"/>
      <c r="AD91" s="5" t="n"/>
      <c r="AE91" s="5" t="inlineStr">
        <is>
          <t>None</t>
        </is>
      </c>
      <c r="AF91" s="18" t="n"/>
      <c r="AG91" s="19" t="n"/>
      <c r="AH91" s="5" t="n"/>
      <c r="AI91" s="5" t="n"/>
      <c r="AJ91" s="5" t="n"/>
      <c r="AK91" s="5" t="n"/>
      <c r="AL91" s="5" t="n"/>
      <c r="AM91" s="5" t="n"/>
      <c r="AN91" s="5" t="n"/>
      <c r="AO91" s="18" t="n"/>
      <c r="AP91" s="19" t="n"/>
      <c r="AQ91" s="19" t="n"/>
      <c r="AR91" s="5" t="inlineStr">
        <is>
          <t>SOURCE-001; SOURCE-088</t>
        </is>
      </c>
      <c r="AS91" s="5" t="inlineStr">
        <is>
          <t>Low</t>
        </is>
      </c>
      <c r="AT91" s="5" t="inlineStr">
        <is>
          <t>Filmography notes: Cameo appearance. The filmography table marks this a cameo, which phase 1 carried over, though the article bills Kapoor second behind Mammootty. The plot section is one sentence and concerns the protagonist only, so the role is effectively undocumented and the apparent conflict between the cameo note and the billing cannot be resolved from anything located. Jaya Prada is billed third but is not attached to Kapoor's character anywhere, so no Romances row is created.</t>
        </is>
      </c>
    </row>
    <row r="92" ht="184" customHeight="1">
      <c r="A92" s="15" t="inlineStr">
        <is>
          <t>FILM-091</t>
        </is>
      </c>
      <c r="B92" s="5" t="inlineStr">
        <is>
          <t>Sadhna</t>
        </is>
      </c>
      <c r="C92" s="5" t="inlineStr">
        <is>
          <t>1993</t>
        </is>
      </c>
      <c r="D92" s="17" t="n">
        <v>1993</v>
      </c>
      <c r="E92" s="5" t="inlineStr">
        <is>
          <t>1990s</t>
        </is>
      </c>
      <c r="F92" s="5" t="n"/>
      <c r="G92" s="5" t="n"/>
      <c r="H92" s="5" t="n"/>
      <c r="I92" s="18" t="n"/>
      <c r="J92" s="5" t="inlineStr">
        <is>
          <t>K. Ravi Shankar</t>
        </is>
      </c>
      <c r="K92" s="5" t="n"/>
      <c r="L92" s="5" t="n"/>
      <c r="M92" s="5" t="n"/>
      <c r="N92" s="5" t="n"/>
      <c r="O92" s="5" t="n"/>
      <c r="P92" s="5" t="n"/>
      <c r="Q92" s="5" t="n"/>
      <c r="R92" s="5" t="inlineStr">
        <is>
          <t>Karan</t>
        </is>
      </c>
      <c r="S92" s="5" t="n"/>
      <c r="T92" s="5" t="n"/>
      <c r="U92" s="18" t="n"/>
      <c r="V92" s="5" t="n"/>
      <c r="W92" s="5" t="n"/>
      <c r="X92" s="19" t="inlineStr">
        <is>
          <t>The filmography table gives the title, the year 1993 and the character name Karan, and nothing else. No Wikipedia article exists for the film, so the role type, the co-stars, the director and every narrative field are undocumented.</t>
        </is>
      </c>
      <c r="Y92" s="19" t="n"/>
      <c r="Z92" s="19" t="n"/>
      <c r="AA92" s="19" t="n"/>
      <c r="AB92" s="19" t="n"/>
      <c r="AC92" s="5" t="n"/>
      <c r="AD92" s="5" t="n"/>
      <c r="AE92" s="5" t="n"/>
      <c r="AF92" s="18" t="n"/>
      <c r="AG92" s="19" t="n"/>
      <c r="AH92" s="5" t="n"/>
      <c r="AI92" s="5" t="n"/>
      <c r="AJ92" s="5" t="n"/>
      <c r="AK92" s="5" t="n"/>
      <c r="AL92" s="5" t="n"/>
      <c r="AM92" s="5" t="n"/>
      <c r="AN92" s="5" t="n"/>
      <c r="AO92" s="18" t="n"/>
      <c r="AP92" s="19" t="n"/>
      <c r="AQ92" s="19" t="n"/>
      <c r="AR92" s="5" t="inlineStr">
        <is>
          <t>SOURCE-001; SOURCE-169</t>
        </is>
      </c>
      <c r="AS92" s="5" t="inlineStr">
        <is>
          <t>Unknown</t>
        </is>
      </c>
      <c r="AT92" s="5" t="inlineStr">
        <is>
          <t>No Wikipedia film article; fields come from the filmography table. No Wikipedia article. Released 1993, directed by K. Ravi Shankar, with Raj Babbar and Sujata Mehta; Kapoor plays Karan, matching the table. Search summaries only. One of the nine article-less films. All fields are deliberately left blank rather than guessed. Director supplied by K. Ravi Shankar's Wikipedia article, which describes him as a film director of the late 1980s and early 1990s and lists Sadhna (1993) in his filmography. That list does not label roles, and the same article names other titles as films he produced, so the credit is recorded at Medium confidence.</t>
        </is>
      </c>
    </row>
    <row r="93" ht="79" customHeight="1">
      <c r="A93" s="15" t="inlineStr">
        <is>
          <t>FILM-092</t>
        </is>
      </c>
      <c r="B93" s="5" t="inlineStr">
        <is>
          <t>Shreemaan Aashique</t>
        </is>
      </c>
      <c r="C93" s="16" t="n">
        <v>34033</v>
      </c>
      <c r="D93" s="17" t="n">
        <v>1993</v>
      </c>
      <c r="E93" s="5" t="inlineStr">
        <is>
          <t>1990s</t>
        </is>
      </c>
      <c r="F93" s="5" t="inlineStr">
        <is>
          <t>Hindi</t>
        </is>
      </c>
      <c r="G93" s="5" t="inlineStr">
        <is>
          <t>Romantic comedy</t>
        </is>
      </c>
      <c r="H93" s="5" t="n"/>
      <c r="I93" s="18" t="n"/>
      <c r="J93" s="5" t="inlineStr">
        <is>
          <t>Deepak Anand</t>
        </is>
      </c>
      <c r="K93" s="5" t="inlineStr">
        <is>
          <t>Shakeel Noorani</t>
        </is>
      </c>
      <c r="L93" s="5" t="n"/>
      <c r="M93" s="5" t="inlineStr">
        <is>
          <t>Kamlesh Pandey; Rumi Jaffery</t>
        </is>
      </c>
      <c r="N93" s="5" t="n"/>
      <c r="O93" s="5" t="inlineStr">
        <is>
          <t>Nadeem–Shravan</t>
        </is>
      </c>
      <c r="P93" s="5" t="n"/>
      <c r="Q93" s="5" t="n"/>
      <c r="R93" s="5" t="inlineStr">
        <is>
          <t>Dushant Kumar Mehra</t>
        </is>
      </c>
      <c r="S93" s="5" t="n"/>
      <c r="T93" s="5" t="inlineStr">
        <is>
          <t>Lead</t>
        </is>
      </c>
      <c r="U93" s="20" t="n">
        <v>1</v>
      </c>
      <c r="V93" s="5" t="inlineStr">
        <is>
          <t>Not documented</t>
        </is>
      </c>
      <c r="W93" s="5" t="inlineStr">
        <is>
          <t>Nephew of Professor Vishwamitra, who runs an association of confirmed bachelors, and son of parents anxious to see him married</t>
        </is>
      </c>
      <c r="X93" s="19" t="inlineStr">
        <is>
          <t>Dushyant has promised his uncle, who presides over an association of confirmed single men, that he will never marry. Shakuntala falls in love with him on a hill-station holiday and he rebuffs her; she persists until he returns the feeling, which sets him against the uncle whose creed he has broken and who then falls in love with Shakuntala himself.</t>
        </is>
      </c>
      <c r="Y93" s="19" t="inlineStr">
        <is>
          <t>To keep a vow of bachelorship he no longer believes in, and then to keep Shakuntala instead.</t>
        </is>
      </c>
      <c r="Z93" s="19" t="inlineStr">
        <is>
          <t>An uncle who extracted the vow and becomes a rival for the same woman.</t>
        </is>
      </c>
      <c r="AA93" s="19" t="inlineStr">
        <is>
          <t>From a man defined by a promise never to marry to one who breaks it against the person he made it to.</t>
        </is>
      </c>
      <c r="AB93" s="19" t="inlineStr">
        <is>
          <t>Good</t>
        </is>
      </c>
      <c r="AC93" s="5" t="inlineStr">
        <is>
          <t>Ends with Shakuntala, according to the article.</t>
        </is>
      </c>
      <c r="AD93" s="5" t="inlineStr">
        <is>
          <t>Urmila Matondkar</t>
        </is>
      </c>
      <c r="AE93" s="5" t="inlineStr">
        <is>
          <t>Central</t>
        </is>
      </c>
      <c r="AF93" s="20" t="n">
        <v>9</v>
      </c>
      <c r="AG93" s="19" t="inlineStr">
        <is>
          <t>Love triangle</t>
        </is>
      </c>
      <c r="AH93" s="5" t="n"/>
      <c r="AI93" s="5" t="n"/>
      <c r="AJ93" s="5" t="n"/>
      <c r="AK93" s="5" t="n"/>
      <c r="AL93" s="5" t="n"/>
      <c r="AM93" s="5" t="n"/>
      <c r="AN93" s="5" t="n"/>
      <c r="AO93" s="18" t="n"/>
      <c r="AP93" s="19" t="n"/>
      <c r="AQ93" s="19" t="n"/>
      <c r="AR93" s="5" t="inlineStr">
        <is>
          <t>SOURCE-001; SOURCE-085</t>
        </is>
      </c>
      <c r="AS93" s="5" t="inlineStr">
        <is>
          <t>Medium</t>
        </is>
      </c>
      <c r="AT93" s="5" t="inlineStr">
        <is>
          <t>The courtship runs in reverse of the usual pattern for Kapoor: the woman pursues and he resists, which makes this one of the few films in the filmography where the initiative is hers throughout. The uncle's rivalry is what turns the comedy into a triangle.</t>
        </is>
      </c>
    </row>
    <row r="94" ht="139" customHeight="1">
      <c r="A94" s="15" t="inlineStr">
        <is>
          <t>FILM-093</t>
        </is>
      </c>
      <c r="B94" s="5" t="inlineStr">
        <is>
          <t>Damini</t>
        </is>
      </c>
      <c r="C94" s="16" t="n">
        <v>34089</v>
      </c>
      <c r="D94" s="17" t="n">
        <v>1993</v>
      </c>
      <c r="E94" s="5" t="inlineStr">
        <is>
          <t>1990s</t>
        </is>
      </c>
      <c r="F94" s="5" t="inlineStr">
        <is>
          <t>Hindi</t>
        </is>
      </c>
      <c r="G94" s="5" t="inlineStr">
        <is>
          <t>Legal drama</t>
        </is>
      </c>
      <c r="H94" s="5" t="inlineStr">
        <is>
          <t>Social drama</t>
        </is>
      </c>
      <c r="I94" s="17" t="n">
        <v>150</v>
      </c>
      <c r="J94" s="5" t="inlineStr">
        <is>
          <t>Rajkumar Santoshi</t>
        </is>
      </c>
      <c r="K94" s="5" t="inlineStr">
        <is>
          <t>Karim Morani; Bunty Soorma; Aly Morani</t>
        </is>
      </c>
      <c r="L94" s="5" t="inlineStr">
        <is>
          <t>Cineyug</t>
        </is>
      </c>
      <c r="M94" s="5" t="inlineStr">
        <is>
          <t>Sutanu Gupta; Rajkumar Santoshi</t>
        </is>
      </c>
      <c r="N94" s="5" t="n"/>
      <c r="O94" s="5" t="inlineStr">
        <is>
          <t>Nadeem–Shravan</t>
        </is>
      </c>
      <c r="P94" s="5" t="inlineStr">
        <is>
          <t>Vanraj Bhatia</t>
        </is>
      </c>
      <c r="Q94" s="5" t="inlineStr">
        <is>
          <t>Sameer</t>
        </is>
      </c>
      <c r="R94" s="5" t="inlineStr">
        <is>
          <t>Shekhar Gupta</t>
        </is>
      </c>
      <c r="S94" s="5" t="n"/>
      <c r="T94" s="5" t="inlineStr">
        <is>
          <t>Co-lead</t>
        </is>
      </c>
      <c r="U94" s="20" t="n">
        <v>1</v>
      </c>
      <c r="V94" s="5" t="inlineStr">
        <is>
          <t>Elder son of the industrialist Kedarnath Gupta; works in the family business</t>
        </is>
      </c>
      <c r="W94" s="5" t="inlineStr">
        <is>
          <t>Wealthy industrial family, married across a wide class gap to a lower-middle-class woman</t>
        </is>
      </c>
      <c r="X94" s="19" t="inlineStr">
        <is>
          <t>Shekhar falls in love with Damini at a charity performance and marries her across a sharp class divide. When she witnesses his younger brother and his friends gang-raping the family's maid, Shekhar runs to stop it and arrives too late, and then spends the film caught between a wife determined to testify and a family determined to bury it. He objects to what his family does to her and never quite acts against them.</t>
        </is>
      </c>
      <c r="Y94" s="19" t="inlineStr">
        <is>
          <t>To keep both his wife and his family, when the two become incompatible.</t>
        </is>
      </c>
      <c r="Z94" s="19" t="inlineStr">
        <is>
          <t>A family covering up a rape, and a wife whose conscience will not let her join the cover-up.</t>
        </is>
      </c>
      <c r="AA94" s="19" t="inlineStr">
        <is>
          <t>From an ardent husband to a man whose decency is exhausted by objecting, while his wife is committed to an institution on his family's lawyer's motion.</t>
        </is>
      </c>
      <c r="AB94" s="19" t="inlineStr">
        <is>
          <t>Morally mixed</t>
        </is>
      </c>
      <c r="AC94" s="5" t="inlineStr">
        <is>
          <t>Not documented in full; the article records him becoming upset with his family while the Guptas and Bajaj reconcile, and Damini escaping the institution alone.</t>
        </is>
      </c>
      <c r="AD94" s="5" t="inlineStr">
        <is>
          <t>Meenakshi Seshadri</t>
        </is>
      </c>
      <c r="AE94" s="5" t="inlineStr">
        <is>
          <t>Central</t>
        </is>
      </c>
      <c r="AF94" s="20" t="n">
        <v>8</v>
      </c>
      <c r="AG94" s="19" t="inlineStr">
        <is>
          <t>Marriage under strain</t>
        </is>
      </c>
      <c r="AH94" s="5" t="n"/>
      <c r="AI94" s="5" t="n"/>
      <c r="AJ94" s="5" t="n"/>
      <c r="AK94" s="5" t="n"/>
      <c r="AL94" s="21" t="n">
        <v>11.75</v>
      </c>
      <c r="AM94" s="5" t="inlineStr">
        <is>
          <t>INR crore</t>
        </is>
      </c>
      <c r="AN94" s="5" t="n"/>
      <c r="AO94" s="18" t="n"/>
      <c r="AP94" s="19" t="n"/>
      <c r="AQ94" s="19" t="inlineStr">
        <is>
          <t>One of the best-known Hindi films about sexual violence and the courts, and among the most substantial films of Kapoor's later leading period; the title role and Sunny Deol's lawyer are what the film is remembered for.</t>
        </is>
      </c>
      <c r="AR94" s="5" t="inlineStr">
        <is>
          <t>SOURCE-001; SOURCE-086</t>
        </is>
      </c>
      <c r="AS94" s="5" t="inlineStr">
        <is>
          <t>Medium</t>
        </is>
      </c>
      <c r="AT94" s="5" t="inlineStr">
        <is>
          <t>Infobox gross '₹ 11.75 crore' has no nett/gross label and is not entered. Gross of ₹11.75 crore taken from the article's infobox, which gives it without a territory or a nett/gross distinction beyond the word 'gross'; recorded as a worldwide figure with that caveat. Meenakshi Seshadri has the title role and the film belongs to her and to Sunny Deol's Govind; Kapoor is first-billed but plays the husband who fails her, which is the role type he returns to repeatedly in this period.</t>
        </is>
      </c>
    </row>
    <row r="95" ht="139" customHeight="1">
      <c r="A95" s="15" t="inlineStr">
        <is>
          <t>FILM-094</t>
        </is>
      </c>
      <c r="B95" s="5" t="inlineStr">
        <is>
          <t>Sahibaan</t>
        </is>
      </c>
      <c r="C95" s="16" t="n">
        <v>34166</v>
      </c>
      <c r="D95" s="17" t="n">
        <v>1993</v>
      </c>
      <c r="E95" s="5" t="inlineStr">
        <is>
          <t>1990s</t>
        </is>
      </c>
      <c r="F95" s="5" t="inlineStr">
        <is>
          <t>Hindi</t>
        </is>
      </c>
      <c r="G95" s="5" t="inlineStr">
        <is>
          <t>Romantic drama</t>
        </is>
      </c>
      <c r="H95" s="5" t="n"/>
      <c r="I95" s="17" t="n">
        <v>140</v>
      </c>
      <c r="J95" s="5" t="inlineStr">
        <is>
          <t>Ramesh Talwar</t>
        </is>
      </c>
      <c r="K95" s="5" t="inlineStr">
        <is>
          <t>D.K. Chawla</t>
        </is>
      </c>
      <c r="L95" s="5" t="n"/>
      <c r="M95" s="5" t="inlineStr">
        <is>
          <t>Armaan Shahabi</t>
        </is>
      </c>
      <c r="N95" s="5" t="n"/>
      <c r="O95" s="5" t="inlineStr">
        <is>
          <t>Shiv–Hari</t>
        </is>
      </c>
      <c r="P95" s="5" t="n"/>
      <c r="Q95" s="5" t="n"/>
      <c r="R95" s="5" t="inlineStr">
        <is>
          <t>Gopi</t>
        </is>
      </c>
      <c r="S95" s="5" t="n"/>
      <c r="T95" s="5" t="inlineStr">
        <is>
          <t>Supporting</t>
        </is>
      </c>
      <c r="U95" s="20" t="n">
        <v>3</v>
      </c>
      <c r="V95" s="5" t="inlineStr">
        <is>
          <t>Not documented</t>
        </is>
      </c>
      <c r="W95" s="5" t="n"/>
      <c r="X95" s="19" t="inlineStr">
        <is>
          <t>Kapoor plays Gopi in Ramesh Talwar's romantic drama, with Sanjay Dutt as Kunwar Vijay Pal Singh and Madhuri Dixit in the title role of Sahibaan. The article carries an infobox, a cast list and a soundtrack but no plot section at all, so the role's shape, its place in the romance and its outcome are undocumented.</t>
        </is>
      </c>
      <c r="Y95" s="19" t="n"/>
      <c r="Z95" s="19" t="n"/>
      <c r="AA95" s="19" t="n"/>
      <c r="AB95" s="19" t="n"/>
      <c r="AC95" s="5" t="n"/>
      <c r="AD95" s="5" t="inlineStr">
        <is>
          <t>Madhuri Dixit</t>
        </is>
      </c>
      <c r="AE95" s="5" t="inlineStr">
        <is>
          <t>Secondary</t>
        </is>
      </c>
      <c r="AF95" s="18" t="n"/>
      <c r="AG95" s="19" t="n"/>
      <c r="AH95" s="5" t="n"/>
      <c r="AI95" s="5" t="n"/>
      <c r="AJ95" s="5" t="n"/>
      <c r="AK95" s="5" t="n"/>
      <c r="AL95" s="5" t="n"/>
      <c r="AM95" s="5" t="n"/>
      <c r="AN95" s="5" t="n"/>
      <c r="AO95" s="18" t="n"/>
      <c r="AP95" s="19" t="n"/>
      <c r="AQ95" s="19" t="n"/>
      <c r="AR95" s="5" t="inlineStr">
        <is>
          <t>SOURCE-001; SOURCE-091</t>
        </is>
      </c>
      <c r="AS95" s="5" t="inlineStr">
        <is>
          <t>Low</t>
        </is>
      </c>
      <c r="AT95" s="5" t="inlineStr">
        <is>
          <t>Verified as having no plot prose of any kind: the article's only sections are Cast, Soundtrack, References and External links. The article records this as Kapoor's fourth film with Ramesh Talwar after Doosra Aadmi (1977), Duniya (1984) and Zamana (1985). Third-billed in the infobox behind Sanjay Dutt and Madhuri Dixit, though the lead sentence names him first; romance presence is recorded as Secondary on the billing alone and no Romances row is created.</t>
        </is>
      </c>
    </row>
    <row r="96" ht="109" customHeight="1">
      <c r="A96" s="15" t="inlineStr">
        <is>
          <t>FILM-095</t>
        </is>
      </c>
      <c r="B96" s="5" t="inlineStr">
        <is>
          <t>Izzat Ki Roti</t>
        </is>
      </c>
      <c r="C96" s="16" t="n">
        <v>34194</v>
      </c>
      <c r="D96" s="17" t="n">
        <v>1993</v>
      </c>
      <c r="E96" s="5" t="inlineStr">
        <is>
          <t>1990s</t>
        </is>
      </c>
      <c r="F96" s="5" t="inlineStr">
        <is>
          <t>Hindi</t>
        </is>
      </c>
      <c r="G96" s="5" t="inlineStr">
        <is>
          <t>Action drama</t>
        </is>
      </c>
      <c r="H96" s="5" t="inlineStr">
        <is>
          <t>Family melodrama</t>
        </is>
      </c>
      <c r="I96" s="18" t="n"/>
      <c r="J96" s="5" t="inlineStr">
        <is>
          <t>K. Pappu</t>
        </is>
      </c>
      <c r="K96" s="5" t="inlineStr">
        <is>
          <t>K. Pappu</t>
        </is>
      </c>
      <c r="L96" s="5" t="inlineStr">
        <is>
          <t>Grand Master Movies</t>
        </is>
      </c>
      <c r="M96" s="5" t="inlineStr">
        <is>
          <t>K. Pappu; Ranbir Pushp; M. Parvez</t>
        </is>
      </c>
      <c r="N96" s="5" t="n"/>
      <c r="O96" s="5" t="inlineStr">
        <is>
          <t>Bappi Lahiri</t>
        </is>
      </c>
      <c r="P96" s="5" t="n"/>
      <c r="Q96" s="5" t="inlineStr">
        <is>
          <t>Anjaan</t>
        </is>
      </c>
      <c r="R96" s="5" t="inlineStr">
        <is>
          <t>Krishna</t>
        </is>
      </c>
      <c r="S96" s="5" t="n"/>
      <c r="T96" s="5" t="inlineStr">
        <is>
          <t>Co-lead</t>
        </is>
      </c>
      <c r="U96" s="20" t="n">
        <v>2</v>
      </c>
      <c r="V96" s="5" t="inlineStr">
        <is>
          <t>Manages the family trucking business with his adoptive brother</t>
        </is>
      </c>
      <c r="W96" s="5" t="inlineStr">
        <is>
          <t>Son of the convicted driver Veerendra, adopted as a boy by the millionaire who sent his father to prison, and raised alongside that man's own son</t>
        </is>
      </c>
      <c r="X96" s="19" t="inlineStr">
        <is>
          <t>Krishna is the son of a truck driver jailed for using his employer's trucks illegally, adopted and raised by the employer who put him there and brought up beside that man's son Jeet. He runs the business with Jeet and is married to Pinky. When his released father returns to take revenge, the scheme to split the two brothers over their inheritance is aimed, unknowingly, at his own son.</t>
        </is>
      </c>
      <c r="Y96" s="19" t="inlineStr">
        <is>
          <t>To hold the business and the brotherhood he was raised into.</t>
        </is>
      </c>
      <c r="Z96" s="19" t="inlineStr">
        <is>
          <t>A biological father conspiring against the family that adopted him, without knowing which of the two young men is his.</t>
        </is>
      </c>
      <c r="AA96" s="19" t="inlineStr">
        <is>
          <t>From an adopted son secure in his position to one targeted by his own father's revenge.</t>
        </is>
      </c>
      <c r="AB96" s="19" t="inlineStr">
        <is>
          <t>Good</t>
        </is>
      </c>
      <c r="AC96" s="5" t="inlineStr">
        <is>
          <t>He and Jeet foil Veeru's attempt to divide them, and Jeet is united with Jyoti.</t>
        </is>
      </c>
      <c r="AD96" s="5" t="inlineStr">
        <is>
          <t>Farah</t>
        </is>
      </c>
      <c r="AE96" s="5" t="inlineStr">
        <is>
          <t>Secondary</t>
        </is>
      </c>
      <c r="AF96" s="20" t="n">
        <v>4</v>
      </c>
      <c r="AG96" s="19" t="inlineStr">
        <is>
          <t>Established relationship</t>
        </is>
      </c>
      <c r="AH96" s="5" t="n"/>
      <c r="AI96" s="5" t="n"/>
      <c r="AJ96" s="5" t="n"/>
      <c r="AK96" s="5" t="n"/>
      <c r="AL96" s="5" t="n"/>
      <c r="AM96" s="5" t="n"/>
      <c r="AN96" s="5" t="n"/>
      <c r="AO96" s="18" t="n"/>
      <c r="AP96" s="19" t="n"/>
      <c r="AQ96" s="19" t="n"/>
      <c r="AR96" s="5" t="inlineStr">
        <is>
          <t>SOURCE-001; SOURCE-087</t>
        </is>
      </c>
      <c r="AS96" s="5" t="inlineStr">
        <is>
          <t>Low</t>
        </is>
      </c>
      <c r="AT96" s="5" t="inlineStr">
        <is>
          <t>Second-billed to Sunny Deol, whose Jeet carries the film's romance with Juhi Chawla's Jyoti. Kapoor's marriage to Pinky is stated in the cast list and the plot rather than developed, and the film's interest is the two brothers and the returning father, so the marriage is scored as an established relationship with low centrality.</t>
        </is>
      </c>
    </row>
    <row r="97" ht="139" customHeight="1">
      <c r="A97" s="15" t="inlineStr">
        <is>
          <t>FILM-096</t>
        </is>
      </c>
      <c r="B97" s="5" t="inlineStr">
        <is>
          <t>Anmol</t>
        </is>
      </c>
      <c r="C97" s="16" t="n">
        <v>34208</v>
      </c>
      <c r="D97" s="17" t="n">
        <v>1993</v>
      </c>
      <c r="E97" s="5" t="inlineStr">
        <is>
          <t>1990s</t>
        </is>
      </c>
      <c r="F97" s="5" t="inlineStr">
        <is>
          <t>Hindi</t>
        </is>
      </c>
      <c r="G97" s="5" t="inlineStr">
        <is>
          <t>Romance</t>
        </is>
      </c>
      <c r="H97" s="5" t="inlineStr">
        <is>
          <t>Fairytale melodrama</t>
        </is>
      </c>
      <c r="I97" s="17" t="n">
        <v>163</v>
      </c>
      <c r="J97" s="5" t="inlineStr">
        <is>
          <t>Ketan Desai</t>
        </is>
      </c>
      <c r="K97" s="5" t="inlineStr">
        <is>
          <t>Manmohan Desai</t>
        </is>
      </c>
      <c r="L97" s="5" t="inlineStr">
        <is>
          <t>MKD Films Combine</t>
        </is>
      </c>
      <c r="M97" s="5" t="inlineStr">
        <is>
          <t>Anil Nagrath; Sohel Don; Prayag Raj; Honey Irani</t>
        </is>
      </c>
      <c r="N97" s="5" t="inlineStr">
        <is>
          <t>Based on Cinderella</t>
        </is>
      </c>
      <c r="O97" s="5" t="inlineStr">
        <is>
          <t>Raamlaxman</t>
        </is>
      </c>
      <c r="P97" s="5" t="n"/>
      <c r="Q97" s="5" t="n"/>
      <c r="R97" s="5" t="inlineStr">
        <is>
          <t>Prem</t>
        </is>
      </c>
      <c r="S97" s="5" t="n"/>
      <c r="T97" s="5" t="inlineStr">
        <is>
          <t>Lead</t>
        </is>
      </c>
      <c r="U97" s="20" t="n">
        <v>1</v>
      </c>
      <c r="V97" s="5" t="inlineStr">
        <is>
          <t>Not documented</t>
        </is>
      </c>
      <c r="W97" s="5" t="n"/>
      <c r="X97" s="19" t="inlineStr">
        <is>
          <t>Kapoor plays Prem opposite Manisha Koirala's Anmol in Ketan Desai's loose retelling of Cinderella, with a stepmother, a step-uncle and two stepsisters ranged against the heroine. The article carries an infobox, a cast list and a soundtrack but no plot section, so the shape of the courtship and its outcome are undocumented.</t>
        </is>
      </c>
      <c r="Y97" s="19" t="n"/>
      <c r="Z97" s="19" t="n"/>
      <c r="AA97" s="19" t="n"/>
      <c r="AB97" s="19" t="n"/>
      <c r="AC97" s="5" t="n"/>
      <c r="AD97" s="5" t="inlineStr">
        <is>
          <t>Manisha Koirala</t>
        </is>
      </c>
      <c r="AE97" s="5" t="inlineStr">
        <is>
          <t>Major</t>
        </is>
      </c>
      <c r="AF97" s="18" t="n"/>
      <c r="AG97" s="19" t="n"/>
      <c r="AH97" s="5" t="n"/>
      <c r="AI97" s="5" t="n"/>
      <c r="AJ97" s="5" t="n"/>
      <c r="AK97" s="5" t="n"/>
      <c r="AL97" s="5" t="n"/>
      <c r="AM97" s="5" t="n"/>
      <c r="AN97" s="5" t="n"/>
      <c r="AO97" s="18" t="n"/>
      <c r="AP97" s="19" t="n"/>
      <c r="AQ97" s="19" t="n"/>
      <c r="AR97" s="5" t="inlineStr">
        <is>
          <t>SOURCE-001; SOURCE-089</t>
        </is>
      </c>
      <c r="AS97" s="5" t="inlineStr">
        <is>
          <t>Low</t>
        </is>
      </c>
      <c r="AT97" s="5" t="inlineStr">
        <is>
          <t>Verified as having no plot prose: the article's only sections are Cast, Soundtrack, References and External links. Its infobox names Cinderella as the source, and the cast list supplies a stepmother, a step-uncle and the stepsisters Champa and Chameli, so the romantic structure can be inferred but not documented. The last film produced by Manmohan Desai before his death in 1994, directed by his son. No Romances row is created and no scores are assigned.</t>
        </is>
      </c>
    </row>
    <row r="98" ht="139" customHeight="1">
      <c r="A98" s="15" t="inlineStr">
        <is>
          <t>FILM-097</t>
        </is>
      </c>
      <c r="B98" s="5" t="inlineStr">
        <is>
          <t>Gurudev</t>
        </is>
      </c>
      <c r="C98" s="16" t="n">
        <v>34215</v>
      </c>
      <c r="D98" s="17" t="n">
        <v>1993</v>
      </c>
      <c r="E98" s="5" t="inlineStr">
        <is>
          <t>1990s</t>
        </is>
      </c>
      <c r="F98" s="5" t="inlineStr">
        <is>
          <t>Hindi</t>
        </is>
      </c>
      <c r="G98" s="5" t="inlineStr">
        <is>
          <t>Action</t>
        </is>
      </c>
      <c r="H98" s="5" t="inlineStr">
        <is>
          <t>Crime drama</t>
        </is>
      </c>
      <c r="I98" s="17" t="n">
        <v>180</v>
      </c>
      <c r="J98" s="5" t="inlineStr">
        <is>
          <t>Vinod Mehra</t>
        </is>
      </c>
      <c r="K98" s="5" t="inlineStr">
        <is>
          <t>Vinod Mehra</t>
        </is>
      </c>
      <c r="L98" s="5" t="n"/>
      <c r="M98" s="5" t="inlineStr">
        <is>
          <t>Prayag Raj; K. K. Shukla; K. K. Singh</t>
        </is>
      </c>
      <c r="N98" s="5" t="n"/>
      <c r="O98" s="5" t="inlineStr">
        <is>
          <t>R. D. Burman</t>
        </is>
      </c>
      <c r="P98" s="5" t="n"/>
      <c r="Q98" s="5" t="inlineStr">
        <is>
          <t>Majrooh Sultanpuri</t>
        </is>
      </c>
      <c r="R98" s="5" t="inlineStr">
        <is>
          <t>Inspector Dev Kumar</t>
        </is>
      </c>
      <c r="S98" s="5" t="n"/>
      <c r="T98" s="5" t="inlineStr">
        <is>
          <t>Lead</t>
        </is>
      </c>
      <c r="U98" s="20" t="n">
        <v>1</v>
      </c>
      <c r="V98" s="5" t="inlineStr">
        <is>
          <t>Police inspector</t>
        </is>
      </c>
      <c r="W98" s="5" t="inlineStr">
        <is>
          <t>Childhood friend of Gaurav, whose father is the crime lord the police want</t>
        </is>
      </c>
      <c r="X98" s="19" t="inlineStr">
        <is>
          <t>Inspector Dev's closest friend from childhood is Gaurav, whose father is the don Khakan. When the case of apprehending Khakan is opened, Dev is the investigating officer's first suspect, and the film turns on whether he will arrest his friend's father or protect him. The dilemma is his whole function in the plot.</t>
        </is>
      </c>
      <c r="Y98" s="19" t="inlineStr">
        <is>
          <t>To prove he will do his job even against the family of his closest friend.</t>
        </is>
      </c>
      <c r="Z98" s="19" t="inlineStr">
        <is>
          <t>A superior officer who suspects him, and a friendship that makes his duty look like a conflict of interest.</t>
        </is>
      </c>
      <c r="AA98" s="19" t="inlineStr">
        <is>
          <t>Not documented; the article's summary states the dilemma and leaves it open.</t>
        </is>
      </c>
      <c r="AB98" s="19" t="inlineStr">
        <is>
          <t>Good</t>
        </is>
      </c>
      <c r="AC98" s="5" t="inlineStr">
        <is>
          <t>Not documented; the article records only that it remains to be seen whether Dev will apprehend his friend's father.</t>
        </is>
      </c>
      <c r="AD98" s="5" t="inlineStr">
        <is>
          <t>Sridevi</t>
        </is>
      </c>
      <c r="AE98" s="5" t="inlineStr">
        <is>
          <t>Secondary</t>
        </is>
      </c>
      <c r="AF98" s="18" t="n"/>
      <c r="AG98" s="19" t="n"/>
      <c r="AH98" s="5" t="n"/>
      <c r="AI98" s="5" t="n"/>
      <c r="AJ98" s="5" t="n"/>
      <c r="AK98" s="5" t="n"/>
      <c r="AL98" s="5" t="n"/>
      <c r="AM98" s="5" t="n"/>
      <c r="AN98" s="5" t="n"/>
      <c r="AO98" s="18" t="n"/>
      <c r="AP98" s="19" t="n"/>
      <c r="AQ98" s="19" t="n"/>
      <c r="AR98" s="5" t="inlineStr">
        <is>
          <t>SOURCE-001; SOURCE-090</t>
        </is>
      </c>
      <c r="AS98" s="5" t="inlineStr">
        <is>
          <t>Low</t>
        </is>
      </c>
      <c r="AT98" s="5" t="inlineStr">
        <is>
          <t>Production began in the late 1980s and was left incomplete by Vinod Mehra's death in October 1990; Raj Sippy took over and completed it for release in 1993. The article's plot section is five sentences and contains no romance: Sridevi is billed third in a triple role as Priya, Sunita and Rosy, but the summary does not attach her to Kapoor's character, so romance presence is recorded as Secondary on the billing alone and no Romances row is created.</t>
        </is>
      </c>
    </row>
    <row r="99" ht="184" customHeight="1">
      <c r="A99" s="15" t="inlineStr">
        <is>
          <t>FILM-098</t>
        </is>
      </c>
      <c r="B99" s="5" t="inlineStr">
        <is>
          <t>Mohabbat Ki Arzoo</t>
        </is>
      </c>
      <c r="C99" s="5" t="inlineStr">
        <is>
          <t>1994</t>
        </is>
      </c>
      <c r="D99" s="17" t="n">
        <v>1994</v>
      </c>
      <c r="E99" s="5" t="inlineStr">
        <is>
          <t>1990s</t>
        </is>
      </c>
      <c r="F99" s="5" t="n"/>
      <c r="G99" s="5" t="n"/>
      <c r="H99" s="5" t="n"/>
      <c r="I99" s="18" t="n"/>
      <c r="J99" s="5" t="inlineStr">
        <is>
          <t>K. C. Bokadia</t>
        </is>
      </c>
      <c r="K99" s="5" t="n"/>
      <c r="L99" s="5" t="n"/>
      <c r="M99" s="5" t="n"/>
      <c r="N99" s="5" t="n"/>
      <c r="O99" s="5" t="n"/>
      <c r="P99" s="5" t="n"/>
      <c r="Q99" s="5" t="n"/>
      <c r="R99" s="5" t="inlineStr">
        <is>
          <t>Raja</t>
        </is>
      </c>
      <c r="S99" s="5" t="n"/>
      <c r="T99" s="5" t="n"/>
      <c r="U99" s="18" t="n"/>
      <c r="V99" s="5" t="n"/>
      <c r="W99" s="5" t="n"/>
      <c r="X99" s="19" t="inlineStr">
        <is>
          <t>The filmography table gives the title, the year 1994 and the character name Raja, and nothing else. No Wikipedia article exists for the film, so the role type, the co-stars, the director and every narrative field are undocumented.</t>
        </is>
      </c>
      <c r="Y99" s="19" t="n"/>
      <c r="Z99" s="19" t="n"/>
      <c r="AA99" s="19" t="n"/>
      <c r="AB99" s="19" t="n"/>
      <c r="AC99" s="5" t="n"/>
      <c r="AD99" s="5" t="n"/>
      <c r="AE99" s="5" t="n"/>
      <c r="AF99" s="18" t="n"/>
      <c r="AG99" s="19" t="n"/>
      <c r="AH99" s="5" t="n"/>
      <c r="AI99" s="5" t="n"/>
      <c r="AJ99" s="5" t="n"/>
      <c r="AK99" s="5" t="n"/>
      <c r="AL99" s="5" t="n"/>
      <c r="AM99" s="5" t="n"/>
      <c r="AN99" s="5" t="n"/>
      <c r="AO99" s="18" t="n"/>
      <c r="AP99" s="19" t="n"/>
      <c r="AQ99" s="19" t="n"/>
      <c r="AR99" s="5" t="inlineStr">
        <is>
          <t>SOURCE-001; SOURCE-170</t>
        </is>
      </c>
      <c r="AS99" s="5" t="inlineStr">
        <is>
          <t>Unknown</t>
        </is>
      </c>
      <c r="AT99" s="5" t="inlineStr">
        <is>
          <t>No Wikipedia film article; fields come from the filmography table. No Wikipedia article. The filmography row cites Box Office India, whose archived page gives a release of 13 May 1994, a runtime of 149 minutes and K. C. Bokadia as director. That page is the one tier-B fact available for the film. One of the nine article-less films. All fields are deliberately left blank rather than guessed. Director supplied by K. C. Bokadia's Wikipedia article, whose filmography table marks him in the labelled Director column for Mohabbat Ki Arzoo (1994); he appears in the Producer column for Naseeb Apna Apna (1986), already credited that way here.</t>
        </is>
      </c>
    </row>
    <row r="100" ht="79" customHeight="1">
      <c r="A100" s="15" t="inlineStr">
        <is>
          <t>FILM-099</t>
        </is>
      </c>
      <c r="B100" s="5" t="inlineStr">
        <is>
          <t>Eena Meena Deeka</t>
        </is>
      </c>
      <c r="C100" s="5" t="inlineStr">
        <is>
          <t>1994</t>
        </is>
      </c>
      <c r="D100" s="17" t="n">
        <v>1994</v>
      </c>
      <c r="E100" s="5" t="inlineStr">
        <is>
          <t>1990s</t>
        </is>
      </c>
      <c r="F100" s="5" t="inlineStr">
        <is>
          <t>Hindi</t>
        </is>
      </c>
      <c r="G100" s="5" t="inlineStr">
        <is>
          <t>Comedy</t>
        </is>
      </c>
      <c r="H100" s="5" t="inlineStr">
        <is>
          <t>Crime caper</t>
        </is>
      </c>
      <c r="I100" s="18" t="n"/>
      <c r="J100" s="5" t="inlineStr">
        <is>
          <t>David Dhawan</t>
        </is>
      </c>
      <c r="K100" s="5" t="inlineStr">
        <is>
          <t>Nitin Manmohan</t>
        </is>
      </c>
      <c r="L100" s="5" t="n"/>
      <c r="M100" s="5" t="inlineStr">
        <is>
          <t>Sanjeev Duggal</t>
        </is>
      </c>
      <c r="N100" s="5" t="n"/>
      <c r="O100" s="5" t="inlineStr">
        <is>
          <t>Anand–Milind</t>
        </is>
      </c>
      <c r="P100" s="5" t="n"/>
      <c r="Q100" s="5" t="inlineStr">
        <is>
          <t>Sameer</t>
        </is>
      </c>
      <c r="R100" s="5" t="inlineStr">
        <is>
          <t>Indar "Eena"</t>
        </is>
      </c>
      <c r="S100" s="5" t="n"/>
      <c r="T100" s="5" t="inlineStr">
        <is>
          <t>Co-lead</t>
        </is>
      </c>
      <c r="U100" s="20" t="n">
        <v>2</v>
      </c>
      <c r="V100" s="5" t="inlineStr">
        <is>
          <t>Incompetent bank robber</t>
        </is>
      </c>
      <c r="W100" s="5" t="inlineStr">
        <is>
          <t>A man robbing banks to pay for his mother's medical treatment, and unknowingly the younger brother of the ex-convict he entangles</t>
        </is>
      </c>
      <c r="X100" s="19" t="inlineStr">
        <is>
          <t>Eena is a bungling bank robber stealing to pay for his mother's treatment, whose raid ruins the reformed Deeka's attempt to go straight: the police see them together and assume Deeka has returned to crime. Forced to flee together, Eena refuses to confess and runs off, and is revealed to be the brother Deeka lost to a kidnapping in childhood.</t>
        </is>
      </c>
      <c r="Y100" s="19" t="inlineStr">
        <is>
          <t>To raise money for his mother's treatment, and then to avoid the confession that would clear Deeka.</t>
        </is>
      </c>
      <c r="Z100" s="19" t="inlineStr">
        <is>
          <t>A man he has wrongly implicated and who needs his confession, and the criminal who kidnapped one of them as a child.</t>
        </is>
      </c>
      <c r="AA100" s="19" t="inlineStr">
        <is>
          <t>From a selfish incompetent who will not own his crime to a man restored to the brother he never knew he had.</t>
        </is>
      </c>
      <c r="AB100" s="19" t="inlineStr">
        <is>
          <t>Morally mixed</t>
        </is>
      </c>
      <c r="AC100" s="5" t="inlineStr">
        <is>
          <t>Reunited with Deeka as his brother, and married to Meena once Bhujang and his sons are arrested.</t>
        </is>
      </c>
      <c r="AD100" s="5" t="inlineStr">
        <is>
          <t>Juhi Chawla</t>
        </is>
      </c>
      <c r="AE100" s="5" t="inlineStr">
        <is>
          <t>Secondary</t>
        </is>
      </c>
      <c r="AF100" s="20" t="n">
        <v>5</v>
      </c>
      <c r="AG100" s="19" t="inlineStr">
        <is>
          <t>Romance subordinate to another genre</t>
        </is>
      </c>
      <c r="AH100" s="5" t="n"/>
      <c r="AI100" s="5" t="n"/>
      <c r="AJ100" s="5" t="n"/>
      <c r="AK100" s="5" t="n"/>
      <c r="AL100" s="5" t="n"/>
      <c r="AM100" s="5" t="n"/>
      <c r="AN100" s="5" t="n"/>
      <c r="AO100" s="18" t="n"/>
      <c r="AP100" s="19" t="n"/>
      <c r="AQ100" s="19" t="n"/>
      <c r="AR100" s="5" t="inlineStr">
        <is>
          <t>SOURCE-001; SOURCE-094</t>
        </is>
      </c>
      <c r="AS100" s="5" t="inlineStr">
        <is>
          <t>Medium</t>
        </is>
      </c>
      <c r="AT100" s="5" t="inlineStr">
        <is>
          <t>Second-billed to Vinod Khanna. The romance begins with Meena kidnapped by Deeka as leverage against her father, a police commissioner, and develops from there, which is recorded in the pairing row rather than softened.</t>
        </is>
      </c>
    </row>
    <row r="101" ht="124" customHeight="1">
      <c r="A101" s="15" t="inlineStr">
        <is>
          <t>FILM-100</t>
        </is>
      </c>
      <c r="B101" s="5" t="inlineStr">
        <is>
          <t>Saajan Ka Ghar</t>
        </is>
      </c>
      <c r="C101" s="16" t="n">
        <v>34453</v>
      </c>
      <c r="D101" s="17" t="n">
        <v>1994</v>
      </c>
      <c r="E101" s="5" t="inlineStr">
        <is>
          <t>1990s</t>
        </is>
      </c>
      <c r="F101" s="5" t="inlineStr">
        <is>
          <t>Hindi</t>
        </is>
      </c>
      <c r="G101" s="5" t="inlineStr">
        <is>
          <t>Family melodrama</t>
        </is>
      </c>
      <c r="H101" s="5" t="inlineStr">
        <is>
          <t>Romance</t>
        </is>
      </c>
      <c r="I101" s="18" t="n"/>
      <c r="J101" s="5" t="inlineStr">
        <is>
          <t>Surendra Bohra</t>
        </is>
      </c>
      <c r="K101" s="5" t="inlineStr">
        <is>
          <t>Nutan; Surendra Bohra; Farooq</t>
        </is>
      </c>
      <c r="L101" s="5" t="inlineStr">
        <is>
          <t>Roopvati Productions</t>
        </is>
      </c>
      <c r="M101" s="5" t="inlineStr">
        <is>
          <t>Aadesh K. Arjun; Keshav Rathod; Dhirendra Bohra</t>
        </is>
      </c>
      <c r="N101" s="5" t="inlineStr">
        <is>
          <t>Remake of 1983 Gujarati movie Mahiyar Ni Chundadi</t>
        </is>
      </c>
      <c r="O101" s="5" t="inlineStr">
        <is>
          <t>Nadeem–Shravan</t>
        </is>
      </c>
      <c r="P101" s="5" t="inlineStr">
        <is>
          <t>Shyam-Surender</t>
        </is>
      </c>
      <c r="Q101" s="5" t="inlineStr">
        <is>
          <t>Sameer</t>
        </is>
      </c>
      <c r="R101" s="5" t="inlineStr">
        <is>
          <t>Amar Khanna</t>
        </is>
      </c>
      <c r="S101" s="5" t="n"/>
      <c r="T101" s="5" t="inlineStr">
        <is>
          <t>Lead</t>
        </is>
      </c>
      <c r="U101" s="20" t="n">
        <v>1</v>
      </c>
      <c r="V101" s="5" t="inlineStr">
        <is>
          <t>Army officer</t>
        </is>
      </c>
      <c r="W101" s="5" t="inlineStr">
        <is>
          <t>Son of a household headed by a mother who turns murderous towards his wife; married to a woman her own family despises</t>
        </is>
      </c>
      <c r="X101" s="19" t="inlineStr">
        <is>
          <t>Amar, an army officer, is married to Laxmi by the father and stepmother who have mistreated her since birth. After her miscarriage he is told she will die if she carries another pregnancy to term, and decides to tell nobody, including her. She overhears, resolves to have a child even if it kills her, and provokes him into a night he is horrified by; he then leaves for duty rather than consult a doctor, and his mother throws her out of the house.</t>
        </is>
      </c>
      <c r="Y101" s="19" t="inlineStr">
        <is>
          <t>To spare Laxmi the knowledge that a pregnancy would kill her.</t>
        </is>
      </c>
      <c r="Z101" s="19" t="inlineStr">
        <is>
          <t>A fatal medical fact he conceals, and a mother who decides to murder his wife for not conceiving.</t>
        </is>
      </c>
      <c r="AA101" s="19" t="inlineStr">
        <is>
          <t>From a husband protecting his wife by silence to one whose silence produces exactly the pregnancy that will kill her, and who leaves rather than face it.</t>
        </is>
      </c>
      <c r="AB101" s="19" t="inlineStr">
        <is>
          <t>Morally mixed</t>
        </is>
      </c>
      <c r="AC101" s="5" t="inlineStr">
        <is>
          <t>Not documented in full; he departs for duty and the article follows Laxmi, thrown out of the house and sleeping in a barn.</t>
        </is>
      </c>
      <c r="AD101" s="5" t="inlineStr">
        <is>
          <t>Juhi Chawla</t>
        </is>
      </c>
      <c r="AE101" s="5" t="inlineStr">
        <is>
          <t>Central</t>
        </is>
      </c>
      <c r="AF101" s="20" t="n">
        <v>9</v>
      </c>
      <c r="AG101" s="19" t="inlineStr">
        <is>
          <t>Marriage under strain</t>
        </is>
      </c>
      <c r="AH101" s="5" t="n"/>
      <c r="AI101" s="5" t="n"/>
      <c r="AJ101" s="5" t="n"/>
      <c r="AK101" s="5" t="n"/>
      <c r="AL101" s="5" t="n"/>
      <c r="AM101" s="5" t="n"/>
      <c r="AN101" s="5" t="n"/>
      <c r="AO101" s="18" t="n"/>
      <c r="AP101" s="19" t="n"/>
      <c r="AQ101" s="19" t="n"/>
      <c r="AR101" s="5" t="inlineStr">
        <is>
          <t>SOURCE-001; SOURCE-092</t>
        </is>
      </c>
      <c r="AS101" s="5" t="inlineStr">
        <is>
          <t>Medium</t>
        </is>
      </c>
      <c r="AT101" s="5" t="inlineStr">
        <is>
          <t>Juhi Chawla is first-billed and the film is Laxmi's. The concealment is the plot's engine and the article is explicit about its consequence: rather than consult a doctor or discuss an abortion, Amar goes off to duty. That judgement is recorded in the pairing row rather than softened, and it places this among the group of 1990s roles in which Kapoor plays husbands who fail their wives at the decisive moment.</t>
        </is>
      </c>
    </row>
    <row r="102" ht="139" customHeight="1">
      <c r="A102" s="15" t="inlineStr">
        <is>
          <t>FILM-101</t>
        </is>
      </c>
      <c r="B102" s="5" t="inlineStr">
        <is>
          <t>Pehla Pehla Pyar</t>
        </is>
      </c>
      <c r="C102" s="16" t="n">
        <v>34460</v>
      </c>
      <c r="D102" s="17" t="n">
        <v>1994</v>
      </c>
      <c r="E102" s="5" t="inlineStr">
        <is>
          <t>1990s</t>
        </is>
      </c>
      <c r="F102" s="5" t="inlineStr">
        <is>
          <t>Hindi</t>
        </is>
      </c>
      <c r="G102" s="5" t="inlineStr">
        <is>
          <t>Romance</t>
        </is>
      </c>
      <c r="H102" s="5" t="inlineStr">
        <is>
          <t>Comedy drama</t>
        </is>
      </c>
      <c r="I102" s="18" t="n"/>
      <c r="J102" s="5" t="inlineStr">
        <is>
          <t>Manmohan Singh</t>
        </is>
      </c>
      <c r="K102" s="5" t="inlineStr">
        <is>
          <t>B. S. Shaad</t>
        </is>
      </c>
      <c r="L102" s="5" t="inlineStr">
        <is>
          <t>Brar Productions</t>
        </is>
      </c>
      <c r="M102" s="5" t="inlineStr">
        <is>
          <t>Honey Irani; Rumi Jaffery</t>
        </is>
      </c>
      <c r="N102" s="5" t="inlineStr">
        <is>
          <t>Based on Roman Holiday by Dalton Trumbo</t>
        </is>
      </c>
      <c r="O102" s="5" t="inlineStr">
        <is>
          <t>Anand–Milind</t>
        </is>
      </c>
      <c r="P102" s="5" t="n"/>
      <c r="Q102" s="5" t="inlineStr">
        <is>
          <t>Anand Bakshi</t>
        </is>
      </c>
      <c r="R102" s="5" t="inlineStr">
        <is>
          <t>Raj</t>
        </is>
      </c>
      <c r="S102" s="5" t="n"/>
      <c r="T102" s="5" t="inlineStr">
        <is>
          <t>Lead</t>
        </is>
      </c>
      <c r="U102" s="20" t="n">
        <v>1</v>
      </c>
      <c r="V102" s="5" t="inlineStr">
        <is>
          <t>Not documented</t>
        </is>
      </c>
      <c r="W102" s="5" t="inlineStr">
        <is>
          <t>Outside Sapna's aristocratic world; the man she lands on after running away from it</t>
        </is>
      </c>
      <c r="X102" s="19" t="inlineStr">
        <is>
          <t>Raj takes in a runaway he initially wants rid of. Sapna has fled an aristocratic household she found intolerable, and his first instinct is to get her off his hands; instead he falls in love with her, and when her family posts a reward for information on her whereabouts the two of them have to go on the run together.</t>
        </is>
      </c>
      <c r="Y102" s="19" t="inlineStr">
        <is>
          <t>First to be rid of an inconvenient runaway, and then to keep her out of her family's reach.</t>
        </is>
      </c>
      <c r="Z102" s="19" t="inlineStr">
        <is>
          <t>An aristocratic family that puts a price on locating her and the flight that follows.</t>
        </is>
      </c>
      <c r="AA102" s="19" t="inlineStr">
        <is>
          <t>From a man trying to hand a stranger back to the family she escaped to one running from it beside her.</t>
        </is>
      </c>
      <c r="AB102" s="19" t="inlineStr">
        <is>
          <t>Good</t>
        </is>
      </c>
      <c r="AC102" s="5" t="inlineStr">
        <is>
          <t>Not documented; the article's summary ends with the couple on the run.</t>
        </is>
      </c>
      <c r="AD102" s="5" t="inlineStr">
        <is>
          <t>Tabu</t>
        </is>
      </c>
      <c r="AE102" s="5" t="inlineStr">
        <is>
          <t>Central</t>
        </is>
      </c>
      <c r="AF102" s="20" t="n">
        <v>9</v>
      </c>
      <c r="AG102" s="19" t="inlineStr">
        <is>
          <t>Playful conflict masking attraction</t>
        </is>
      </c>
      <c r="AH102" s="5" t="n"/>
      <c r="AI102" s="5" t="n"/>
      <c r="AJ102" s="5" t="n"/>
      <c r="AK102" s="5" t="n"/>
      <c r="AL102" s="5" t="n"/>
      <c r="AM102" s="5" t="n"/>
      <c r="AN102" s="5" t="n"/>
      <c r="AO102" s="18" t="n"/>
      <c r="AP102" s="19" t="n"/>
      <c r="AQ102" s="19" t="n"/>
      <c r="AR102" s="5" t="inlineStr">
        <is>
          <t>SOURCE-001; SOURCE-093</t>
        </is>
      </c>
      <c r="AS102" s="5" t="inlineStr">
        <is>
          <t>Medium</t>
        </is>
      </c>
      <c r="AT102" s="5" t="inlineStr">
        <is>
          <t>The article records the film as loosely inspired by Roman Holiday, and its plot prose sits under a Summary heading rather than a Plot one, which is why the extraction script reported no plot section for it; the text was recovered by hand and the role and pairing are written from it. Amrish Puri and Gulshan Grover play the aristocratic household's enforcers. The reluctant-man-and-runaway structure inverts the usual Kapoor courtship, in which he is the pursuer.</t>
        </is>
      </c>
    </row>
    <row r="103" ht="109" customHeight="1">
      <c r="A103" s="15" t="inlineStr">
        <is>
          <t>FILM-102</t>
        </is>
      </c>
      <c r="B103" s="5" t="inlineStr">
        <is>
          <t>Prem Yog</t>
        </is>
      </c>
      <c r="C103" s="16" t="n">
        <v>34586</v>
      </c>
      <c r="D103" s="17" t="n">
        <v>1994</v>
      </c>
      <c r="E103" s="5" t="inlineStr">
        <is>
          <t>1990s</t>
        </is>
      </c>
      <c r="F103" s="5" t="inlineStr">
        <is>
          <t>Hindi</t>
        </is>
      </c>
      <c r="G103" s="5" t="inlineStr">
        <is>
          <t>Romantic comedy</t>
        </is>
      </c>
      <c r="H103" s="5" t="n"/>
      <c r="I103" s="17" t="n">
        <v>147</v>
      </c>
      <c r="J103" s="5" t="inlineStr">
        <is>
          <t>Rajeev Kumar</t>
        </is>
      </c>
      <c r="K103" s="5" t="inlineStr">
        <is>
          <t>B. S. Shaad</t>
        </is>
      </c>
      <c r="L103" s="5" t="n"/>
      <c r="M103" s="5" t="inlineStr">
        <is>
          <t>Honey Irani; Rumi Jaffery</t>
        </is>
      </c>
      <c r="N103" s="5" t="n"/>
      <c r="O103" s="5" t="inlineStr">
        <is>
          <t>Bappi Lahiri</t>
        </is>
      </c>
      <c r="P103" s="5" t="n"/>
      <c r="Q103" s="5" t="n"/>
      <c r="R103" s="5" t="inlineStr">
        <is>
          <t>Yuvraaj</t>
        </is>
      </c>
      <c r="S103" s="5" t="inlineStr">
        <is>
          <t>Lives in Bombay as the waiter Raju rather than as the Yuvraj of Ramgarh</t>
        </is>
      </c>
      <c r="T103" s="5" t="inlineStr">
        <is>
          <t>Lead</t>
        </is>
      </c>
      <c r="U103" s="20" t="n">
        <v>2</v>
      </c>
      <c r="V103" s="5" t="inlineStr">
        <is>
          <t>Heir to the throne of Ramgarh; works as a waiter in Bombay</t>
        </is>
      </c>
      <c r="W103" s="5" t="inlineStr">
        <is>
          <t>Only son of Maharaj Chhatrapal Singh, raised in seclusion inside the palace on an astrologer's prediction that he would never inherit a throne</t>
        </is>
      </c>
      <c r="X103" s="19" t="inlineStr">
        <is>
          <t>Raju is kept inside his father's palace all his life because an astrologer predicted the throne would end with his father. Unwilling to accept the marriage arranged for him, he runs away to Bombay with his bodyguard, works as a waiter, and falls in love with the singer Anita, who is angry when a rival reveals that he is an heir he never told her about.</t>
        </is>
      </c>
      <c r="Y103" s="19" t="inlineStr">
        <is>
          <t>To live outside the palace and marry the woman he chose rather than the one chosen for him.</t>
        </is>
      </c>
      <c r="Z103" s="19" t="inlineStr">
        <is>
          <t>A father who arrives with an army to fetch him, and a concealed identity that costs him Anita's trust.</t>
        </is>
      </c>
      <c r="AA103" s="19" t="inlineStr">
        <is>
          <t>From a prince kept in seclusion to a waiter who has to decide whether to be captured or keep running.</t>
        </is>
      </c>
      <c r="AB103" s="19" t="inlineStr">
        <is>
          <t>Good</t>
        </is>
      </c>
      <c r="AC103" s="5" t="inlineStr">
        <is>
          <t>Not documented; the article ends with Raju facing the choice between capture and flight.</t>
        </is>
      </c>
      <c r="AD103" s="5" t="inlineStr">
        <is>
          <t>Madhoo</t>
        </is>
      </c>
      <c r="AE103" s="5" t="inlineStr">
        <is>
          <t>Central</t>
        </is>
      </c>
      <c r="AF103" s="20" t="n">
        <v>9</v>
      </c>
      <c r="AG103" s="19" t="inlineStr">
        <is>
          <t>Forbidden love</t>
        </is>
      </c>
      <c r="AH103" s="5" t="n"/>
      <c r="AI103" s="5" t="n"/>
      <c r="AJ103" s="5" t="n"/>
      <c r="AK103" s="5" t="n"/>
      <c r="AL103" s="5" t="n"/>
      <c r="AM103" s="5" t="n"/>
      <c r="AN103" s="5" t="n"/>
      <c r="AO103" s="18" t="n"/>
      <c r="AP103" s="19" t="n"/>
      <c r="AQ103" s="19" t="n"/>
      <c r="AR103" s="5" t="inlineStr">
        <is>
          <t>SOURCE-001; SOURCE-095</t>
        </is>
      </c>
      <c r="AS103" s="5" t="inlineStr">
        <is>
          <t>Medium</t>
        </is>
      </c>
      <c r="AT103" s="5" t="inlineStr">
        <is>
          <t>The article records the film as heavily inspired by Coming to America. Shammi Kapoor plays his father, one of several films pairing them as father and son. The concealment of his rank, rather than the rank itself, is what ruptures the romance, which makes this a variation on the false-identity courtships of the 1970s films.</t>
        </is>
      </c>
    </row>
    <row r="104" ht="94" customHeight="1">
      <c r="A104" s="15" t="inlineStr">
        <is>
          <t>FILM-103</t>
        </is>
      </c>
      <c r="B104" s="5" t="inlineStr">
        <is>
          <t>Ghar Ki Izzat</t>
        </is>
      </c>
      <c r="C104" s="16" t="n">
        <v>34630</v>
      </c>
      <c r="D104" s="17" t="n">
        <v>1994</v>
      </c>
      <c r="E104" s="5" t="inlineStr">
        <is>
          <t>1990s</t>
        </is>
      </c>
      <c r="F104" s="5" t="inlineStr">
        <is>
          <t>Hindi</t>
        </is>
      </c>
      <c r="G104" s="5" t="inlineStr">
        <is>
          <t>Family melodrama</t>
        </is>
      </c>
      <c r="H104" s="5" t="inlineStr">
        <is>
          <t>Social drama</t>
        </is>
      </c>
      <c r="I104" s="17" t="n">
        <v>133</v>
      </c>
      <c r="J104" s="5" t="inlineStr">
        <is>
          <t>Kalpataru</t>
        </is>
      </c>
      <c r="K104" s="5" t="inlineStr">
        <is>
          <t>Kanu Chauhan</t>
        </is>
      </c>
      <c r="L104" s="5" t="inlineStr">
        <is>
          <t>Raj Sun Films</t>
        </is>
      </c>
      <c r="M104" s="5" t="inlineStr">
        <is>
          <t>Kader Khan; Keshav Rathod; Kalpataru</t>
        </is>
      </c>
      <c r="N104" s="5" t="inlineStr">
        <is>
          <t>Based on Banga Kora</t>
        </is>
      </c>
      <c r="O104" s="5" t="inlineStr">
        <is>
          <t>Amar-Utpal</t>
        </is>
      </c>
      <c r="P104" s="5" t="n"/>
      <c r="Q104" s="5" t="n"/>
      <c r="R104" s="5" t="inlineStr">
        <is>
          <t>Mohan Kumar</t>
        </is>
      </c>
      <c r="S104" s="5" t="n"/>
      <c r="T104" s="5" t="inlineStr">
        <is>
          <t>Co-lead</t>
        </is>
      </c>
      <c r="U104" s="20" t="n">
        <v>2</v>
      </c>
      <c r="V104" s="5" t="inlineStr">
        <is>
          <t>Becomes a famous singer; earlier without independent occupation</t>
        </is>
      </c>
      <c r="W104" s="5" t="inlineStr">
        <is>
          <t>One of four brothers in a joint family held together by the eldest, Ram Kumar</t>
        </is>
      </c>
      <c r="X104" s="19" t="inlineStr">
        <is>
          <t>Mohan is the brother who bickers with and loves Geeta, his sister-in-law's younger sister and a child widow living in the household. When two incoming wives break the family's solidarity and denounce Geeta publicly as a widow, she is sent away to be tormented at her in-laws'; Mohan follows the collapsing family to the village, becomes a singer to support them, and the film ends with their marriage.</t>
        </is>
      </c>
      <c r="Y104" s="19" t="inlineStr">
        <is>
          <t>To marry Geeta and hold what is left of the family together.</t>
        </is>
      </c>
      <c r="Z104" s="19" t="inlineStr">
        <is>
          <t>Two sisters-in-law who destroy the joint household and use Geeta's widowhood as a weapon.</t>
        </is>
      </c>
      <c r="AA104" s="19" t="inlineStr">
        <is>
          <t>From one of four brothers in a shared house to the earner who supports the family and marries the widow it discarded.</t>
        </is>
      </c>
      <c r="AB104" s="19" t="inlineStr">
        <is>
          <t>Good</t>
        </is>
      </c>
      <c r="AC104" s="5" t="inlineStr">
        <is>
          <t>Rescues Shyam and Mona from Sheetal's plot, reunites the family, and marries Geeta.</t>
        </is>
      </c>
      <c r="AD104" s="5" t="inlineStr">
        <is>
          <t>Juhi Chawla</t>
        </is>
      </c>
      <c r="AE104" s="5" t="inlineStr">
        <is>
          <t>Major</t>
        </is>
      </c>
      <c r="AF104" s="20" t="n">
        <v>7</v>
      </c>
      <c r="AG104" s="19" t="inlineStr">
        <is>
          <t>Forbidden love</t>
        </is>
      </c>
      <c r="AH104" s="5" t="n"/>
      <c r="AI104" s="5" t="n"/>
      <c r="AJ104" s="5" t="n"/>
      <c r="AK104" s="5" t="n"/>
      <c r="AL104" s="5" t="n"/>
      <c r="AM104" s="5" t="n"/>
      <c r="AN104" s="5" t="n"/>
      <c r="AO104" s="18" t="n"/>
      <c r="AP104" s="19" t="n"/>
      <c r="AQ104" s="19" t="inlineStr">
        <is>
          <t>The third film in the filmography built on widow remarriage, after Prem Rog (1982) and Deewana (1992).</t>
        </is>
      </c>
      <c r="AR104" s="5" t="inlineStr">
        <is>
          <t>SOURCE-001; SOURCE-096</t>
        </is>
      </c>
      <c r="AS104" s="5" t="inlineStr">
        <is>
          <t>Low</t>
        </is>
      </c>
      <c r="AT104" s="5" t="inlineStr">
        <is>
          <t>The article's plot is written in unusually compressed and idiosyncratic English, and several relationships are asserted rather than shown. Geeta is described as a child widow, which makes this the third widow-remarriage plot of Kapoor's career and the second in which he marries the widow himself.</t>
        </is>
      </c>
    </row>
    <row r="105" ht="94" customHeight="1">
      <c r="A105" s="15" t="inlineStr">
        <is>
          <t>FILM-104</t>
        </is>
      </c>
      <c r="B105" s="5" t="inlineStr">
        <is>
          <t>Saajan Ki Baahon Mein</t>
        </is>
      </c>
      <c r="C105" s="16" t="n">
        <v>34908</v>
      </c>
      <c r="D105" s="17" t="n">
        <v>1995</v>
      </c>
      <c r="E105" s="5" t="inlineStr">
        <is>
          <t>1990s</t>
        </is>
      </c>
      <c r="F105" s="5" t="inlineStr">
        <is>
          <t>Hindi</t>
        </is>
      </c>
      <c r="G105" s="5" t="inlineStr">
        <is>
          <t>Romantic drama</t>
        </is>
      </c>
      <c r="H105" s="5" t="inlineStr">
        <is>
          <t>Musical</t>
        </is>
      </c>
      <c r="I105" s="17" t="n">
        <v>145</v>
      </c>
      <c r="J105" s="5" t="inlineStr">
        <is>
          <t>Jay Prakash</t>
        </is>
      </c>
      <c r="K105" s="5" t="inlineStr">
        <is>
          <t>Dinesh B. Patel</t>
        </is>
      </c>
      <c r="L105" s="5" t="n"/>
      <c r="M105" s="5" t="inlineStr">
        <is>
          <t>Rumi Jaffery; Jay Prakash; Sachin Bhowmick</t>
        </is>
      </c>
      <c r="N105" s="5" t="n"/>
      <c r="O105" s="5" t="inlineStr">
        <is>
          <t>Nadeem–Shravan</t>
        </is>
      </c>
      <c r="P105" s="5" t="n"/>
      <c r="Q105" s="5" t="inlineStr">
        <is>
          <t>Sameer</t>
        </is>
      </c>
      <c r="R105" s="5" t="inlineStr">
        <is>
          <t>Sagar</t>
        </is>
      </c>
      <c r="S105" s="5" t="n"/>
      <c r="T105" s="5" t="inlineStr">
        <is>
          <t>Lead</t>
        </is>
      </c>
      <c r="U105" s="20" t="n">
        <v>1</v>
      </c>
      <c r="V105" s="5" t="inlineStr">
        <is>
          <t>Well-known singer</t>
        </is>
      </c>
      <c r="W105" s="5" t="inlineStr">
        <is>
          <t>A bachelor performer with a large female following, and a childhood friend of the man Sapna's father intends her to marry</t>
        </is>
      </c>
      <c r="X105" s="19" t="inlineStr">
        <is>
          <t>Sagar is a celebrated singer who meets Sapna in Srinagar among his followers and, after some misunderstandings, falls in love with her. Neither knows her father has promised her to Rakesh, the son of his own childhood friend. Separated by that arrangement, they meet again months later with her engaged to Rakesh and Sagar announcing his own marriage to Kavita.</t>
        </is>
      </c>
      <c r="Y105" s="19" t="inlineStr">
        <is>
          <t>To marry Sapna, and afterwards to have somewhere to put himself when he cannot.</t>
        </is>
      </c>
      <c r="Z105" s="19" t="inlineStr">
        <is>
          <t>Her father's prior arrangement with the family of Sagar's own childhood friend.</t>
        </is>
      </c>
      <c r="AA105" s="19" t="inlineStr">
        <is>
          <t>From a bachelor performer to a man engaged to one woman while in love with another.</t>
        </is>
      </c>
      <c r="AB105" s="19" t="inlineStr">
        <is>
          <t>Good</t>
        </is>
      </c>
      <c r="AC105" s="5" t="inlineStr">
        <is>
          <t>Not documented; the article states only that the fate of the love story forms the climax.</t>
        </is>
      </c>
      <c r="AD105" s="5" t="inlineStr">
        <is>
          <t>Raveena Tandon; Tabu</t>
        </is>
      </c>
      <c r="AE105" s="5" t="inlineStr">
        <is>
          <t>Central</t>
        </is>
      </c>
      <c r="AF105" s="20" t="n">
        <v>9</v>
      </c>
      <c r="AG105" s="19" t="inlineStr">
        <is>
          <t>Multiple romantic relationships</t>
        </is>
      </c>
      <c r="AH105" s="5" t="n"/>
      <c r="AI105" s="5" t="n"/>
      <c r="AJ105" s="5" t="n"/>
      <c r="AK105" s="5" t="n"/>
      <c r="AL105" s="5" t="n"/>
      <c r="AM105" s="5" t="n"/>
      <c r="AN105" s="5" t="n"/>
      <c r="AO105" s="18" t="n"/>
      <c r="AP105" s="19" t="n"/>
      <c r="AQ105" s="19" t="n"/>
      <c r="AR105" s="5" t="inlineStr">
        <is>
          <t>SOURCE-001; SOURCE-097</t>
        </is>
      </c>
      <c r="AS105" s="5" t="inlineStr">
        <is>
          <t>Low</t>
        </is>
      </c>
      <c r="AT105" s="5" t="inlineStr">
        <is>
          <t>The article's plot is four sentences and explicitly withholds the ending. Two relationships are scored: Sapna, whom he loves and loses to an arranged match, and Kavita, whom he announces he will marry in response. The rival is his own childhood friend's son, which doubles the obligation working against him.</t>
        </is>
      </c>
    </row>
    <row r="106" ht="94" customHeight="1">
      <c r="A106" s="15" t="inlineStr">
        <is>
          <t>FILM-105</t>
        </is>
      </c>
      <c r="B106" s="5" t="inlineStr">
        <is>
          <t>Hum Dono</t>
        </is>
      </c>
      <c r="C106" s="16" t="n">
        <v>34922</v>
      </c>
      <c r="D106" s="17" t="n">
        <v>1995</v>
      </c>
      <c r="E106" s="5" t="inlineStr">
        <is>
          <t>1990s</t>
        </is>
      </c>
      <c r="F106" s="5" t="inlineStr">
        <is>
          <t>Hindi</t>
        </is>
      </c>
      <c r="G106" s="5" t="inlineStr">
        <is>
          <t>Action thriller</t>
        </is>
      </c>
      <c r="H106" s="5" t="inlineStr">
        <is>
          <t>Family drama</t>
        </is>
      </c>
      <c r="I106" s="18" t="n"/>
      <c r="J106" s="5" t="inlineStr">
        <is>
          <t>Shafi Inamdar</t>
        </is>
      </c>
      <c r="K106" s="5" t="inlineStr">
        <is>
          <t>Ravi Malhotra</t>
        </is>
      </c>
      <c r="L106" s="5" t="inlineStr">
        <is>
          <t>R. M. Films</t>
        </is>
      </c>
      <c r="M106" s="5" t="n"/>
      <c r="N106" s="5" t="n"/>
      <c r="O106" s="5" t="inlineStr">
        <is>
          <t>Anand–Milind</t>
        </is>
      </c>
      <c r="P106" s="5" t="n"/>
      <c r="Q106" s="5" t="n"/>
      <c r="R106" s="5" t="inlineStr">
        <is>
          <t>Rajesh</t>
        </is>
      </c>
      <c r="S106" s="5" t="n"/>
      <c r="T106" s="5" t="inlineStr">
        <is>
          <t>Co-lead</t>
        </is>
      </c>
      <c r="U106" s="20" t="n">
        <v>1</v>
      </c>
      <c r="V106" s="5" t="inlineStr">
        <is>
          <t>Not documented</t>
        </is>
      </c>
      <c r="W106" s="5" t="inlineStr">
        <is>
          <t>Step-brother of Vikram Saigal's son Vishal, and of a class Vishal despises</t>
        </is>
      </c>
      <c r="X106" s="19" t="inlineStr">
        <is>
          <t>Raju is the step-brother whose consent Vikram Saigal's will requires, which forces Vishal, who despises him and his lower-class life, to work with him to get the property at all. Raju has his own reason to cooperate: he needs Vishal's help with Priyanka.</t>
        </is>
      </c>
      <c r="Y106" s="19" t="inlineStr">
        <is>
          <t>To get Vishal's help with Priyanka, and his share of what the will allots.</t>
        </is>
      </c>
      <c r="Z106" s="19" t="inlineStr">
        <is>
          <t>A step-brother who holds him in contempt but cannot inherit without him.</t>
        </is>
      </c>
      <c r="AA106" s="19" t="inlineStr">
        <is>
          <t>Not documented; the article's plot is four sentences and stops at the premise.</t>
        </is>
      </c>
      <c r="AB106" s="19" t="inlineStr">
        <is>
          <t>Good</t>
        </is>
      </c>
      <c r="AC106" s="5" t="inlineStr">
        <is>
          <t>Not documented.</t>
        </is>
      </c>
      <c r="AD106" s="5" t="inlineStr">
        <is>
          <t>Pooja Bhatt</t>
        </is>
      </c>
      <c r="AE106" s="5" t="inlineStr">
        <is>
          <t>Secondary</t>
        </is>
      </c>
      <c r="AF106" s="20" t="n">
        <v>4</v>
      </c>
      <c r="AG106" s="19" t="inlineStr">
        <is>
          <t>Romance subordinate to another genre</t>
        </is>
      </c>
      <c r="AH106" s="5" t="n"/>
      <c r="AI106" s="5" t="n"/>
      <c r="AJ106" s="5" t="n"/>
      <c r="AK106" s="5" t="n"/>
      <c r="AL106" s="5" t="n"/>
      <c r="AM106" s="5" t="n"/>
      <c r="AN106" s="5" t="n"/>
      <c r="AO106" s="18" t="n"/>
      <c r="AP106" s="19" t="n"/>
      <c r="AQ106" s="19" t="n"/>
      <c r="AR106" s="5" t="inlineStr">
        <is>
          <t>SOURCE-001; SOURCE-098</t>
        </is>
      </c>
      <c r="AS106" s="5" t="inlineStr">
        <is>
          <t>Low</t>
        </is>
      </c>
      <c r="AT106" s="5" t="inlineStr">
        <is>
          <t>The only film directed by the actor Shafi Inamdar. The article's plot section is four sentences and states the romance with Priyanka as a motive without developing it, so no Romances row is created. The will requiring two step-brothers to act in concert is the whole of the documented premise.</t>
        </is>
      </c>
    </row>
    <row r="107" ht="124" customHeight="1">
      <c r="A107" s="15" t="inlineStr">
        <is>
          <t>FILM-106</t>
        </is>
      </c>
      <c r="B107" s="5" t="inlineStr">
        <is>
          <t>Yaraana</t>
        </is>
      </c>
      <c r="C107" s="16" t="n">
        <v>34992</v>
      </c>
      <c r="D107" s="17" t="n">
        <v>1995</v>
      </c>
      <c r="E107" s="5" t="inlineStr">
        <is>
          <t>1990s</t>
        </is>
      </c>
      <c r="F107" s="5" t="inlineStr">
        <is>
          <t>Hindi</t>
        </is>
      </c>
      <c r="G107" s="5" t="inlineStr">
        <is>
          <t>Romantic thriller</t>
        </is>
      </c>
      <c r="H107" s="5" t="n"/>
      <c r="I107" s="17" t="n">
        <v>126</v>
      </c>
      <c r="J107" s="5" t="inlineStr">
        <is>
          <t>David Dhawan</t>
        </is>
      </c>
      <c r="K107" s="5" t="inlineStr">
        <is>
          <t>Yusuf Bhatt; Reema Rakesh Nath</t>
        </is>
      </c>
      <c r="L107" s="5" t="n"/>
      <c r="M107" s="5" t="inlineStr">
        <is>
          <t>Reema Rakesh Nath</t>
        </is>
      </c>
      <c r="N107" s="5" t="n"/>
      <c r="O107" s="5" t="inlineStr">
        <is>
          <t>Anu Malik</t>
        </is>
      </c>
      <c r="P107" s="5" t="n"/>
      <c r="Q107" s="5" t="inlineStr">
        <is>
          <t>Rahat Indori; Anwar Sagar</t>
        </is>
      </c>
      <c r="R107" s="5" t="inlineStr">
        <is>
          <t>Raj</t>
        </is>
      </c>
      <c r="S107" s="5" t="n"/>
      <c r="T107" s="5" t="inlineStr">
        <is>
          <t>Co-lead</t>
        </is>
      </c>
      <c r="U107" s="20" t="n">
        <v>1</v>
      </c>
      <c r="V107" s="5" t="inlineStr">
        <is>
          <t>Grandson of Rai Sahib; not otherwise documented</t>
        </is>
      </c>
      <c r="W107" s="5" t="inlineStr">
        <is>
          <t>From a family comfortable enough for his grandfather to arrange a wedding readily</t>
        </is>
      </c>
      <c r="X107" s="19" t="inlineStr">
        <is>
          <t>Raj meets Lalita after she has escaped a forced marriage to the obsessive JB, who kidnapped her and watched her until the wedding day. She uses him as cover under the name Shikha and the two fall in love, and his grandfather arranges their wedding; JB then traces her, exposes who she is, and takes her back, until Raj kills him as he tries to kill her.</t>
        </is>
      </c>
      <c r="Y107" s="19" t="inlineStr">
        <is>
          <t>To marry the woman he knows as Shikha, and then to get her back from the man who owns her legally.</t>
        </is>
      </c>
      <c r="Z107" s="19" t="inlineStr">
        <is>
          <t>An obsessive pursuer with money, her uncle's collusion, and the false identity she courted him under.</t>
        </is>
      </c>
      <c r="AA107" s="19" t="inlineStr">
        <is>
          <t>From a man courting a woman under an assumed name to the one who kills her captor.</t>
        </is>
      </c>
      <c r="AB107" s="19" t="inlineStr">
        <is>
          <t>Good</t>
        </is>
      </c>
      <c r="AC107" s="5" t="inlineStr">
        <is>
          <t>Kills JB as he attempts to kill Lalita, and marries her.</t>
        </is>
      </c>
      <c r="AD107" s="5" t="inlineStr">
        <is>
          <t>Madhuri Dixit</t>
        </is>
      </c>
      <c r="AE107" s="5" t="inlineStr">
        <is>
          <t>Central</t>
        </is>
      </c>
      <c r="AF107" s="20" t="n">
        <v>9</v>
      </c>
      <c r="AG107" s="19" t="inlineStr">
        <is>
          <t>United couple versus external world</t>
        </is>
      </c>
      <c r="AH107" s="21" t="n">
        <v>4.75</v>
      </c>
      <c r="AI107" s="5" t="n"/>
      <c r="AJ107" s="5" t="n"/>
      <c r="AK107" s="5" t="n"/>
      <c r="AL107" s="5" t="n"/>
      <c r="AM107" s="5" t="inlineStr">
        <is>
          <t>INR crore</t>
        </is>
      </c>
      <c r="AN107" s="5" t="n"/>
      <c r="AO107" s="18" t="n"/>
      <c r="AP107" s="19" t="n"/>
      <c r="AQ107" s="19" t="n"/>
      <c r="AR107" s="5" t="inlineStr">
        <is>
          <t>SOURCE-001; SOURCE-099</t>
        </is>
      </c>
      <c r="AS107" s="5" t="inlineStr">
        <is>
          <t>Medium</t>
        </is>
      </c>
      <c r="AT107" s="5" t="inlineStr">
        <is>
          <t>Infobox gross '₹9.08 crore' has no nett/gross label and is not entered. The article records the film as loosely based on Sleeping with the Enemy. Notable for putting the obsessive-pursuer function on the antagonist rather than on Kapoor's character, which is the reverse of Badaltey Rishtey (1978); here he is the refuge rather than the threat. Madhuri Dixit is the protagonist and the deception is hers, not his.</t>
        </is>
      </c>
    </row>
    <row r="108" ht="109" customHeight="1">
      <c r="A108" s="15" t="inlineStr">
        <is>
          <t>FILM-107</t>
        </is>
      </c>
      <c r="B108" s="5" t="inlineStr">
        <is>
          <t>Prem Granth</t>
        </is>
      </c>
      <c r="C108" s="16" t="n">
        <v>35209</v>
      </c>
      <c r="D108" s="17" t="n">
        <v>1996</v>
      </c>
      <c r="E108" s="5" t="inlineStr">
        <is>
          <t>1990s</t>
        </is>
      </c>
      <c r="F108" s="5" t="inlineStr">
        <is>
          <t>Hindi</t>
        </is>
      </c>
      <c r="G108" s="5" t="inlineStr">
        <is>
          <t>Social drama</t>
        </is>
      </c>
      <c r="H108" s="5" t="inlineStr">
        <is>
          <t>Romance</t>
        </is>
      </c>
      <c r="I108" s="17" t="n">
        <v>156</v>
      </c>
      <c r="J108" s="5" t="inlineStr">
        <is>
          <t>Rajiv Kapoor</t>
        </is>
      </c>
      <c r="K108" s="5" t="inlineStr">
        <is>
          <t>Randhir Kapoor; Rishi Kapoor; Rajiv Kapoor</t>
        </is>
      </c>
      <c r="L108" s="5" t="inlineStr">
        <is>
          <t>R. K. Films</t>
        </is>
      </c>
      <c r="M108" s="5" t="inlineStr">
        <is>
          <t>Jainendra Jain</t>
        </is>
      </c>
      <c r="N108" s="5" t="inlineStr">
        <is>
          <t>Based on Tess of the d'Urbervilles by Thomas Hardy</t>
        </is>
      </c>
      <c r="O108" s="5" t="inlineStr">
        <is>
          <t>Laxmikant–Pyarelal</t>
        </is>
      </c>
      <c r="P108" s="5" t="n"/>
      <c r="Q108" s="5" t="n"/>
      <c r="R108" s="5" t="inlineStr">
        <is>
          <t>Somen</t>
        </is>
      </c>
      <c r="S108" s="5" t="n"/>
      <c r="T108" s="5" t="inlineStr">
        <is>
          <t>Co-lead</t>
        </is>
      </c>
      <c r="U108" s="20" t="n">
        <v>2</v>
      </c>
      <c r="V108" s="5" t="inlineStr">
        <is>
          <t>Lawyer</t>
        </is>
      </c>
      <c r="W108" s="5" t="inlineStr">
        <is>
          <t>Son of the head priest Swami Dharam Bhushan, and at odds with his father over caste, religion and social justice</t>
        </is>
      </c>
      <c r="X108" s="19" t="inlineStr">
        <is>
          <t>Somen is a lawyer who argues with his priest father about equality and religion, and falls in love with Kajri despite her lower caste. Separated from her, he does not know she has been raped on the road home, borne a child and buried it. When they meet again he pursues her, is told the truth by his own father at their engagement, walks out, and returns only after learning she was blameless.</t>
        </is>
      </c>
      <c r="Y108" s="19" t="inlineStr">
        <is>
          <t>To marry Kajri across caste, and then to understand what he walked out on.</t>
        </is>
      </c>
      <c r="Z108" s="19" t="inlineStr">
        <is>
          <t>His father's orthodoxy, the caste barrier, and the stigma attached to a woman who was raped.</t>
        </is>
      </c>
      <c r="AA108" s="19" t="inlineStr">
        <is>
          <t>From a young man confident in his own progressivism to one who abandons Kajri at the first test of it, and has to be shown the letter before he can return.</t>
        </is>
      </c>
      <c r="AB108" s="19" t="inlineStr">
        <is>
          <t>Morally mixed</t>
        </is>
      </c>
      <c r="AC108" s="5" t="inlineStr">
        <is>
          <t>Learns the rapist's identity from Kajri and, with her and her father, burns Roop Sahai.</t>
        </is>
      </c>
      <c r="AD108" s="5" t="inlineStr">
        <is>
          <t>Madhuri Dixit</t>
        </is>
      </c>
      <c r="AE108" s="5" t="inlineStr">
        <is>
          <t>Central</t>
        </is>
      </c>
      <c r="AF108" s="20" t="n">
        <v>10</v>
      </c>
      <c r="AG108" s="19" t="inlineStr">
        <is>
          <t>Forbidden love</t>
        </is>
      </c>
      <c r="AH108" s="5" t="n"/>
      <c r="AI108" s="5" t="n"/>
      <c r="AJ108" s="5" t="n"/>
      <c r="AK108" s="5" t="n"/>
      <c r="AL108" s="5" t="n"/>
      <c r="AM108" s="5" t="n"/>
      <c r="AN108" s="5" t="n"/>
      <c r="AO108" s="18" t="n"/>
      <c r="AP108" s="19" t="n"/>
      <c r="AQ108" s="19" t="inlineStr">
        <is>
          <t>Directed by his younger brother Rajiv Kapoor, and the second film of Kapoor's career, after Prem Rog (1982), built on a woman's sexual violation and the social penalty attached to it.</t>
        </is>
      </c>
      <c r="AR108" s="5" t="inlineStr">
        <is>
          <t>SOURCE-001; SOURCE-100</t>
        </is>
      </c>
      <c r="AS108" s="5" t="inlineStr">
        <is>
          <t>Medium</t>
        </is>
      </c>
      <c r="AT108" s="5" t="inlineStr">
        <is>
          <t>The article states plainly that the film deals with the subject of rape. The structure deliberately echoes Prem Rog with the crucial difference that here the hero fails the test: in 1982 Devdhar rebuilds a violated widow's life against the village, while Somen leaves Kajri at the engagement and has to be brought back by his uncle and a letter he never read.</t>
        </is>
      </c>
    </row>
    <row r="109" ht="139" customHeight="1">
      <c r="A109" s="15" t="inlineStr">
        <is>
          <t>FILM-108</t>
        </is>
      </c>
      <c r="B109" s="5" t="inlineStr">
        <is>
          <t>Daraar</t>
        </is>
      </c>
      <c r="C109" s="16" t="n">
        <v>35251</v>
      </c>
      <c r="D109" s="17" t="n">
        <v>1996</v>
      </c>
      <c r="E109" s="5" t="inlineStr">
        <is>
          <t>1990s</t>
        </is>
      </c>
      <c r="F109" s="5" t="inlineStr">
        <is>
          <t>Hindi</t>
        </is>
      </c>
      <c r="G109" s="5" t="inlineStr">
        <is>
          <t>Romantic thriller</t>
        </is>
      </c>
      <c r="H109" s="5" t="n"/>
      <c r="I109" s="17" t="n">
        <v>145</v>
      </c>
      <c r="J109" s="5" t="inlineStr">
        <is>
          <t>Abbas–Mustan</t>
        </is>
      </c>
      <c r="K109" s="5" t="inlineStr">
        <is>
          <t>Sujit Kumar</t>
        </is>
      </c>
      <c r="L109" s="5" t="inlineStr">
        <is>
          <t>Shree Shivbhakti Films; Venus Records &amp; Tapes</t>
        </is>
      </c>
      <c r="M109" s="5" t="inlineStr">
        <is>
          <t>Sachin Bhowmick</t>
        </is>
      </c>
      <c r="N109" s="5" t="n"/>
      <c r="O109" s="5" t="inlineStr">
        <is>
          <t>Anu Malik</t>
        </is>
      </c>
      <c r="P109" s="5" t="inlineStr">
        <is>
          <t>Sandeep Chowta</t>
        </is>
      </c>
      <c r="Q109" s="5" t="n"/>
      <c r="R109" s="5" t="inlineStr">
        <is>
          <t>Raj Malhotra</t>
        </is>
      </c>
      <c r="S109" s="5" t="n"/>
      <c r="T109" s="5" t="inlineStr">
        <is>
          <t>Co-lead</t>
        </is>
      </c>
      <c r="U109" s="20" t="n">
        <v>2</v>
      </c>
      <c r="V109" s="5" t="inlineStr">
        <is>
          <t>Wealthy industrialist</t>
        </is>
      </c>
      <c r="W109" s="5" t="inlineStr">
        <is>
          <t>A rich man of Shimla, living with his mother and a household of servants</t>
        </is>
      </c>
      <c r="X109" s="19" t="inlineStr">
        <is>
          <t>Raj falls in love with Priya in Shimla without knowing she is a wife in hiding from a husband who beat her and killed the doctor who treated her. He pursues her, is deterred when a garbled letter reveals she is married, and returns once the real letter reaches him. When Vikram traces her, Raj is framed for attempted murder, and it is Raj who finally drowns him in a bathtub.</t>
        </is>
      </c>
      <c r="Y109" s="19" t="inlineStr">
        <is>
          <t>To marry Priya, and then to survive the husband she escaped.</t>
        </is>
      </c>
      <c r="Z109" s="19" t="inlineStr">
        <is>
          <t>A violent, obsessive husband still legally married to her, who frames him and then hunts them both.</t>
        </is>
      </c>
      <c r="AA109" s="19" t="inlineStr">
        <is>
          <t>From a suitor put off by her marriage to the man who kills the husband to end it.</t>
        </is>
      </c>
      <c r="AB109" s="19" t="inlineStr">
        <is>
          <t>Good</t>
        </is>
      </c>
      <c r="AC109" s="5" t="inlineStr">
        <is>
          <t>Clears himself, kills Vikram in the bathtub, and survives the final attack at the railway station where Vikram dies under a train.</t>
        </is>
      </c>
      <c r="AD109" s="5" t="inlineStr">
        <is>
          <t>Juhi Chawla</t>
        </is>
      </c>
      <c r="AE109" s="5" t="inlineStr">
        <is>
          <t>Central</t>
        </is>
      </c>
      <c r="AF109" s="20" t="n">
        <v>9</v>
      </c>
      <c r="AG109" s="19" t="inlineStr">
        <is>
          <t>United couple versus external world</t>
        </is>
      </c>
      <c r="AH109" s="21" t="n">
        <v>4.5</v>
      </c>
      <c r="AI109" s="5" t="n"/>
      <c r="AJ109" s="5" t="n"/>
      <c r="AK109" s="5" t="n"/>
      <c r="AL109" s="5" t="n"/>
      <c r="AM109" s="5" t="inlineStr">
        <is>
          <t>INR crore</t>
        </is>
      </c>
      <c r="AN109" s="5" t="n"/>
      <c r="AO109" s="18" t="n"/>
      <c r="AP109" s="19" t="n"/>
      <c r="AQ109" s="19" t="n"/>
      <c r="AR109" s="5" t="inlineStr">
        <is>
          <t>SOURCE-001; SOURCE-101</t>
        </is>
      </c>
      <c r="AS109" s="5" t="inlineStr">
        <is>
          <t>Medium</t>
        </is>
      </c>
      <c r="AT109" s="5" t="inlineStr">
        <is>
          <t>Infobox gross '₹10.97 crore' has no nett/gross label and is not entered. Arbaaz Khan's debut as the abusive husband. The pattern of Yaraana the previous year is repeated with Kapoor again as the safe second attachment against a violent first claim, which by the mid-1990s had become a settled role type for him; it is the exact inverse of his position in Deewana (1992), where he was the first husband whose return threatened the second marriage.</t>
        </is>
      </c>
    </row>
    <row r="110" ht="124" customHeight="1">
      <c r="A110" s="15" t="inlineStr">
        <is>
          <t>FILM-109</t>
        </is>
      </c>
      <c r="B110" s="5" t="inlineStr">
        <is>
          <t>Kaun Sachcha Kaun Jhootha</t>
        </is>
      </c>
      <c r="C110" s="16" t="n">
        <v>35531</v>
      </c>
      <c r="D110" s="17" t="n">
        <v>1997</v>
      </c>
      <c r="E110" s="5" t="inlineStr">
        <is>
          <t>1990s</t>
        </is>
      </c>
      <c r="F110" s="5" t="inlineStr">
        <is>
          <t>Hindi</t>
        </is>
      </c>
      <c r="G110" s="5" t="inlineStr">
        <is>
          <t>Thriller</t>
        </is>
      </c>
      <c r="H110" s="5" t="inlineStr">
        <is>
          <t>Romance</t>
        </is>
      </c>
      <c r="I110" s="18" t="n"/>
      <c r="J110" s="5" t="inlineStr">
        <is>
          <t>Partho Ghosh</t>
        </is>
      </c>
      <c r="K110" s="5" t="inlineStr">
        <is>
          <t>Kamlesh Doshi; Rakesh Roshan</t>
        </is>
      </c>
      <c r="L110" s="5" t="n"/>
      <c r="M110" s="5" t="inlineStr">
        <is>
          <t>Ranbir Pushp</t>
        </is>
      </c>
      <c r="N110" s="5" t="n"/>
      <c r="O110" s="5" t="inlineStr">
        <is>
          <t>Rajesh Roshan</t>
        </is>
      </c>
      <c r="P110" s="5" t="n"/>
      <c r="Q110" s="5" t="inlineStr">
        <is>
          <t>Sameer</t>
        </is>
      </c>
      <c r="R110" s="5" t="inlineStr">
        <is>
          <t>CBI Officer Karan</t>
        </is>
      </c>
      <c r="S110" s="5" t="n"/>
      <c r="T110" s="5" t="inlineStr">
        <is>
          <t>Lead</t>
        </is>
      </c>
      <c r="U110" s="20" t="n">
        <v>1</v>
      </c>
      <c r="V110" s="5" t="inlineStr">
        <is>
          <t>Plainclothes CBI officer</t>
        </is>
      </c>
      <c r="W110" s="5" t="inlineStr">
        <is>
          <t>A police officer with friends among the powerful, which is what finally traps him</t>
        </is>
      </c>
      <c r="X110" s="19" t="inlineStr">
        <is>
          <t>Karan Saxena arrests Dr. Sapna Mathur for the murder of a fellow officer and obtains a taped confession, then declines to close the case because she interests him. He researches it further, falls in love with her, and when she is sentenced to death he helps her escape, only to find a manhunt launched for them both and the conspiracy reaching into his own friendships.</t>
        </is>
      </c>
      <c r="Y110" s="19" t="inlineStr">
        <is>
          <t>To understand a confession he no longer believes, and then to keep the woman who made it alive.</t>
        </is>
      </c>
      <c r="Z110" s="19" t="inlineStr">
        <is>
          <t>A death sentence, a manhunt, and powerful men including his own friends behind the original killing.</t>
        </is>
      </c>
      <c r="AA110" s="19" t="inlineStr">
        <is>
          <t>From the officer who secured the conviction to a fugitive who broke his own case open.</t>
        </is>
      </c>
      <c r="AB110" s="19" t="inlineStr">
        <is>
          <t>Good</t>
        </is>
      </c>
      <c r="AC110" s="5" t="inlineStr">
        <is>
          <t>Not documented; the article ends with neither Karan nor Sapna knowing what will happen next.</t>
        </is>
      </c>
      <c r="AD110" s="5" t="inlineStr">
        <is>
          <t>Sridevi</t>
        </is>
      </c>
      <c r="AE110" s="5" t="inlineStr">
        <is>
          <t>Central</t>
        </is>
      </c>
      <c r="AF110" s="20" t="n">
        <v>8</v>
      </c>
      <c r="AG110" s="19" t="inlineStr">
        <is>
          <t>Forbidden love</t>
        </is>
      </c>
      <c r="AH110" s="21" t="n">
        <v>2</v>
      </c>
      <c r="AI110" s="5" t="n"/>
      <c r="AJ110" s="5" t="n"/>
      <c r="AK110" s="5" t="n"/>
      <c r="AL110" s="5" t="n"/>
      <c r="AM110" s="5" t="inlineStr">
        <is>
          <t>INR crore</t>
        </is>
      </c>
      <c r="AN110" s="5" t="n"/>
      <c r="AO110" s="18" t="n"/>
      <c r="AP110" s="19" t="n"/>
      <c r="AQ110" s="19" t="n"/>
      <c r="AR110" s="5" t="inlineStr">
        <is>
          <t>SOURCE-001; SOURCE-102</t>
        </is>
      </c>
      <c r="AS110" s="5" t="inlineStr">
        <is>
          <t>Medium</t>
        </is>
      </c>
      <c r="AT110" s="5" t="inlineStr">
        <is>
          <t>Infobox gross '₹1.27 crore' has no nett/gross label and is not entered. The fifth and last Kapoor and Sridevi pairing, after Nagina, Chandni, Banjaran and Gurudev. The obstacle is unusual in the filmography: not a family or a class barrier but a conviction, a death sentence and the officer's own duty, which is why it is classified as forbidden love rather than as a thriller romance.</t>
        </is>
      </c>
    </row>
    <row r="111" ht="154" customHeight="1">
      <c r="A111" s="15" t="inlineStr">
        <is>
          <t>FILM-110</t>
        </is>
      </c>
      <c r="B111" s="5" t="inlineStr">
        <is>
          <t>Jai Hind</t>
        </is>
      </c>
      <c r="C111" s="5" t="inlineStr">
        <is>
          <t>1999</t>
        </is>
      </c>
      <c r="D111" s="17" t="n">
        <v>1999</v>
      </c>
      <c r="E111" s="5" t="inlineStr">
        <is>
          <t>1990s</t>
        </is>
      </c>
      <c r="F111" s="5" t="n"/>
      <c r="G111" s="5" t="n"/>
      <c r="H111" s="5" t="n"/>
      <c r="I111" s="18" t="n"/>
      <c r="J111" s="5" t="n"/>
      <c r="K111" s="5" t="n"/>
      <c r="L111" s="5" t="n"/>
      <c r="M111" s="5" t="n"/>
      <c r="N111" s="5" t="n"/>
      <c r="O111" s="5" t="n"/>
      <c r="P111" s="5" t="n"/>
      <c r="Q111" s="5" t="n"/>
      <c r="R111" s="5" t="inlineStr">
        <is>
          <t>Gulroz</t>
        </is>
      </c>
      <c r="S111" s="5" t="n"/>
      <c r="T111" s="5" t="n"/>
      <c r="U111" s="18" t="n"/>
      <c r="V111" s="5" t="n"/>
      <c r="W111" s="5" t="n"/>
      <c r="X111" s="19" t="inlineStr">
        <is>
          <t>The filmography table gives the title, the year 1999 and the character name Gulroz, and nothing else. No Wikipedia article exists for the film, so the role type, the co-stars, the director and every narrative field are undocumented.</t>
        </is>
      </c>
      <c r="Y111" s="19" t="n"/>
      <c r="Z111" s="19" t="n"/>
      <c r="AA111" s="19" t="n"/>
      <c r="AB111" s="19" t="n"/>
      <c r="AC111" s="5" t="n"/>
      <c r="AD111" s="5" t="n"/>
      <c r="AE111" s="5" t="n"/>
      <c r="AF111" s="18" t="n"/>
      <c r="AG111" s="19" t="n"/>
      <c r="AH111" s="5" t="n"/>
      <c r="AI111" s="5" t="n"/>
      <c r="AJ111" s="5" t="n"/>
      <c r="AK111" s="5" t="n"/>
      <c r="AL111" s="5" t="n"/>
      <c r="AM111" s="5" t="n"/>
      <c r="AN111" s="5" t="n"/>
      <c r="AO111" s="18" t="n"/>
      <c r="AP111" s="19" t="n"/>
      <c r="AQ111" s="19" t="n"/>
      <c r="AR111" s="5" t="inlineStr">
        <is>
          <t>SOURCE-001</t>
        </is>
      </c>
      <c r="AS111" s="5" t="inlineStr">
        <is>
          <t>Unknown</t>
        </is>
      </c>
      <c r="AT111" s="5" t="inlineStr">
        <is>
          <t>No Wikipedia film article; fields come from the filmography table. No Wikipedia article. [[List of Hindi films of 1999]] gives Manoj Kumar as director with Kapoor, Kunal Goswami, Shilpa Shirodkar and Pran; search summaries give a release of 23 April 1999. The row's own Box Office India citation is archived only at archive.today, which serves a CAPTCHA. One of the nine article-less films, and the last of them chronologically. All fields are deliberately left blank rather than guessed.</t>
        </is>
      </c>
    </row>
    <row r="112" ht="94" customHeight="1">
      <c r="A112" s="15" t="inlineStr">
        <is>
          <t>FILM-111</t>
        </is>
      </c>
      <c r="B112" s="5" t="inlineStr">
        <is>
          <t>Karobaar</t>
        </is>
      </c>
      <c r="C112" s="16" t="n">
        <v>36784</v>
      </c>
      <c r="D112" s="17" t="n">
        <v>2000</v>
      </c>
      <c r="E112" s="5" t="inlineStr">
        <is>
          <t>2000s</t>
        </is>
      </c>
      <c r="F112" s="5" t="inlineStr">
        <is>
          <t>Hindi</t>
        </is>
      </c>
      <c r="G112" s="5" t="inlineStr">
        <is>
          <t>Drama</t>
        </is>
      </c>
      <c r="H112" s="5" t="inlineStr">
        <is>
          <t>Legal drama</t>
        </is>
      </c>
      <c r="I112" s="18" t="n"/>
      <c r="J112" s="5" t="inlineStr">
        <is>
          <t>Rakesh Roshan</t>
        </is>
      </c>
      <c r="K112" s="5" t="inlineStr">
        <is>
          <t>Gava</t>
        </is>
      </c>
      <c r="L112" s="5" t="inlineStr">
        <is>
          <t>TVM International</t>
        </is>
      </c>
      <c r="M112" s="5" t="inlineStr">
        <is>
          <t>Sagar Sarhadi; Sachin Bhowmick; Ravi Kapoor</t>
        </is>
      </c>
      <c r="N112" s="5" t="n"/>
      <c r="O112" s="5" t="inlineStr">
        <is>
          <t>Rajesh Roshan</t>
        </is>
      </c>
      <c r="P112" s="5" t="inlineStr">
        <is>
          <t>Surinder Sodhi</t>
        </is>
      </c>
      <c r="Q112" s="5" t="inlineStr">
        <is>
          <t>Javed Akhtar</t>
        </is>
      </c>
      <c r="R112" s="5" t="inlineStr">
        <is>
          <t>Amar Saxena</t>
        </is>
      </c>
      <c r="S112" s="5" t="inlineStr">
        <is>
          <t>Rohit Sinha</t>
        </is>
      </c>
      <c r="T112" s="5" t="inlineStr">
        <is>
          <t>Lead</t>
        </is>
      </c>
      <c r="U112" s="20" t="n">
        <v>1</v>
      </c>
      <c r="V112" s="5" t="inlineStr">
        <is>
          <t>Advocate; middle-class by origin</t>
        </is>
      </c>
      <c r="W112" s="5" t="inlineStr">
        <is>
          <t>Middle-class childhood friend of the wealthy Rajiv Sinha, with tastes so similar that both fall for the same woman</t>
        </is>
      </c>
      <c r="X112" s="19" t="inlineStr">
        <is>
          <t>Amar and the wealthy Rajiv have been friends since childhood and fall in love with the same woman. Rajiv invents a pretext to talk Amar out of marrying Seema; Amar marries her anyway and later learns the pretext was a device to separate them, which turns the friendship into enmity. When Rajiv is charged with killing a girl, Amar, now a lawyer, sets out to use the case against him.</t>
        </is>
      </c>
      <c r="Y112" s="19" t="inlineStr">
        <is>
          <t>To keep Seema, and then to punish the friend who tried to take her by deceit.</t>
        </is>
      </c>
      <c r="Z112" s="19" t="inlineStr">
        <is>
          <t>A rich friend who manipulated his marriage and then gave him a murder charge to exploit.</t>
        </is>
      </c>
      <c r="AA112" s="19" t="inlineStr">
        <is>
          <t>From a man who almost gave up his marriage on a friend's word to a lawyer prosecuting that friend.</t>
        </is>
      </c>
      <c r="AB112" s="19" t="inlineStr">
        <is>
          <t>Morally mixed</t>
        </is>
      </c>
      <c r="AC112" s="5" t="inlineStr">
        <is>
          <t>Not documented; the article's summary ends with Amar deciding to retaliate.</t>
        </is>
      </c>
      <c r="AD112" s="5" t="inlineStr">
        <is>
          <t>Juhi Chawla</t>
        </is>
      </c>
      <c r="AE112" s="5" t="inlineStr">
        <is>
          <t>Central</t>
        </is>
      </c>
      <c r="AF112" s="20" t="n">
        <v>8</v>
      </c>
      <c r="AG112" s="19" t="inlineStr">
        <is>
          <t>Love triangle</t>
        </is>
      </c>
      <c r="AH112" s="21" t="n">
        <v>6</v>
      </c>
      <c r="AI112" s="5" t="n"/>
      <c r="AJ112" s="5" t="n"/>
      <c r="AK112" s="5" t="n"/>
      <c r="AL112" s="5" t="n"/>
      <c r="AM112" s="5" t="inlineStr">
        <is>
          <t>INR crore</t>
        </is>
      </c>
      <c r="AN112" s="5" t="inlineStr">
        <is>
          <t>Flop</t>
        </is>
      </c>
      <c r="AO112" s="18" t="n"/>
      <c r="AP112" s="19" t="inlineStr">
        <is>
          <t>Rishita Roy Chowdhury of India Today, in a retrospective review in 2021, wrote that the film tried to add desi twists to the Hollywood hit Indecent Proposal and failed miserably.</t>
        </is>
      </c>
      <c r="AQ112" s="19" t="n"/>
      <c r="AR112" s="5" t="inlineStr">
        <is>
          <t>SOURCE-001; SOURCE-103</t>
        </is>
      </c>
      <c r="AS112" s="5" t="inlineStr">
        <is>
          <t>Medium</t>
        </is>
      </c>
      <c r="AT112" s="5" t="inlineStr">
        <is>
          <t>Infobox gross '₹2.84 crore' has no nett/gross label and is not entered. Released as Karobaar: The Business of Love. The eighth of eleven Kapoor and Juhi Chawla films, and the last in which they are romantically paired. The located review is retrospective rather than contemporary and is recorded as such.</t>
        </is>
      </c>
    </row>
    <row r="113" ht="154" customHeight="1">
      <c r="A113" s="15" t="inlineStr">
        <is>
          <t>FILM-112</t>
        </is>
      </c>
      <c r="B113" s="5" t="inlineStr">
        <is>
          <t>Raju Chacha</t>
        </is>
      </c>
      <c r="C113" s="16" t="n">
        <v>36889</v>
      </c>
      <c r="D113" s="17" t="n">
        <v>2000</v>
      </c>
      <c r="E113" s="5" t="inlineStr">
        <is>
          <t>2000s</t>
        </is>
      </c>
      <c r="F113" s="5" t="inlineStr">
        <is>
          <t>Hindi</t>
        </is>
      </c>
      <c r="G113" s="5" t="inlineStr">
        <is>
          <t>Adventure comedy</t>
        </is>
      </c>
      <c r="H113" s="5" t="inlineStr">
        <is>
          <t>Family drama</t>
        </is>
      </c>
      <c r="I113" s="18" t="n"/>
      <c r="J113" s="5" t="inlineStr">
        <is>
          <t>Anil Devgan</t>
        </is>
      </c>
      <c r="K113" s="5" t="inlineStr">
        <is>
          <t>Ajay Devgn; Veeru Devgan</t>
        </is>
      </c>
      <c r="L113" s="5" t="inlineStr">
        <is>
          <t>Devgans Films</t>
        </is>
      </c>
      <c r="M113" s="5" t="inlineStr">
        <is>
          <t>Anees Bazmee; Robin Bhatt</t>
        </is>
      </c>
      <c r="N113" s="5" t="n"/>
      <c r="O113" s="5" t="inlineStr">
        <is>
          <t>Jatin–Lalit</t>
        </is>
      </c>
      <c r="P113" s="5" t="n"/>
      <c r="Q113" s="5" t="inlineStr">
        <is>
          <t>Anand Bakshi</t>
        </is>
      </c>
      <c r="R113" s="5" t="inlineStr">
        <is>
          <t>Siddhant Rai</t>
        </is>
      </c>
      <c r="S113" s="5" t="n"/>
      <c r="T113" s="5" t="inlineStr">
        <is>
          <t>Supporting</t>
        </is>
      </c>
      <c r="U113" s="20" t="n">
        <v>4</v>
      </c>
      <c r="V113" s="5" t="inlineStr">
        <is>
          <t>Wealthy businessman</t>
        </is>
      </c>
      <c r="W113" s="5" t="inlineStr">
        <is>
          <t>A rich widower raising three children alone with a butler, and with relatives waiting for his fortune</t>
        </is>
      </c>
      <c r="X113" s="19" t="inlineStr">
        <is>
          <t>Siddhant Rai is a wealthy widower whose three children are so unruly that they drive off every governess he hires, and whose work keeps him away from them. He gives permission for the governess Anna to marry Shekhar, sees that marriage collapse when Shekhar is arrested on the wedding day, and is then killed in an accident, which hands the children to relatives interested only in his money.</t>
        </is>
      </c>
      <c r="Y113" s="19" t="inlineStr">
        <is>
          <t>To find someone who can manage his children while his work takes him away.</t>
        </is>
      </c>
      <c r="Z113" s="19" t="inlineStr">
        <is>
          <t>Children he cannot control and relatives who want his fortune.</t>
        </is>
      </c>
      <c r="AA113" s="19" t="inlineStr">
        <is>
          <t>Little; he is the father whose death sets the plot in motion.</t>
        </is>
      </c>
      <c r="AB113" s="19" t="inlineStr">
        <is>
          <t>Good</t>
        </is>
      </c>
      <c r="AC113" s="5" t="inlineStr">
        <is>
          <t>Killed in an accident, after which his children are placed with the relatives he would not have chosen.</t>
        </is>
      </c>
      <c r="AD113" s="5" t="n"/>
      <c r="AE113" s="5" t="inlineStr">
        <is>
          <t>None</t>
        </is>
      </c>
      <c r="AF113" s="18" t="n"/>
      <c r="AG113" s="19" t="inlineStr">
        <is>
          <t>No meaningful romance</t>
        </is>
      </c>
      <c r="AH113" s="21" t="n">
        <v>25</v>
      </c>
      <c r="AI113" s="5" t="n"/>
      <c r="AJ113" s="5" t="n"/>
      <c r="AK113" s="5" t="n"/>
      <c r="AL113" s="21" t="n">
        <v>20.92</v>
      </c>
      <c r="AM113" s="5" t="inlineStr">
        <is>
          <t>INR crore</t>
        </is>
      </c>
      <c r="AN113" s="5" t="inlineStr">
        <is>
          <t>Disaster</t>
        </is>
      </c>
      <c r="AO113" s="18" t="n"/>
      <c r="AP113" s="19" t="inlineStr">
        <is>
          <t>The article records that the film grossed ₹209.2 million worldwide against a budget of ₹250 million and was declared a disaster by Box Office India.</t>
        </is>
      </c>
      <c r="AQ113" s="19" t="n"/>
      <c r="AR113" s="5" t="inlineStr">
        <is>
          <t>SOURCE-001; SOURCE-104</t>
        </is>
      </c>
      <c r="AS113" s="5" t="inlineStr">
        <is>
          <t>Medium</t>
        </is>
      </c>
      <c r="AT113" s="5" t="inlineStr">
        <is>
          <t>Infobox release dates: 2000-12-28 (United States); 2000-12-29 (India). Infobox gross '₹20.92 crore' has no nett/gross label and is not entered. Fourth-billed; Ajay Devgn and Kajol carry the film, and Kapoor plays the widowed father who dies partway through. The commercial figures are explicitly labelled in the article as a worldwide gross against a budget, so both are entered. A widower with no romantic thread, which is why romance presence is None rather than inferred from any billing.</t>
        </is>
      </c>
    </row>
    <row r="114" ht="139" customHeight="1">
      <c r="A114" s="15" t="inlineStr">
        <is>
          <t>FILM-113</t>
        </is>
      </c>
      <c r="B114" s="5" t="inlineStr">
        <is>
          <t>Kuch Khatti Kuch Meethi</t>
        </is>
      </c>
      <c r="C114" s="16" t="n">
        <v>36910</v>
      </c>
      <c r="D114" s="17" t="n">
        <v>2001</v>
      </c>
      <c r="E114" s="5" t="inlineStr">
        <is>
          <t>2000s</t>
        </is>
      </c>
      <c r="F114" s="5" t="inlineStr">
        <is>
          <t>Hindi</t>
        </is>
      </c>
      <c r="G114" s="5" t="inlineStr">
        <is>
          <t>Comedy</t>
        </is>
      </c>
      <c r="H114" s="5" t="inlineStr">
        <is>
          <t>Family drama</t>
        </is>
      </c>
      <c r="I114" s="17" t="n">
        <v>139</v>
      </c>
      <c r="J114" s="5" t="inlineStr">
        <is>
          <t>Rahul Rawail</t>
        </is>
      </c>
      <c r="K114" s="5" t="inlineStr">
        <is>
          <t>Rita Rawail; B.L. Saboo; Pritish Nandy; Rangita Pritish Nandy</t>
        </is>
      </c>
      <c r="L114" s="5" t="inlineStr">
        <is>
          <t>Bharat Film Works; Saboo Films</t>
        </is>
      </c>
      <c r="M114" s="5" t="inlineStr">
        <is>
          <t>Bholu Khan; Aman Jeffery; Sudhir Mishra; Raju Saigal</t>
        </is>
      </c>
      <c r="N114" s="5" t="inlineStr">
        <is>
          <t>Based on The Parent Trap by David Swift</t>
        </is>
      </c>
      <c r="O114" s="5" t="inlineStr">
        <is>
          <t>Anu Malik</t>
        </is>
      </c>
      <c r="P114" s="5" t="n"/>
      <c r="Q114" s="5" t="inlineStr">
        <is>
          <t>Sameer</t>
        </is>
      </c>
      <c r="R114" s="5" t="inlineStr">
        <is>
          <t>Raj Khanna</t>
        </is>
      </c>
      <c r="S114" s="5" t="n"/>
      <c r="T114" s="5" t="inlineStr">
        <is>
          <t>Supporting</t>
        </is>
      </c>
      <c r="U114" s="20" t="n">
        <v>3</v>
      </c>
      <c r="V114" s="5" t="inlineStr">
        <is>
          <t>Wealthy businessman</t>
        </is>
      </c>
      <c r="W114" s="5" t="inlineStr">
        <is>
          <t>A rich man whose marriage was broken by his stepsister's lie, raising one twin daughter alone</t>
        </is>
      </c>
      <c r="X114" s="19" t="inlineStr">
        <is>
          <t>Raj Khanna is told by his scheming stepsister that his wife is unfaithful, and the couple separate on the strength of it, splitting their newborn twins between them. He raises Sweety alone in India, tries to arrange her marriage, and is conducting an affair with Savitri by the time the twins swap places and set about reuniting their parents.</t>
        </is>
      </c>
      <c r="Y114" s="19" t="inlineStr">
        <is>
          <t>To hold his household together after a separation he was manipulated into.</t>
        </is>
      </c>
      <c r="Z114" s="19" t="inlineStr">
        <is>
          <t>A stepsister who wants his wealth and manufactured the suspicion that cost him his marriage.</t>
        </is>
      </c>
      <c r="AA114" s="19" t="inlineStr">
        <is>
          <t>From a husband who believed a lie to a father brought back to his wife by the daughters he separated.</t>
        </is>
      </c>
      <c r="AB114" s="19" t="inlineStr">
        <is>
          <t>Morally mixed</t>
        </is>
      </c>
      <c r="AC114" s="5" t="inlineStr">
        <is>
          <t>Meets Archana again and the two consider living together.</t>
        </is>
      </c>
      <c r="AD114" s="5" t="inlineStr">
        <is>
          <t>Rati Agnihotri</t>
        </is>
      </c>
      <c r="AE114" s="5" t="inlineStr">
        <is>
          <t>Major</t>
        </is>
      </c>
      <c r="AF114" s="20" t="n">
        <v>8</v>
      </c>
      <c r="AG114" s="19" t="inlineStr">
        <is>
          <t>Relationship damaged by mistrust</t>
        </is>
      </c>
      <c r="AH114" s="21" t="n">
        <v>6</v>
      </c>
      <c r="AI114" s="5" t="n"/>
      <c r="AJ114" s="5" t="n"/>
      <c r="AK114" s="5" t="n"/>
      <c r="AL114" s="5" t="n"/>
      <c r="AM114" s="5" t="inlineStr">
        <is>
          <t>INR crore</t>
        </is>
      </c>
      <c r="AN114" s="5" t="n"/>
      <c r="AO114" s="18" t="n"/>
      <c r="AP114" s="19" t="n"/>
      <c r="AQ114" s="19" t="n"/>
      <c r="AR114" s="5" t="inlineStr">
        <is>
          <t>SOURCE-001; SOURCE-105</t>
        </is>
      </c>
      <c r="AS114" s="5" t="inlineStr">
        <is>
          <t>Low</t>
        </is>
      </c>
      <c r="AT114" s="5" t="inlineStr">
        <is>
          <t>Infobox gross '₹10.55 crore' has no nett/gross label and is not entered. A twin-swap comedy in the manner of The Parent Trap, with Kajol in the dual role. Kapoor is third-billed and plays the father; the estranged marriage is the object the plot is working to repair, which is why romance presence is Major despite the supporting billing. The article records him as having an affair with Savitri while separated, which the film treats as an obstacle for the daughters to remove.</t>
        </is>
      </c>
    </row>
    <row r="115" ht="139" customHeight="1">
      <c r="A115" s="15" t="inlineStr">
        <is>
          <t>FILM-114</t>
        </is>
      </c>
      <c r="B115" s="5" t="inlineStr">
        <is>
          <t>Yeh Hai Jalwa</t>
        </is>
      </c>
      <c r="C115" s="16" t="n">
        <v>37440</v>
      </c>
      <c r="D115" s="17" t="n">
        <v>2002</v>
      </c>
      <c r="E115" s="5" t="inlineStr">
        <is>
          <t>2000s</t>
        </is>
      </c>
      <c r="F115" s="5" t="inlineStr">
        <is>
          <t>Hindi</t>
        </is>
      </c>
      <c r="G115" s="5" t="inlineStr">
        <is>
          <t>Comedy drama</t>
        </is>
      </c>
      <c r="H115" s="5" t="inlineStr">
        <is>
          <t>Family melodrama</t>
        </is>
      </c>
      <c r="I115" s="17" t="n">
        <v>142</v>
      </c>
      <c r="J115" s="5" t="inlineStr">
        <is>
          <t>David Dhawan</t>
        </is>
      </c>
      <c r="K115" s="5" t="inlineStr">
        <is>
          <t>Kanchan Ketan Desai; Ketan Desai</t>
        </is>
      </c>
      <c r="L115" s="5" t="inlineStr">
        <is>
          <t>MKD Films Combine</t>
        </is>
      </c>
      <c r="M115" s="5" t="inlineStr">
        <is>
          <t>Rumi Jaffery</t>
        </is>
      </c>
      <c r="N115" s="5" t="n"/>
      <c r="O115" s="5" t="inlineStr">
        <is>
          <t>Himesh Reshammiya; Anand Raj Anand</t>
        </is>
      </c>
      <c r="P115" s="5" t="inlineStr">
        <is>
          <t>Aadesh Shrivastava</t>
        </is>
      </c>
      <c r="Q115" s="5" t="inlineStr">
        <is>
          <t>Sudhakar Sharma</t>
        </is>
      </c>
      <c r="R115" s="5" t="inlineStr">
        <is>
          <t>Rajesh Mittal</t>
        </is>
      </c>
      <c r="S115" s="5" t="n"/>
      <c r="T115" s="5" t="inlineStr">
        <is>
          <t>Supporting</t>
        </is>
      </c>
      <c r="U115" s="20" t="n">
        <v>2</v>
      </c>
      <c r="V115" s="5" t="inlineStr">
        <is>
          <t>Award-winning businessman based in London</t>
        </is>
      </c>
      <c r="W115" s="5" t="inlineStr">
        <is>
          <t>A man who abandoned his first family in India and built a second, respectable one in London</t>
        </is>
      </c>
      <c r="X115" s="19" t="inlineStr">
        <is>
          <t>Rajesh Mittal is the father who walked out on his first wife and son and built a celebrated second life in London. When the grown Raju recognises him on television and gives him seven days to acknowledge the truth, Rajesh responds by hiring gangsters to attack him, twice, and by reporting his expired visa to the police.</t>
        </is>
      </c>
      <c r="Y115" s="19" t="inlineStr">
        <is>
          <t>To keep his second family from learning about the first.</t>
        </is>
      </c>
      <c r="Z115" s="19" t="inlineStr">
        <is>
          <t>A son whose existence would destroy the life he has built.</t>
        </is>
      </c>
      <c r="AA115" s="19" t="inlineStr">
        <is>
          <t>From a man denying his son to one saved by that son from the attack he himself arranged.</t>
        </is>
      </c>
      <c r="AB115" s="19" t="inlineStr">
        <is>
          <t>Morally mixed</t>
        </is>
      </c>
      <c r="AC115" s="5" t="inlineStr">
        <is>
          <t>Saved by Raju from the goon he sent after him; the article's plot then breaks off at a conference abroad.</t>
        </is>
      </c>
      <c r="AD115" s="5" t="inlineStr">
        <is>
          <t>Rati Agnihotri; Poonam Dhillon</t>
        </is>
      </c>
      <c r="AE115" s="5" t="inlineStr">
        <is>
          <t>Minor</t>
        </is>
      </c>
      <c r="AF115" s="20" t="n">
        <v>5</v>
      </c>
      <c r="AG115" s="19" t="inlineStr">
        <is>
          <t>Romance subordinate to another genre</t>
        </is>
      </c>
      <c r="AH115" s="21" t="n">
        <v>8</v>
      </c>
      <c r="AI115" s="5" t="n"/>
      <c r="AJ115" s="5" t="n"/>
      <c r="AK115" s="5" t="n"/>
      <c r="AL115" s="5" t="n"/>
      <c r="AM115" s="5" t="inlineStr">
        <is>
          <t>INR crore</t>
        </is>
      </c>
      <c r="AN115" s="5" t="n"/>
      <c r="AO115" s="18" t="n"/>
      <c r="AP115" s="19" t="n"/>
      <c r="AQ115" s="19" t="n"/>
      <c r="AR115" s="5" t="inlineStr">
        <is>
          <t>SOURCE-001; SOURCE-106</t>
        </is>
      </c>
      <c r="AS115" s="5" t="inlineStr">
        <is>
          <t>Low</t>
        </is>
      </c>
      <c r="AT115" s="5" t="inlineStr">
        <is>
          <t>Infobox gross '₹ 10.88 crore' has no nett/gross label and is not entered. Budget of ₹8 crore from the article's infobox. Second-billed but functionally the film's antagonist. Poonam Dhillon appears only as a photograph, as Raju's dead mother and Rajesh's abandoned first wife, and Rati Agnihotri plays the second wife; neither relationship is developed in the article's account, so no Romances row is created and romance presence is recorded as Minor.</t>
        </is>
      </c>
    </row>
    <row r="116" ht="94" customHeight="1">
      <c r="A116" s="15" t="inlineStr">
        <is>
          <t>FILM-115</t>
        </is>
      </c>
      <c r="B116" s="5" t="inlineStr">
        <is>
          <t>Kucch To Hai</t>
        </is>
      </c>
      <c r="C116" s="16" t="n">
        <v>37645</v>
      </c>
      <c r="D116" s="17" t="n">
        <v>2003</v>
      </c>
      <c r="E116" s="5" t="inlineStr">
        <is>
          <t>2000s</t>
        </is>
      </c>
      <c r="F116" s="5" t="inlineStr">
        <is>
          <t>Hindi</t>
        </is>
      </c>
      <c r="G116" s="5" t="inlineStr">
        <is>
          <t>Horror</t>
        </is>
      </c>
      <c r="H116" s="5" t="inlineStr">
        <is>
          <t>Slasher thriller</t>
        </is>
      </c>
      <c r="I116" s="17" t="n">
        <v>136</v>
      </c>
      <c r="J116" s="5" t="inlineStr">
        <is>
          <t>Anurag Basu; Anil V. Kumar</t>
        </is>
      </c>
      <c r="K116" s="5" t="inlineStr">
        <is>
          <t>Ekta Kapoor; Shobha Kapoor</t>
        </is>
      </c>
      <c r="L116" s="5" t="inlineStr">
        <is>
          <t>Balaji Films Ltd.</t>
        </is>
      </c>
      <c r="M116" s="5" t="inlineStr">
        <is>
          <t>Umesh Shukla; Anuraag Parparna; Rajeev Jhaveri</t>
        </is>
      </c>
      <c r="N116" s="5" t="n"/>
      <c r="O116" s="5" t="inlineStr">
        <is>
          <t>Anu Malik</t>
        </is>
      </c>
      <c r="P116" s="5" t="n"/>
      <c r="Q116" s="5" t="n"/>
      <c r="R116" s="5" t="inlineStr">
        <is>
          <t>Bakshi</t>
        </is>
      </c>
      <c r="S116" s="5" t="n"/>
      <c r="T116" s="5" t="inlineStr">
        <is>
          <t>Supporting</t>
        </is>
      </c>
      <c r="U116" s="20" t="n">
        <v>5</v>
      </c>
      <c r="V116" s="5" t="inlineStr">
        <is>
          <t>College professor</t>
        </is>
      </c>
      <c r="W116" s="5" t="inlineStr">
        <is>
          <t>A widower rumoured to have murdered his wife and hidden the body, reinstated at the college despite it</t>
        </is>
      </c>
      <c r="X116" s="19" t="inlineStr">
        <is>
          <t>Professor Bakshi returns to the college under the rumour that he murdered his wife and concealed her body. Students breaking into his house for exam papers find a woman's corpse there, are chased by him, and knock him off a cliff with their car. He is the film's standing suspect through the killings that follow, and is with the protagonist at the moment that clears him.</t>
        </is>
      </c>
      <c r="Y116" s="19" t="inlineStr">
        <is>
          <t>Not documented.</t>
        </is>
      </c>
      <c r="Z116" s="19" t="inlineStr">
        <is>
          <t>A reputation as a murderer, and students who break into his house and leave him for dead.</t>
        </is>
      </c>
      <c r="AA116" s="19" t="inlineStr">
        <is>
          <t>Not documented; his function is to be suspected.</t>
        </is>
      </c>
      <c r="AB116" s="19" t="inlineStr">
        <is>
          <t>Unclear by design</t>
        </is>
      </c>
      <c r="AC116" s="5" t="inlineStr">
        <is>
          <t>Survives the fall and is present with Karan when another attack occurs, which eliminates him as the killer.</t>
        </is>
      </c>
      <c r="AD116" s="5" t="n"/>
      <c r="AE116" s="5" t="inlineStr">
        <is>
          <t>None</t>
        </is>
      </c>
      <c r="AF116" s="18" t="n"/>
      <c r="AG116" s="19" t="inlineStr">
        <is>
          <t>No meaningful romance</t>
        </is>
      </c>
      <c r="AH116" s="21" t="n">
        <v>7</v>
      </c>
      <c r="AI116" s="5" t="n"/>
      <c r="AJ116" s="5" t="n"/>
      <c r="AK116" s="5" t="n"/>
      <c r="AL116" s="5" t="n"/>
      <c r="AM116" s="5" t="inlineStr">
        <is>
          <t>INR crore</t>
        </is>
      </c>
      <c r="AN116" s="5" t="n"/>
      <c r="AO116" s="18" t="n"/>
      <c r="AP116" s="19" t="n"/>
      <c r="AQ116" s="19" t="n"/>
      <c r="AR116" s="5" t="inlineStr">
        <is>
          <t>SOURCE-001; SOURCE-107</t>
        </is>
      </c>
      <c r="AS116" s="5" t="inlineStr">
        <is>
          <t>Medium</t>
        </is>
      </c>
      <c r="AT116" s="5" t="inlineStr">
        <is>
          <t>Infobox gross '₹11 crore' has no nett/gross label and is not entered. Fifth-billed in a slasher built around a college group. Kapoor's role is the red herring: the dead wife is a rumour attached to him rather than a relationship the film dramatises, so romance presence is None. The killer is revealed to be Natasha.</t>
        </is>
      </c>
    </row>
    <row r="117" ht="154" customHeight="1">
      <c r="A117" s="15" t="inlineStr">
        <is>
          <t>FILM-116</t>
        </is>
      </c>
      <c r="B117" s="5" t="inlineStr">
        <is>
          <t>Love at Times Square</t>
        </is>
      </c>
      <c r="C117" s="16" t="n">
        <v>37666</v>
      </c>
      <c r="D117" s="17" t="n">
        <v>2003</v>
      </c>
      <c r="E117" s="5" t="inlineStr">
        <is>
          <t>2000s</t>
        </is>
      </c>
      <c r="F117" s="5" t="inlineStr">
        <is>
          <t>Hindi</t>
        </is>
      </c>
      <c r="G117" s="5" t="inlineStr">
        <is>
          <t>Romance</t>
        </is>
      </c>
      <c r="H117" s="5" t="n"/>
      <c r="I117" s="18" t="n"/>
      <c r="J117" s="5" t="inlineStr">
        <is>
          <t>Dev Anand</t>
        </is>
      </c>
      <c r="K117" s="5" t="inlineStr">
        <is>
          <t>Dev Anand</t>
        </is>
      </c>
      <c r="L117" s="5" t="n"/>
      <c r="M117" s="5" t="inlineStr">
        <is>
          <t>Dev Anand</t>
        </is>
      </c>
      <c r="N117" s="5" t="n"/>
      <c r="O117" s="5" t="inlineStr">
        <is>
          <t>Rajesh Roshan; Lucky Ali; Adnan Sami; Aadesh Shrivastava</t>
        </is>
      </c>
      <c r="P117" s="5" t="inlineStr">
        <is>
          <t>Bappi Lahiri</t>
        </is>
      </c>
      <c r="Q117" s="5" t="inlineStr">
        <is>
          <t>Javed Akhtar; Nasir Faraaz</t>
        </is>
      </c>
      <c r="R117" s="5" t="inlineStr">
        <is>
          <t>Satellite Channel CEO</t>
        </is>
      </c>
      <c r="S117" s="5" t="n"/>
      <c r="T117" s="5" t="inlineStr">
        <is>
          <t>Cameo</t>
        </is>
      </c>
      <c r="U117" s="18" t="n"/>
      <c r="V117" s="5" t="inlineStr">
        <is>
          <t>Chief executive of a satellite television channel</t>
        </is>
      </c>
      <c r="W117" s="5" t="n"/>
      <c r="X117" s="19" t="inlineStr">
        <is>
          <t>A special appearance as a satellite channel executive in Dev Anand's film about a billionaire's daughter in New York courted by two young men. The cast list records the part explicitly as a special appearance, outside the romantic triangle the film is built on.</t>
        </is>
      </c>
      <c r="Y117" s="19" t="n"/>
      <c r="Z117" s="19" t="n"/>
      <c r="AA117" s="19" t="n"/>
      <c r="AB117" s="19" t="inlineStr">
        <is>
          <t>Not applicable</t>
        </is>
      </c>
      <c r="AC117" s="5" t="n"/>
      <c r="AD117" s="5" t="n"/>
      <c r="AE117" s="5" t="inlineStr">
        <is>
          <t>None</t>
        </is>
      </c>
      <c r="AF117" s="20" t="n">
        <v>9</v>
      </c>
      <c r="AG117" s="19" t="inlineStr">
        <is>
          <t>No meaningful romance</t>
        </is>
      </c>
      <c r="AH117" s="21" t="n">
        <v>2.5</v>
      </c>
      <c r="AI117" s="5" t="n"/>
      <c r="AJ117" s="5" t="n"/>
      <c r="AK117" s="5" t="n"/>
      <c r="AL117" s="5" t="n"/>
      <c r="AM117" s="5" t="inlineStr">
        <is>
          <t>INR crore</t>
        </is>
      </c>
      <c r="AN117" s="5" t="inlineStr">
        <is>
          <t>Flop</t>
        </is>
      </c>
      <c r="AO117" s="18" t="n"/>
      <c r="AP117" s="19" t="n"/>
      <c r="AQ117" s="19" t="n"/>
      <c r="AR117" s="5" t="inlineStr">
        <is>
          <t>SOURCE-001; SOURCE-108</t>
        </is>
      </c>
      <c r="AS117" s="5" t="inlineStr">
        <is>
          <t>Low</t>
        </is>
      </c>
      <c r="AT117" s="5" t="inlineStr">
        <is>
          <t>Filmography notes: Cameo appearance. Infobox gross '₹29.88 lakh' has no nett/gross label and is not entered. The article's infobox gives a budget of ₹2.50 crore and a gross of ₹29.88 lakh, about ₹0.30 crore. The gross carries no territory and no nett or gross distinction beyond the bare word, so it is recorded here rather than entered in the commercial columns; on its face it indicates a very heavy loss, which is why the verdict is given as a flop. Salman Khan appears in a song in another special appearance.</t>
        </is>
      </c>
    </row>
    <row r="118" ht="109" customHeight="1">
      <c r="A118" s="15" t="inlineStr">
        <is>
          <t>FILM-117</t>
        </is>
      </c>
      <c r="B118" s="5" t="inlineStr">
        <is>
          <t>Tehzeeb</t>
        </is>
      </c>
      <c r="C118" s="16" t="n">
        <v>37946</v>
      </c>
      <c r="D118" s="17" t="n">
        <v>2003</v>
      </c>
      <c r="E118" s="5" t="inlineStr">
        <is>
          <t>2000s</t>
        </is>
      </c>
      <c r="F118" s="5" t="inlineStr">
        <is>
          <t>Hindi</t>
        </is>
      </c>
      <c r="G118" s="5" t="inlineStr">
        <is>
          <t>Drama</t>
        </is>
      </c>
      <c r="H118" s="5" t="inlineStr">
        <is>
          <t>Family melodrama</t>
        </is>
      </c>
      <c r="I118" s="17" t="n">
        <v>143</v>
      </c>
      <c r="J118" s="5" t="inlineStr">
        <is>
          <t>Khalid Mohammed</t>
        </is>
      </c>
      <c r="K118" s="5" t="inlineStr">
        <is>
          <t>Paresh Talpade</t>
        </is>
      </c>
      <c r="L118" s="5" t="n"/>
      <c r="M118" s="5" t="inlineStr">
        <is>
          <t>Khalid Mohammed; Javed Siddiqui</t>
        </is>
      </c>
      <c r="N118" s="5" t="n"/>
      <c r="O118" s="5" t="inlineStr">
        <is>
          <t>A. R. Rahman</t>
        </is>
      </c>
      <c r="P118" s="5" t="n"/>
      <c r="Q118" s="5" t="inlineStr">
        <is>
          <t>Javed Akhtar</t>
        </is>
      </c>
      <c r="R118" s="5" t="inlineStr">
        <is>
          <t>Anwar Jamaal</t>
        </is>
      </c>
      <c r="S118" s="5" t="n"/>
      <c r="T118" s="5" t="inlineStr">
        <is>
          <t>Extended special appearance</t>
        </is>
      </c>
      <c r="U118" s="18" t="n"/>
      <c r="V118" s="5" t="inlineStr">
        <is>
          <t>Not documented; husband of the singer Rukhsana</t>
        </is>
      </c>
      <c r="W118" s="5" t="inlineStr">
        <is>
          <t>Married for years to an ambitious and popular singer, and father of two daughters</t>
        </is>
      </c>
      <c r="X118" s="19" t="inlineStr">
        <is>
          <t>Anwar is the husband whose suicide the film is built around. After the birth of his daughters Tehzeeb and Nazneen he sinks into depression and kills himself, and his elder daughter spends the rest of her life holding her mother responsible. The film's resolution is the disclosure that he took his own life and that Rukhsana had nothing to do with it.</t>
        </is>
      </c>
      <c r="Y118" s="19" t="inlineStr">
        <is>
          <t>Not documented.</t>
        </is>
      </c>
      <c r="Z118" s="19" t="inlineStr">
        <is>
          <t>A depression the film does not explain, against a wife whose career was ascending.</t>
        </is>
      </c>
      <c r="AA118" s="19" t="inlineStr">
        <is>
          <t>Not documented; the character exists in flashback and in the accusation that outlives him.</t>
        </is>
      </c>
      <c r="AB118" s="19" t="inlineStr">
        <is>
          <t>Not documented</t>
        </is>
      </c>
      <c r="AC118" s="5" t="inlineStr">
        <is>
          <t>Dies by suicide, and is posthumously the subject of a court case and a daughter's twenty-year grievance.</t>
        </is>
      </c>
      <c r="AD118" s="5" t="inlineStr">
        <is>
          <t>Shabana Azmi</t>
        </is>
      </c>
      <c r="AE118" s="5" t="inlineStr">
        <is>
          <t>Secondary</t>
        </is>
      </c>
      <c r="AF118" s="20" t="n">
        <v>6</v>
      </c>
      <c r="AG118" s="19" t="inlineStr">
        <is>
          <t>Marriage under strain</t>
        </is>
      </c>
      <c r="AH118" s="5" t="n"/>
      <c r="AI118" s="5" t="n"/>
      <c r="AJ118" s="5" t="n"/>
      <c r="AK118" s="5" t="n"/>
      <c r="AL118" s="5" t="n"/>
      <c r="AM118" s="5" t="n"/>
      <c r="AN118" s="5" t="n"/>
      <c r="AO118" s="18" t="n"/>
      <c r="AP118" s="19" t="n"/>
      <c r="AQ118" s="19" t="inlineStr">
        <is>
          <t>The article records the film as inspired by Ingmar Bergman's Autumn Sonata, and notes that Urmila Matondkar and Shabana Azmi were praised for their performances.</t>
        </is>
      </c>
      <c r="AR118" s="5" t="inlineStr">
        <is>
          <t>SOURCE-001; SOURCE-109</t>
        </is>
      </c>
      <c r="AS118" s="5" t="inlineStr">
        <is>
          <t>Low</t>
        </is>
      </c>
      <c r="AT118" s="5" t="inlineStr">
        <is>
          <t>The article describes Kapoor as appearing in a special appearance, and the character exists largely in flashback; phase 1 left the role type blank and it is set here on that basis. A Romances row is created because the marriage and its end are the film's central question, but almost every field in it is undocumented and the confidence is Low.</t>
        </is>
      </c>
    </row>
    <row r="119" ht="169" customHeight="1">
      <c r="A119" s="15" t="inlineStr">
        <is>
          <t>FILM-118</t>
        </is>
      </c>
      <c r="B119" s="5" t="inlineStr">
        <is>
          <t>Hum Tum</t>
        </is>
      </c>
      <c r="C119" s="16" t="n">
        <v>38135</v>
      </c>
      <c r="D119" s="17" t="n">
        <v>2004</v>
      </c>
      <c r="E119" s="5" t="inlineStr">
        <is>
          <t>2000s</t>
        </is>
      </c>
      <c r="F119" s="5" t="inlineStr">
        <is>
          <t>Hindi</t>
        </is>
      </c>
      <c r="G119" s="5" t="inlineStr">
        <is>
          <t>Romantic comedy</t>
        </is>
      </c>
      <c r="H119" s="5" t="n"/>
      <c r="I119" s="17" t="n">
        <v>143</v>
      </c>
      <c r="J119" s="5" t="inlineStr">
        <is>
          <t>Kunal Kohli</t>
        </is>
      </c>
      <c r="K119" s="5" t="inlineStr">
        <is>
          <t>Aditya Chopra</t>
        </is>
      </c>
      <c r="L119" s="5" t="inlineStr">
        <is>
          <t>Yash Raj Films</t>
        </is>
      </c>
      <c r="M119" s="5" t="inlineStr">
        <is>
          <t>Kunal Kohli; Siddharth Anand</t>
        </is>
      </c>
      <c r="N119" s="5" t="n"/>
      <c r="O119" s="5" t="inlineStr">
        <is>
          <t>Jatin–Lalit</t>
        </is>
      </c>
      <c r="P119" s="5" t="inlineStr">
        <is>
          <t>Salim–Sulaiman</t>
        </is>
      </c>
      <c r="Q119" s="5" t="inlineStr">
        <is>
          <t>Prasoon Joshi</t>
        </is>
      </c>
      <c r="R119" s="5" t="inlineStr">
        <is>
          <t>Arjun Kapoor</t>
        </is>
      </c>
      <c r="S119" s="5" t="n"/>
      <c r="T119" s="5" t="inlineStr">
        <is>
          <t>Supporting</t>
        </is>
      </c>
      <c r="U119" s="20" t="n">
        <v>3</v>
      </c>
      <c r="V119" s="5" t="inlineStr">
        <is>
          <t>Not documented</t>
        </is>
      </c>
      <c r="W119" s="5" t="inlineStr">
        <is>
          <t>Karan's father, married to Anjali, in a comfortable family that travels between Delhi, New York and Paris</t>
        </is>
      </c>
      <c r="X119" s="19" t="inlineStr">
        <is>
          <t>Arjun Kapoor is Karan's father, present at the edges of a romance conducted over nine years and four cities. He appears in the family scenes that punctuate his son's on-and-off pursuit of Rhea, including the wedding preparations in Delhi at which Karan discovers Rhea is the bride.</t>
        </is>
      </c>
      <c r="Y119" s="19" t="inlineStr">
        <is>
          <t>Not documented.</t>
        </is>
      </c>
      <c r="Z119" s="19" t="n"/>
      <c r="AA119" s="19" t="n"/>
      <c r="AB119" s="19" t="inlineStr">
        <is>
          <t>Good</t>
        </is>
      </c>
      <c r="AC119" s="5" t="inlineStr">
        <is>
          <t>Not documented.</t>
        </is>
      </c>
      <c r="AD119" s="5" t="inlineStr">
        <is>
          <t>Rati Agnihotri</t>
        </is>
      </c>
      <c r="AE119" s="5" t="inlineStr">
        <is>
          <t>Minor</t>
        </is>
      </c>
      <c r="AF119" s="20" t="n">
        <v>10</v>
      </c>
      <c r="AG119" s="19" t="inlineStr">
        <is>
          <t>Romance subordinate to another genre</t>
        </is>
      </c>
      <c r="AH119" s="21" t="n">
        <v>8</v>
      </c>
      <c r="AI119" s="5" t="n"/>
      <c r="AJ119" s="21" t="n">
        <v>43.22</v>
      </c>
      <c r="AK119" s="21" t="n">
        <v>15.25</v>
      </c>
      <c r="AL119" s="5" t="n"/>
      <c r="AM119" s="5" t="inlineStr">
        <is>
          <t>INR crore</t>
        </is>
      </c>
      <c r="AN119" s="5" t="inlineStr">
        <is>
          <t>Major commercial success</t>
        </is>
      </c>
      <c r="AO119" s="20" t="n">
        <v>6</v>
      </c>
      <c r="AP119" s="19" t="inlineStr">
        <is>
          <t>Derek Elley of Variety described the film as a couple of notches below the Chopra par, citing a lack of strong chemistry between the leads and so-so dialogue. The comment concerns Saif Ali Khan and Rani Mukerji rather than Kapoor.</t>
        </is>
      </c>
      <c r="AQ119" s="19" t="n"/>
      <c r="AR119" s="5" t="inlineStr">
        <is>
          <t>SOURCE-001; SOURCE-110</t>
        </is>
      </c>
      <c r="AS119" s="5" t="inlineStr">
        <is>
          <t>Medium</t>
        </is>
      </c>
      <c r="AT119" s="5" t="inlineStr">
        <is>
          <t>Infobox gross '₹42.6 crore' has no nett/gross label and is not entered. Domestic gross of ₹432.2 million, about ₹43.22 crore, and international earnings of ₹152.5 million, about ₹15.25 crore, both as labelled in the article, which also records ₹12.3 million on the opening day and ₹74.9 million in the first week and names it the sixth highest-grossing Hindi film of the year. Third-billed. Romance centrality is at the maximum because the film is wholly a romance, while Kapoor's own part carries none of it, which is why romance presence is Minor and no Romances row is created.</t>
        </is>
      </c>
    </row>
    <row r="120" ht="169" customHeight="1">
      <c r="A120" s="15" t="inlineStr">
        <is>
          <t>FILM-119</t>
        </is>
      </c>
      <c r="B120" s="5" t="inlineStr">
        <is>
          <t>Pyaar Mein Twist</t>
        </is>
      </c>
      <c r="C120" s="16" t="n">
        <v>38597</v>
      </c>
      <c r="D120" s="17" t="n">
        <v>2005</v>
      </c>
      <c r="E120" s="5" t="inlineStr">
        <is>
          <t>2000s</t>
        </is>
      </c>
      <c r="F120" s="5" t="inlineStr">
        <is>
          <t>Hindi</t>
        </is>
      </c>
      <c r="G120" s="5" t="inlineStr">
        <is>
          <t>Romantic comedy</t>
        </is>
      </c>
      <c r="H120" s="5" t="inlineStr">
        <is>
          <t>Family comedy</t>
        </is>
      </c>
      <c r="I120" s="17" t="n">
        <v>160</v>
      </c>
      <c r="J120" s="5" t="inlineStr">
        <is>
          <t>Hriday Shetty</t>
        </is>
      </c>
      <c r="K120" s="5" t="inlineStr">
        <is>
          <t>Rishi Kapoor</t>
        </is>
      </c>
      <c r="L120" s="5" t="inlineStr">
        <is>
          <t>Percept Picture Company</t>
        </is>
      </c>
      <c r="M120" s="5" t="inlineStr">
        <is>
          <t>Sushma Ahuja</t>
        </is>
      </c>
      <c r="N120" s="5" t="n"/>
      <c r="O120" s="5" t="inlineStr">
        <is>
          <t>Jatin–Lalit</t>
        </is>
      </c>
      <c r="P120" s="5" t="n"/>
      <c r="Q120" s="5" t="n"/>
      <c r="R120" s="5" t="inlineStr">
        <is>
          <t>Yash Khurana</t>
        </is>
      </c>
      <c r="S120" s="5" t="n"/>
      <c r="T120" s="5" t="inlineStr">
        <is>
          <t>Lead</t>
        </is>
      </c>
      <c r="U120" s="20" t="n">
        <v>1</v>
      </c>
      <c r="V120" s="5" t="inlineStr">
        <is>
          <t>Chief executive and owner of Tejpal Industries, a large auto firm, retiring at the film's start</t>
        </is>
      </c>
      <c r="W120" s="5" t="inlineStr">
        <is>
          <t>A wealthy widower stepping down from his company and devoted to his children</t>
        </is>
      </c>
      <c r="X120" s="19" t="inlineStr">
        <is>
          <t>Yash Khurana is a widower handing his company to an insecure son and starting a retirement he has not planned. Walking his dogs, he is nearly hit by Sheetal's car and berates her in the street; she points out that walking two dogs at once is itself illegal. Both have lost a spouse and put their families first, and when they fall in love their grown children assume it must be a long-running secret affair.</t>
        </is>
      </c>
      <c r="Y120" s="19" t="inlineStr">
        <is>
          <t>To marry Sheetal against the disapproval of both sets of children.</t>
        </is>
      </c>
      <c r="Z120" s="19" t="inlineStr">
        <is>
          <t>Their own adult children, who find the relationship embarrassing and suspect it of being older than it is.</t>
        </is>
      </c>
      <c r="AA120" s="19" t="inlineStr">
        <is>
          <t>From a man whose retirement is an absence of purpose to one who declares in front of both families that he intends to marry.</t>
        </is>
      </c>
      <c r="AB120" s="19" t="inlineStr">
        <is>
          <t>Good</t>
        </is>
      </c>
      <c r="AC120" s="5" t="inlineStr">
        <is>
          <t>Traced by the children after running away with Sheetal, he declares their intention to marry and is accepted.</t>
        </is>
      </c>
      <c r="AD120" s="5" t="inlineStr">
        <is>
          <t>Dimple Kapadia</t>
        </is>
      </c>
      <c r="AE120" s="5" t="inlineStr">
        <is>
          <t>Central</t>
        </is>
      </c>
      <c r="AF120" s="20" t="n">
        <v>9</v>
      </c>
      <c r="AG120" s="19" t="inlineStr">
        <is>
          <t>Playful conflict masking attraction</t>
        </is>
      </c>
      <c r="AH120" s="5" t="n"/>
      <c r="AI120" s="5" t="n"/>
      <c r="AJ120" s="5" t="n"/>
      <c r="AK120" s="5" t="n"/>
      <c r="AL120" s="5" t="n"/>
      <c r="AM120" s="5" t="n"/>
      <c r="AN120" s="5" t="n"/>
      <c r="AO120" s="18" t="n"/>
      <c r="AP120" s="19" t="inlineStr">
        <is>
          <t>The article records a reviewer noting that Vikas Bhalla makes a strong comeback as Kapoor's son.</t>
        </is>
      </c>
      <c r="AQ120" s="19" t="inlineStr">
        <is>
          <t>Kapoor's first romantic lead as an older man, and the first film to make a late-life courtship between two widowed parents its central romance; it reunites him with Dimple Kapadia twenty years after Saagar and thirty-two after Bobby.</t>
        </is>
      </c>
      <c r="AR120" s="5" t="inlineStr">
        <is>
          <t>SOURCE-001; SOURCE-111</t>
        </is>
      </c>
      <c r="AS120" s="5" t="inlineStr">
        <is>
          <t>Medium</t>
        </is>
      </c>
      <c r="AT120" s="5" t="inlineStr">
        <is>
          <t>Infobox gross '₹1.320 crore' has no nett/gross label and is not entered. A significant film for the project's central question, because it is the one place in the filmography where Kapoor plays the romantic lead of a conventional courtship while being unambiguously a parent rather than a young man; the opposition comes from children rather than from parents, which inverts the structure of every earlier romance in the career. Third romantic pairing with Dimple Kapadia after Bobby and Saagar, and the sixth film in which they appear together.</t>
        </is>
      </c>
    </row>
    <row r="121" ht="214" customHeight="1">
      <c r="A121" s="15" t="inlineStr">
        <is>
          <t>FILM-120</t>
        </is>
      </c>
      <c r="B121" s="5" t="inlineStr">
        <is>
          <t>Fanaa</t>
        </is>
      </c>
      <c r="C121" s="16" t="n">
        <v>38863</v>
      </c>
      <c r="D121" s="17" t="n">
        <v>2006</v>
      </c>
      <c r="E121" s="5" t="inlineStr">
        <is>
          <t>2000s</t>
        </is>
      </c>
      <c r="F121" s="5" t="inlineStr">
        <is>
          <t>Hindi</t>
        </is>
      </c>
      <c r="G121" s="5" t="inlineStr">
        <is>
          <t>Romantic thriller</t>
        </is>
      </c>
      <c r="H121" s="5" t="inlineStr">
        <is>
          <t>Political drama</t>
        </is>
      </c>
      <c r="I121" s="17" t="n">
        <v>169</v>
      </c>
      <c r="J121" s="5" t="inlineStr">
        <is>
          <t>Kunal Kohli</t>
        </is>
      </c>
      <c r="K121" s="5" t="inlineStr">
        <is>
          <t>Aditya Chopra</t>
        </is>
      </c>
      <c r="L121" s="5" t="inlineStr">
        <is>
          <t>Yash Raj Films</t>
        </is>
      </c>
      <c r="M121" s="5" t="inlineStr">
        <is>
          <t>Shibani Bathija</t>
        </is>
      </c>
      <c r="N121" s="5" t="n"/>
      <c r="O121" s="5" t="inlineStr">
        <is>
          <t>Jatin–Lalit</t>
        </is>
      </c>
      <c r="P121" s="5" t="inlineStr">
        <is>
          <t>Salim–Sulaiman</t>
        </is>
      </c>
      <c r="Q121" s="5" t="inlineStr">
        <is>
          <t>Prasoon Joshi</t>
        </is>
      </c>
      <c r="R121" s="5" t="inlineStr">
        <is>
          <t>Zulfikar Ali Beg</t>
        </is>
      </c>
      <c r="S121" s="5" t="n"/>
      <c r="T121" s="5" t="inlineStr">
        <is>
          <t>Supporting</t>
        </is>
      </c>
      <c r="U121" s="20" t="n">
        <v>3</v>
      </c>
      <c r="V121" s="5" t="inlineStr">
        <is>
          <t>Not documented; head of a Kashmiri household</t>
        </is>
      </c>
      <c r="W121" s="5" t="inlineStr">
        <is>
          <t>A Kashmiri Muslim father living in a remote house with his blind daughter Zooni and his wife Nafisa</t>
        </is>
      </c>
      <c r="X121" s="19" t="inlineStr">
        <is>
          <t>Zulfikar Ali Beg is Zooni's father, who lets his daughter travel to Delhi to dance for a Republic Day ceremony and years later nurses the wounded stranger she brings into the house. He presides over the marriage without knowing the man is the terrorist leader who faked his own death, and is killed by him after reading the published report and finding the nuclear trigger in his pocket.</t>
        </is>
      </c>
      <c r="Y121" s="19" t="inlineStr">
        <is>
          <t>To protect his daughter and the grandson she is raising alone.</t>
        </is>
      </c>
      <c r="Z121" s="19" t="inlineStr">
        <is>
          <t>A son-in-law who is the leader of the group the state is hunting.</t>
        </is>
      </c>
      <c r="AA121" s="19" t="inlineStr">
        <is>
          <t>From a father presiding over his daughter's marriage to the man who uncovers what she has married, and dies for it.</t>
        </is>
      </c>
      <c r="AB121" s="19" t="inlineStr">
        <is>
          <t>Good</t>
        </is>
      </c>
      <c r="AC121" s="5" t="inlineStr">
        <is>
          <t>Confronts Rehan over the trigger and is thrown off a ledge, killing him.</t>
        </is>
      </c>
      <c r="AD121" s="5" t="inlineStr">
        <is>
          <t>Kirron Kher</t>
        </is>
      </c>
      <c r="AE121" s="5" t="inlineStr">
        <is>
          <t>Minor</t>
        </is>
      </c>
      <c r="AF121" s="20" t="n">
        <v>10</v>
      </c>
      <c r="AG121" s="19" t="inlineStr">
        <is>
          <t>Romance subordinate to another genre</t>
        </is>
      </c>
      <c r="AH121" s="21" t="n">
        <v>30</v>
      </c>
      <c r="AI121" s="5" t="n"/>
      <c r="AJ121" s="5" t="n"/>
      <c r="AK121" s="5" t="n"/>
      <c r="AL121" s="21" t="n">
        <v>105.48</v>
      </c>
      <c r="AM121" s="5" t="inlineStr">
        <is>
          <t>INR crore</t>
        </is>
      </c>
      <c r="AN121" s="5" t="inlineStr">
        <is>
          <t>Blockbuster</t>
        </is>
      </c>
      <c r="AO121" s="18" t="n"/>
      <c r="AP121" s="19" t="n"/>
      <c r="AQ121" s="19" t="n"/>
      <c r="AR121" s="5" t="inlineStr">
        <is>
          <t>SOURCE-001; SOURCE-112</t>
        </is>
      </c>
      <c r="AS121" s="5" t="inlineStr">
        <is>
          <t>Medium</t>
        </is>
      </c>
      <c r="AT121" s="5" t="inlineStr">
        <is>
          <t>Infobox gross '₹105.48 crore' has no nett/gross label and is not entered. Worldwide gross of ₹105.48 crore from the article's infobox, against a budget the article gives as ₹300 million, about ₹30 crore. The article's own figures do not reconcile: it states approximately ₹1.05 billion worldwide while giving India as ₹72.04 million gross and ₹51.87 million nett and overseas as ₹30.8 million, which together come to roughly a tenth of that total. The India and overseas figures are preserved here rather than entered in the commercial columns, and the infobox worldwide figure is used, with the discrepancy noted. Third-billed; his wife Nafisa is played by Kirron Kher and the marriage is not developed, so no Romances row is created.</t>
        </is>
      </c>
    </row>
    <row r="122" ht="124" customHeight="1">
      <c r="A122" s="15" t="inlineStr">
        <is>
          <t>FILM-121</t>
        </is>
      </c>
      <c r="B122" s="5" t="inlineStr">
        <is>
          <t>Love Ke Chakkar Mein</t>
        </is>
      </c>
      <c r="C122" s="16" t="n">
        <v>38870</v>
      </c>
      <c r="D122" s="17" t="n">
        <v>2006</v>
      </c>
      <c r="E122" s="5" t="inlineStr">
        <is>
          <t>2000s</t>
        </is>
      </c>
      <c r="F122" s="5" t="inlineStr">
        <is>
          <t>Hindi</t>
        </is>
      </c>
      <c r="G122" s="5" t="inlineStr">
        <is>
          <t>Comedy</t>
        </is>
      </c>
      <c r="H122" s="5" t="n"/>
      <c r="I122" s="18" t="n"/>
      <c r="J122" s="5" t="inlineStr">
        <is>
          <t>B. H. Tharun Kumar</t>
        </is>
      </c>
      <c r="K122" s="5" t="inlineStr">
        <is>
          <t>Dev Goradia</t>
        </is>
      </c>
      <c r="L122" s="5" t="inlineStr">
        <is>
          <t>Manash Productions</t>
        </is>
      </c>
      <c r="M122" s="5" t="inlineStr">
        <is>
          <t>Rajeev Kaul; Praful Parekh; Raghuvir Shekhawat</t>
        </is>
      </c>
      <c r="N122" s="5" t="n"/>
      <c r="O122" s="5" t="inlineStr">
        <is>
          <t>Anand Raj Anand; Daboo Malik; Nikhil–Vinay</t>
        </is>
      </c>
      <c r="P122" s="5" t="n"/>
      <c r="Q122" s="5" t="n"/>
      <c r="R122" s="5" t="inlineStr">
        <is>
          <t>Armaan Kochar</t>
        </is>
      </c>
      <c r="S122" s="5" t="n"/>
      <c r="T122" s="5" t="inlineStr">
        <is>
          <t>Antagonist</t>
        </is>
      </c>
      <c r="U122" s="20" t="n">
        <v>1</v>
      </c>
      <c r="V122" s="5" t="inlineStr">
        <is>
          <t>Employer and businessman</t>
        </is>
      </c>
      <c r="W122" s="5" t="inlineStr">
        <is>
          <t>A married man with the power to hire, and willing to price a job in sexual access to another man's fiancée</t>
        </is>
      </c>
      <c r="X122" s="19" t="inlineStr">
        <is>
          <t>Armaan Kochar is the employer Vicky must satisfy to marry Neha, and he sets his price in her: he will give the job only if Vicky lets him spend a night with her, and then demands a second night in exchange for an apartment. Vicky substitutes a sex worker, Bijlee, and when Armaan discovers the deception he fires and evicts him; he is then kidnapped for ransom, and his wife accuses Vicky of it.</t>
        </is>
      </c>
      <c r="Y122" s="19" t="inlineStr">
        <is>
          <t>To extract sexual access to Neha as the price of employing her fiancé.</t>
        </is>
      </c>
      <c r="Z122" s="19" t="inlineStr">
        <is>
          <t>A desperate employee who deceives him with an impersonator rather than comply.</t>
        </is>
      </c>
      <c r="AA122" s="19" t="inlineStr">
        <is>
          <t>From a man setting the terms to one deceived, enraged, and then kidnapped.</t>
        </is>
      </c>
      <c r="AB122" s="19" t="inlineStr">
        <is>
          <t>Bad</t>
        </is>
      </c>
      <c r="AC122" s="5" t="inlineStr">
        <is>
          <t>Kidnapped and held for ransom; his wife Kaajal accuses Vicky of the crime.</t>
        </is>
      </c>
      <c r="AD122" s="5" t="inlineStr">
        <is>
          <t>Shoma Anand</t>
        </is>
      </c>
      <c r="AE122" s="5" t="inlineStr">
        <is>
          <t>None</t>
        </is>
      </c>
      <c r="AF122" s="18" t="n"/>
      <c r="AG122" s="19" t="inlineStr">
        <is>
          <t>No meaningful romance</t>
        </is>
      </c>
      <c r="AH122" s="5" t="n"/>
      <c r="AI122" s="5" t="n"/>
      <c r="AJ122" s="5" t="n"/>
      <c r="AK122" s="5" t="n"/>
      <c r="AL122" s="5" t="n"/>
      <c r="AM122" s="5" t="n"/>
      <c r="AN122" s="5" t="n"/>
      <c r="AO122" s="18" t="n"/>
      <c r="AP122" s="19" t="n"/>
      <c r="AQ122" s="19" t="n"/>
      <c r="AR122" s="5" t="inlineStr">
        <is>
          <t>SOURCE-001; SOURCE-113</t>
        </is>
      </c>
      <c r="AS122" s="5" t="inlineStr">
        <is>
          <t>Medium</t>
        </is>
      </c>
      <c r="AT122" s="5" t="inlineStr">
        <is>
          <t>Top-billed but functionally the antagonist, and one of the few outright unsympathetic parts of the career. The premise is a variation on Indecent Proposal, as Karobaar had been six years earlier, with Kapoor now on the coercing side of it. He has a wife, Kaajal, in the film, but no romance of his own; the sexual demand is extortion rather than a relationship, so romance presence is None.</t>
        </is>
      </c>
    </row>
    <row r="123" ht="124" customHeight="1">
      <c r="A123" s="15" t="inlineStr">
        <is>
          <t>FILM-122</t>
        </is>
      </c>
      <c r="B123" s="5" t="inlineStr">
        <is>
          <t>Don't Stop Dreaming</t>
        </is>
      </c>
      <c r="C123" s="16" t="n">
        <v>39157</v>
      </c>
      <c r="D123" s="17" t="n">
        <v>2007</v>
      </c>
      <c r="E123" s="5" t="inlineStr">
        <is>
          <t>2000s</t>
        </is>
      </c>
      <c r="F123" s="5" t="inlineStr">
        <is>
          <t>English</t>
        </is>
      </c>
      <c r="G123" s="5" t="inlineStr">
        <is>
          <t>Drama</t>
        </is>
      </c>
      <c r="H123" s="5" t="n"/>
      <c r="I123" s="17" t="n">
        <v>104</v>
      </c>
      <c r="J123" s="5" t="inlineStr">
        <is>
          <t>Aditya Raj Kapoor</t>
        </is>
      </c>
      <c r="K123" s="5" t="inlineStr">
        <is>
          <t>Munir Ahmad</t>
        </is>
      </c>
      <c r="L123" s="5" t="inlineStr">
        <is>
          <t>Stereo Nation Pictures</t>
        </is>
      </c>
      <c r="M123" s="5" t="inlineStr">
        <is>
          <t>Aditya Raj Kapoor; Ray Panthaki</t>
        </is>
      </c>
      <c r="N123" s="5" t="n"/>
      <c r="O123" s="5" t="inlineStr">
        <is>
          <t>Taz</t>
        </is>
      </c>
      <c r="P123" s="5" t="n"/>
      <c r="Q123" s="5" t="n"/>
      <c r="R123" s="5" t="inlineStr">
        <is>
          <t>Groovy</t>
        </is>
      </c>
      <c r="S123" s="5" t="n"/>
      <c r="T123" s="5" t="inlineStr">
        <is>
          <t>Lead</t>
        </is>
      </c>
      <c r="U123" s="20" t="n">
        <v>1</v>
      </c>
      <c r="V123" s="5" t="inlineStr">
        <is>
          <t>Not documented</t>
        </is>
      </c>
      <c r="W123" s="5" t="n"/>
      <c r="X123" s="19" t="inlineStr">
        <is>
          <t>Kapoor plays Groovy in Aditya Raj Kapoor's British film, set in Birmingham and shot in English, alongside Sunil Shetty, the EastEnders actress Michelle Collins, the DJ and actor Richard Blackwood and the singer Taz in his acting debut. The article's plot section is empty, so nothing about the role beyond the character's name is documented.</t>
        </is>
      </c>
      <c r="Y123" s="19" t="n"/>
      <c r="Z123" s="19" t="n"/>
      <c r="AA123" s="19" t="n"/>
      <c r="AB123" s="19" t="n"/>
      <c r="AC123" s="5" t="n"/>
      <c r="AD123" s="5" t="n"/>
      <c r="AE123" s="5" t="inlineStr">
        <is>
          <t>None</t>
        </is>
      </c>
      <c r="AF123" s="18" t="n"/>
      <c r="AG123" s="19" t="n"/>
      <c r="AH123" s="5" t="n"/>
      <c r="AI123" s="5" t="n"/>
      <c r="AJ123" s="5" t="n"/>
      <c r="AK123" s="5" t="n"/>
      <c r="AL123" s="5" t="n"/>
      <c r="AM123" s="5" t="n"/>
      <c r="AN123" s="5" t="n"/>
      <c r="AO123" s="18" t="n"/>
      <c r="AP123" s="19" t="n"/>
      <c r="AQ123" s="19" t="n"/>
      <c r="AR123" s="5" t="inlineStr">
        <is>
          <t>SOURCE-001; SOURCE-115</t>
        </is>
      </c>
      <c r="AS123" s="5" t="inlineStr">
        <is>
          <t>Low</t>
        </is>
      </c>
      <c r="AT123" s="5" t="inlineStr">
        <is>
          <t>Filmography notes: English film. Verified as having no plot prose: the Plot heading in the article is present but empty. The first of his two English-language films, both directed by his cousin Aditya Raj Kapoor and both released in 2007. No romance is documented for the character and none can be inferred from the cast list, so romance presence is recorded as None on the article's silence and no Romances row is created.</t>
        </is>
      </c>
    </row>
    <row r="124" ht="154" customHeight="1">
      <c r="A124" s="15" t="inlineStr">
        <is>
          <t>FILM-123</t>
        </is>
      </c>
      <c r="B124" s="5" t="inlineStr">
        <is>
          <t>Namastey London</t>
        </is>
      </c>
      <c r="C124" s="16" t="n">
        <v>39164</v>
      </c>
      <c r="D124" s="17" t="n">
        <v>2007</v>
      </c>
      <c r="E124" s="5" t="inlineStr">
        <is>
          <t>2000s</t>
        </is>
      </c>
      <c r="F124" s="5" t="inlineStr">
        <is>
          <t>Hindi; English</t>
        </is>
      </c>
      <c r="G124" s="5" t="inlineStr">
        <is>
          <t>Romantic comedy</t>
        </is>
      </c>
      <c r="H124" s="5" t="inlineStr">
        <is>
          <t>Diaspora drama</t>
        </is>
      </c>
      <c r="I124" s="17" t="n">
        <v>128</v>
      </c>
      <c r="J124" s="5" t="inlineStr">
        <is>
          <t>Vipul Amrutlal Shah</t>
        </is>
      </c>
      <c r="K124" s="5" t="inlineStr">
        <is>
          <t>Vipul Amrutlal Shah</t>
        </is>
      </c>
      <c r="L124" s="5" t="n"/>
      <c r="M124" s="5" t="inlineStr">
        <is>
          <t>Suresh Nair</t>
        </is>
      </c>
      <c r="N124" s="5" t="n"/>
      <c r="O124" s="5" t="inlineStr">
        <is>
          <t>Himesh Reshammiya</t>
        </is>
      </c>
      <c r="P124" s="5" t="inlineStr">
        <is>
          <t>Salim–Sulaiman</t>
        </is>
      </c>
      <c r="Q124" s="5" t="n"/>
      <c r="R124" s="5" t="inlineStr">
        <is>
          <t>Manmohan</t>
        </is>
      </c>
      <c r="S124" s="5" t="n"/>
      <c r="T124" s="5" t="inlineStr">
        <is>
          <t>Supporting</t>
        </is>
      </c>
      <c r="U124" s="20" t="n">
        <v>3</v>
      </c>
      <c r="V124" s="5" t="inlineStr">
        <is>
          <t>Businessman settled in London</t>
        </is>
      </c>
      <c r="W124" s="5" t="inlineStr">
        <is>
          <t>An Indian who emigrated to London to make money and return, and who married Bebo and brought her over four years later</t>
        </is>
      </c>
      <c r="X124" s="19" t="inlineStr">
        <is>
          <t>Manmohan went to London to make his fortune and never went home. Ashamed of a wife who cannot speak English, he leaves Bebo out of the occasions he attends and raises a daughter who is ashamed of India in turn. Unable to find her an Indian husband in London, he takes the family to India and forces Jasmeet to marry Arjun, a man who speaks no English, and she returns and announces she will marry an Englishman instead.</t>
        </is>
      </c>
      <c r="Y124" s="19" t="inlineStr">
        <is>
          <t>To see his daughter married to an Indian, having spent his own life becoming something else.</t>
        </is>
      </c>
      <c r="Z124" s="19" t="inlineStr">
        <is>
          <t>A daughter he raised to be English and now wants to be Indian, and a marriage he imposed that she refuses to recognise.</t>
        </is>
      </c>
      <c r="AA124" s="19" t="inlineStr">
        <is>
          <t>From a man embarrassed by his own wife to one confronted with a daughter who learned that lesson exactly as he taught it.</t>
        </is>
      </c>
      <c r="AB124" s="19" t="inlineStr">
        <is>
          <t>Morally mixed</t>
        </is>
      </c>
      <c r="AC124" s="5" t="inlineStr">
        <is>
          <t>Not documented in full; the article's plot follows Jasmeet's engagement to Charlie Brown and Arjun's response.</t>
        </is>
      </c>
      <c r="AD124" s="5" t="inlineStr">
        <is>
          <t>Nina Wadia</t>
        </is>
      </c>
      <c r="AE124" s="5" t="inlineStr">
        <is>
          <t>Secondary</t>
        </is>
      </c>
      <c r="AF124" s="20" t="n">
        <v>9</v>
      </c>
      <c r="AG124" s="19" t="inlineStr">
        <is>
          <t>Marriage under strain</t>
        </is>
      </c>
      <c r="AH124" s="21" t="n">
        <v>21</v>
      </c>
      <c r="AI124" s="5" t="n"/>
      <c r="AJ124" s="5" t="n"/>
      <c r="AK124" s="5" t="n"/>
      <c r="AL124" s="5" t="n"/>
      <c r="AM124" s="5" t="inlineStr">
        <is>
          <t>INR crore</t>
        </is>
      </c>
      <c r="AN124" s="5" t="n"/>
      <c r="AO124" s="18" t="n"/>
      <c r="AP124" s="19" t="n"/>
      <c r="AQ124" s="19" t="n"/>
      <c r="AR124" s="5" t="inlineStr">
        <is>
          <t>SOURCE-001; SOURCE-114</t>
        </is>
      </c>
      <c r="AS124" s="5" t="inlineStr">
        <is>
          <t>Low</t>
        </is>
      </c>
      <c r="AT124" s="5" t="inlineStr">
        <is>
          <t>Infobox gross '₹714 million' has no nett/gross label and is not entered. The article's commercial figures do not reconcile and are not entered: it gives £238,841 in the first week and then, as of 27 July 2007, an estimated worldwide $15,273,747 across five territories while listing India alone at $17,267,662, a figure larger than the stated total. The competing numbers are preserved here per the commercial-data rules rather than resolved. Third-billed behind Akshay Kumar and Katrina Kaif.</t>
        </is>
      </c>
    </row>
    <row r="125" ht="109" customHeight="1">
      <c r="A125" s="15" t="inlineStr">
        <is>
          <t>FILM-124</t>
        </is>
      </c>
      <c r="B125" s="5" t="inlineStr">
        <is>
          <t>Sambar Salsa</t>
        </is>
      </c>
      <c r="C125" s="16" t="n">
        <v>39346</v>
      </c>
      <c r="D125" s="17" t="n">
        <v>2007</v>
      </c>
      <c r="E125" s="5" t="inlineStr">
        <is>
          <t>2000s</t>
        </is>
      </c>
      <c r="F125" s="5" t="inlineStr">
        <is>
          <t>English</t>
        </is>
      </c>
      <c r="G125" s="5" t="inlineStr">
        <is>
          <t>Romantic drama</t>
        </is>
      </c>
      <c r="H125" s="5" t="n"/>
      <c r="I125" s="17" t="n">
        <v>99</v>
      </c>
      <c r="J125" s="5" t="inlineStr">
        <is>
          <t>Aditya Raj Kapoor</t>
        </is>
      </c>
      <c r="K125" s="5" t="inlineStr">
        <is>
          <t>Renu Patel; Ashish Redij</t>
        </is>
      </c>
      <c r="L125" s="5" t="inlineStr">
        <is>
          <t>Kaybe Pictures</t>
        </is>
      </c>
      <c r="M125" s="5" t="n"/>
      <c r="N125" s="5" t="n"/>
      <c r="O125" s="5" t="inlineStr">
        <is>
          <t>Taz; Thara</t>
        </is>
      </c>
      <c r="P125" s="5" t="n"/>
      <c r="Q125" s="5" t="n"/>
      <c r="R125" s="5" t="inlineStr">
        <is>
          <t>Om Suri</t>
        </is>
      </c>
      <c r="S125" s="5" t="n"/>
      <c r="T125" s="5" t="inlineStr">
        <is>
          <t>Supporting</t>
        </is>
      </c>
      <c r="U125" s="20" t="n">
        <v>1</v>
      </c>
      <c r="V125" s="5" t="inlineStr">
        <is>
          <t>Not documented</t>
        </is>
      </c>
      <c r="W125" s="5" t="inlineStr">
        <is>
          <t>An Indian father settled abroad, married to Alamelu, who had himself married in defiance of his elders</t>
        </is>
      </c>
      <c r="X125" s="19" t="inlineStr">
        <is>
          <t>Om Suri is the father who disapproves of his son Surya's love for the Spanish woman Sasha, and the article notes the irony directly: he and Alamelu had themselves acted in defiance of their own elders. The part is the parental obstacle in a cross-cultural romance rather than a romantic role.</t>
        </is>
      </c>
      <c r="Y125" s="19" t="inlineStr">
        <is>
          <t>To stop his son marrying outside the community.</t>
        </is>
      </c>
      <c r="Z125" s="19" t="inlineStr">
        <is>
          <t>A son repeating the defiance he himself committed a generation earlier.</t>
        </is>
      </c>
      <c r="AA125" s="19" t="n"/>
      <c r="AB125" s="19" t="inlineStr">
        <is>
          <t>Morally mixed</t>
        </is>
      </c>
      <c r="AC125" s="5" t="inlineStr">
        <is>
          <t>Not documented; the article's synopsis is a single sentence.</t>
        </is>
      </c>
      <c r="AD125" s="5" t="inlineStr">
        <is>
          <t>Preyanka</t>
        </is>
      </c>
      <c r="AE125" s="5" t="inlineStr">
        <is>
          <t>Minor</t>
        </is>
      </c>
      <c r="AF125" s="20" t="n">
        <v>9</v>
      </c>
      <c r="AG125" s="19" t="inlineStr">
        <is>
          <t>Romance subordinate to another genre</t>
        </is>
      </c>
      <c r="AH125" s="5" t="n"/>
      <c r="AI125" s="5" t="n"/>
      <c r="AJ125" s="5" t="n"/>
      <c r="AK125" s="5" t="n"/>
      <c r="AL125" s="5" t="n"/>
      <c r="AM125" s="5" t="n"/>
      <c r="AN125" s="5" t="n"/>
      <c r="AO125" s="18" t="n"/>
      <c r="AP125" s="19" t="n"/>
      <c r="AQ125" s="19" t="n"/>
      <c r="AR125" s="5" t="inlineStr">
        <is>
          <t>SOURCE-001; SOURCE-117</t>
        </is>
      </c>
      <c r="AS125" s="5" t="inlineStr">
        <is>
          <t>Low</t>
        </is>
      </c>
      <c r="AT125" s="5" t="inlineStr">
        <is>
          <t>Filmography notes: English film. The second of his two English-language films, both directed by his cousin Aditya Raj Kapoor in 2007. Top-billed in a four-name cast but playing the disapproving father rather than a lead. His own marriage to Alamelu is mentioned only as the defiance that makes his objection hypocritical, which is recorded here rather than given a Romances row.</t>
        </is>
      </c>
    </row>
    <row r="126" ht="169" customHeight="1">
      <c r="A126" s="15" t="inlineStr">
        <is>
          <t>FILM-125</t>
        </is>
      </c>
      <c r="B126" s="5" t="inlineStr">
        <is>
          <t>Om Shanti Om</t>
        </is>
      </c>
      <c r="C126" s="16" t="n">
        <v>39395</v>
      </c>
      <c r="D126" s="17" t="n">
        <v>2007</v>
      </c>
      <c r="E126" s="5" t="inlineStr">
        <is>
          <t>2000s</t>
        </is>
      </c>
      <c r="F126" s="5" t="inlineStr">
        <is>
          <t>Hindi</t>
        </is>
      </c>
      <c r="G126" s="5" t="inlineStr">
        <is>
          <t>Masala</t>
        </is>
      </c>
      <c r="H126" s="5" t="inlineStr">
        <is>
          <t>Reincarnation drama</t>
        </is>
      </c>
      <c r="I126" s="17" t="n">
        <v>171</v>
      </c>
      <c r="J126" s="5" t="inlineStr">
        <is>
          <t>Farah Khan</t>
        </is>
      </c>
      <c r="K126" s="5" t="inlineStr">
        <is>
          <t>Gauri Khan</t>
        </is>
      </c>
      <c r="L126" s="5" t="inlineStr">
        <is>
          <t>Red Chillies Entertainment</t>
        </is>
      </c>
      <c r="M126" s="5" t="inlineStr">
        <is>
          <t>Farah Khan; Mushtaq Shiekh</t>
        </is>
      </c>
      <c r="N126" s="5" t="n"/>
      <c r="O126" s="5" t="inlineStr">
        <is>
          <t>Vishal–Shekhar</t>
        </is>
      </c>
      <c r="P126" s="5" t="inlineStr">
        <is>
          <t>Sandeep Chowta</t>
        </is>
      </c>
      <c r="Q126" s="5" t="inlineStr">
        <is>
          <t>Javed Akhtar; Kumaar</t>
        </is>
      </c>
      <c r="R126" s="5" t="inlineStr">
        <is>
          <t>Himself</t>
        </is>
      </c>
      <c r="S126" s="5" t="n"/>
      <c r="T126" s="5" t="inlineStr">
        <is>
          <t>Self appearance</t>
        </is>
      </c>
      <c r="U126" s="18" t="n"/>
      <c r="V126" s="5" t="n"/>
      <c r="W126" s="5" t="n"/>
      <c r="X126" s="19" t="inlineStr">
        <is>
          <t>Kapoor appears as himself in Farah Khan's film about a junior artist reborn as a star, one of a very large number of industry figures who play themselves in its awards and party sequences. The credit carries no character and no bearing on the plot.</t>
        </is>
      </c>
      <c r="Y126" s="19" t="n"/>
      <c r="Z126" s="19" t="n"/>
      <c r="AA126" s="19" t="n"/>
      <c r="AB126" s="19" t="inlineStr">
        <is>
          <t>Not applicable</t>
        </is>
      </c>
      <c r="AC126" s="5" t="n"/>
      <c r="AD126" s="5" t="n"/>
      <c r="AE126" s="5" t="inlineStr">
        <is>
          <t>None</t>
        </is>
      </c>
      <c r="AF126" s="20" t="n">
        <v>9</v>
      </c>
      <c r="AG126" s="19" t="inlineStr">
        <is>
          <t>No meaningful romance</t>
        </is>
      </c>
      <c r="AH126" s="21" t="n">
        <v>40</v>
      </c>
      <c r="AI126" s="21" t="n">
        <v>79.40000000000001</v>
      </c>
      <c r="AJ126" s="5" t="n"/>
      <c r="AK126" s="5" t="n"/>
      <c r="AL126" s="21" t="n">
        <v>150</v>
      </c>
      <c r="AM126" s="5" t="inlineStr">
        <is>
          <t>INR crore</t>
        </is>
      </c>
      <c r="AN126" s="5" t="inlineStr">
        <is>
          <t>Blockbuster</t>
        </is>
      </c>
      <c r="AO126" s="18" t="n"/>
      <c r="AP126" s="19" t="n"/>
      <c r="AQ126" s="19" t="inlineStr">
        <is>
          <t>One of the biggest commercial successes of its decade, with overseas collections the article records as the fourth largest of all time as of 2010.</t>
        </is>
      </c>
      <c r="AR126" s="5" t="inlineStr">
        <is>
          <t>SOURCE-001; SOURCE-116</t>
        </is>
      </c>
      <c r="AS126" s="5" t="inlineStr">
        <is>
          <t>Medium</t>
        </is>
      </c>
      <c r="AT126" s="5" t="inlineStr">
        <is>
          <t>Filmography notes: Guest appearance. Infobox release dates: 2007-11-09 (India); 2007-12-02 (France); 2008-01-15 (United Kingdom). Infobox gross '₹152 crore' has no nett/gross label and is not entered. India nett of ₹794 million, about ₹79.4 crore, given by the article as a figure after entertainment tax, and a worldwide gross of ₹150 crore. Overseas collections are given only in dollars, $2.62 million in the United Kingdom, $3.6 million in North America and $3.93 million elsewhere for a total of $10,150,000, and are not converted or entered in the overseas column.</t>
        </is>
      </c>
    </row>
    <row r="127" ht="109" customHeight="1">
      <c r="A127" s="15" t="inlineStr">
        <is>
          <t>FILM-126</t>
        </is>
      </c>
      <c r="B127" s="5" t="inlineStr">
        <is>
          <t>Halla Bol</t>
        </is>
      </c>
      <c r="C127" s="16" t="n">
        <v>39458</v>
      </c>
      <c r="D127" s="17" t="n">
        <v>2008</v>
      </c>
      <c r="E127" s="5" t="inlineStr">
        <is>
          <t>2000s</t>
        </is>
      </c>
      <c r="F127" s="5" t="inlineStr">
        <is>
          <t>Hindi</t>
        </is>
      </c>
      <c r="G127" s="5" t="inlineStr">
        <is>
          <t>Drama</t>
        </is>
      </c>
      <c r="H127" s="5" t="n"/>
      <c r="I127" s="17" t="n">
        <v>142</v>
      </c>
      <c r="J127" s="5" t="inlineStr">
        <is>
          <t>Rajkumar Santoshi</t>
        </is>
      </c>
      <c r="K127" s="5" t="inlineStr">
        <is>
          <t>Abdol Samee Siddiqui</t>
        </is>
      </c>
      <c r="L127" s="5" t="inlineStr">
        <is>
          <t>Pyramid Saimira; Sunrise Pictures Pvt. Ltd.</t>
        </is>
      </c>
      <c r="M127" s="5" t="inlineStr">
        <is>
          <t>Rajkumar Santoshi</t>
        </is>
      </c>
      <c r="N127" s="5" t="n"/>
      <c r="O127" s="5" t="inlineStr">
        <is>
          <t>Sukhwinder Singh</t>
        </is>
      </c>
      <c r="P127" s="5" t="n"/>
      <c r="Q127" s="5" t="n"/>
      <c r="R127" s="5" t="inlineStr">
        <is>
          <t>Himself</t>
        </is>
      </c>
      <c r="S127" s="5" t="n"/>
      <c r="T127" s="5" t="inlineStr">
        <is>
          <t>Self appearance</t>
        </is>
      </c>
      <c r="U127" s="18" t="n"/>
      <c r="V127" s="5" t="n"/>
      <c r="W127" s="5" t="n"/>
      <c r="X127" s="19" t="inlineStr">
        <is>
          <t>Kapoor appears as himself in Rajkumar Santoshi's drama about a street-theatre actor who becomes a superstar and loses himself, one of a number of film-industry figures who appear under their own names. The credit carries no character and no part in the story.</t>
        </is>
      </c>
      <c r="Y127" s="19" t="n"/>
      <c r="Z127" s="19" t="n"/>
      <c r="AA127" s="19" t="n"/>
      <c r="AB127" s="19" t="inlineStr">
        <is>
          <t>Not applicable</t>
        </is>
      </c>
      <c r="AC127" s="5" t="n"/>
      <c r="AD127" s="5" t="n"/>
      <c r="AE127" s="5" t="inlineStr">
        <is>
          <t>None</t>
        </is>
      </c>
      <c r="AF127" s="20" t="n">
        <v>5</v>
      </c>
      <c r="AG127" s="19" t="inlineStr">
        <is>
          <t>No meaningful romance</t>
        </is>
      </c>
      <c r="AH127" s="21" t="n">
        <v>27</v>
      </c>
      <c r="AI127" s="5" t="n"/>
      <c r="AJ127" s="5" t="n"/>
      <c r="AK127" s="5" t="n"/>
      <c r="AL127" s="5" t="n"/>
      <c r="AM127" s="5" t="inlineStr">
        <is>
          <t>INR crore</t>
        </is>
      </c>
      <c r="AN127" s="5" t="n"/>
      <c r="AO127" s="18" t="n"/>
      <c r="AP127" s="19" t="n"/>
      <c r="AQ127" s="19" t="n"/>
      <c r="AR127" s="5" t="inlineStr">
        <is>
          <t>SOURCE-001; SOURCE-119</t>
        </is>
      </c>
      <c r="AS127" s="5" t="inlineStr">
        <is>
          <t>Medium</t>
        </is>
      </c>
      <c r="AT127" s="5" t="inlineStr">
        <is>
          <t>Filmography notes: Guest appearance. Infobox gross '₹ 193.9 million' has no nett/gross label and is not entered. The article states that a number of celebrities from the Hindi and other film industries appear as themselves, and names the journalist Prabhu Chawla and the director Lekh Tandon among them. Kapoor's appearance is of that kind.</t>
        </is>
      </c>
    </row>
    <row r="128" ht="169" customHeight="1">
      <c r="A128" s="15" t="inlineStr">
        <is>
          <t>FILM-127</t>
        </is>
      </c>
      <c r="B128" s="5" t="inlineStr">
        <is>
          <t>Thoda Pyaar Thoda Magic</t>
        </is>
      </c>
      <c r="C128" s="16" t="n">
        <v>39626</v>
      </c>
      <c r="D128" s="17" t="n">
        <v>2008</v>
      </c>
      <c r="E128" s="5" t="inlineStr">
        <is>
          <t>2000s</t>
        </is>
      </c>
      <c r="F128" s="5" t="inlineStr">
        <is>
          <t>Hindi</t>
        </is>
      </c>
      <c r="G128" s="5" t="inlineStr">
        <is>
          <t>Fantasy comedy</t>
        </is>
      </c>
      <c r="H128" s="5" t="inlineStr">
        <is>
          <t>Family drama</t>
        </is>
      </c>
      <c r="I128" s="17" t="n">
        <v>145</v>
      </c>
      <c r="J128" s="5" t="inlineStr">
        <is>
          <t>Kunal Kohli</t>
        </is>
      </c>
      <c r="K128" s="5" t="inlineStr">
        <is>
          <t>Aditya Chopra; Kunal Kohli</t>
        </is>
      </c>
      <c r="L128" s="5" t="inlineStr">
        <is>
          <t>Yash Raj Films; Kunal Kohli Productions</t>
        </is>
      </c>
      <c r="M128" s="5" t="inlineStr">
        <is>
          <t>Kunal Kohli; Rohena Gera</t>
        </is>
      </c>
      <c r="N128" s="5" t="n"/>
      <c r="O128" s="5" t="inlineStr">
        <is>
          <t>Shankar–Ehsaan–Loy</t>
        </is>
      </c>
      <c r="P128" s="5" t="inlineStr">
        <is>
          <t>Sandeep Chowta</t>
        </is>
      </c>
      <c r="Q128" s="5" t="inlineStr">
        <is>
          <t>Prasoon Joshi</t>
        </is>
      </c>
      <c r="R128" s="5" t="inlineStr">
        <is>
          <t>God</t>
        </is>
      </c>
      <c r="S128" s="5" t="n"/>
      <c r="T128" s="5" t="inlineStr">
        <is>
          <t>Cameo</t>
        </is>
      </c>
      <c r="U128" s="20" t="n">
        <v>3</v>
      </c>
      <c r="V128" s="5" t="inlineStr">
        <is>
          <t>God</t>
        </is>
      </c>
      <c r="W128" s="5" t="n"/>
      <c r="X128" s="19" t="inlineStr">
        <is>
          <t>Kapoor plays God, who hears four orphaned children pray for help and answers by sending the angel Geeta down to them, warning her not to use her powers on earth. At the film's close, moved by the bond she has formed with the family, he grants her wish to become human so that she can return to them.</t>
        </is>
      </c>
      <c r="Y128" s="19" t="inlineStr">
        <is>
          <t>To answer the children's prayer and, at the end, to reward the attachment it produced.</t>
        </is>
      </c>
      <c r="Z128" s="19" t="n"/>
      <c r="AA128" s="19" t="n"/>
      <c r="AB128" s="19" t="inlineStr">
        <is>
          <t>Good</t>
        </is>
      </c>
      <c r="AC128" s="5" t="inlineStr">
        <is>
          <t>Grants Geeta her wish to become human, which permits the marriage that ends the film.</t>
        </is>
      </c>
      <c r="AD128" s="5" t="n"/>
      <c r="AE128" s="5" t="inlineStr">
        <is>
          <t>None</t>
        </is>
      </c>
      <c r="AF128" s="20" t="n">
        <v>8</v>
      </c>
      <c r="AG128" s="19" t="inlineStr">
        <is>
          <t>No meaningful romance</t>
        </is>
      </c>
      <c r="AH128" s="21" t="n">
        <v>23</v>
      </c>
      <c r="AI128" s="21" t="n">
        <v>21.67</v>
      </c>
      <c r="AJ128" s="21" t="n">
        <v>29.9</v>
      </c>
      <c r="AK128" s="21" t="n">
        <v>6.83</v>
      </c>
      <c r="AL128" s="21" t="n">
        <v>37.25</v>
      </c>
      <c r="AM128" s="5" t="inlineStr">
        <is>
          <t>INR crore</t>
        </is>
      </c>
      <c r="AN128" s="5" t="inlineStr">
        <is>
          <t>Flop</t>
        </is>
      </c>
      <c r="AO128" s="18" t="n"/>
      <c r="AP128" s="19" t="inlineStr">
        <is>
          <t>Declared a flop by Box Office India despite the collections, because it failed to recover its production budget of ₹23 crore.</t>
        </is>
      </c>
      <c r="AQ128" s="19" t="n"/>
      <c r="AR128" s="5" t="inlineStr">
        <is>
          <t>SOURCE-001; SOURCE-118</t>
        </is>
      </c>
      <c r="AS128" s="5" t="inlineStr">
        <is>
          <t>High</t>
        </is>
      </c>
      <c r="AT128" s="5" t="inlineStr">
        <is>
          <t>Filmography notes: Cameo appearance. Infobox gross '₹372.53 million' has no nett/gross label and is not entered. The most completely documented commercial record of any film in the filmography: ₹3.34 crore on the opening day, ₹11.52 crore over the first weekend, ₹16.85 crore nett in the first week, a domestic nett of ₹21.67 crore against a domestic gross of ₹29.9 crore, overseas earnings of about $1.71 million recorded as ₹6.83 crore, and a worldwide gross of ₹37.25 crore against a ₹23 crore budget. A cameo as a deity, and the only such role in the career.</t>
        </is>
      </c>
    </row>
    <row r="129" ht="199" customHeight="1">
      <c r="A129" s="15" t="inlineStr">
        <is>
          <t>FILM-128</t>
        </is>
      </c>
      <c r="B129" s="5" t="inlineStr">
        <is>
          <t>Luck by Chance</t>
        </is>
      </c>
      <c r="C129" s="16" t="n">
        <v>39843</v>
      </c>
      <c r="D129" s="17" t="n">
        <v>2009</v>
      </c>
      <c r="E129" s="5" t="inlineStr">
        <is>
          <t>2000s</t>
        </is>
      </c>
      <c r="F129" s="5" t="inlineStr">
        <is>
          <t>Hindi</t>
        </is>
      </c>
      <c r="G129" s="5" t="inlineStr">
        <is>
          <t>Drama</t>
        </is>
      </c>
      <c r="H129" s="5" t="inlineStr">
        <is>
          <t>Film-industry satire</t>
        </is>
      </c>
      <c r="I129" s="17" t="n">
        <v>156</v>
      </c>
      <c r="J129" s="5" t="inlineStr">
        <is>
          <t>Zoya Akhtar</t>
        </is>
      </c>
      <c r="K129" s="5" t="inlineStr">
        <is>
          <t>Farhan Akhtar; Ritesh Sidhwani</t>
        </is>
      </c>
      <c r="L129" s="5" t="inlineStr">
        <is>
          <t>Excel Entertainment</t>
        </is>
      </c>
      <c r="M129" s="5" t="inlineStr">
        <is>
          <t>Zoya Akhtar; Javed Akhtar</t>
        </is>
      </c>
      <c r="N129" s="5" t="n"/>
      <c r="O129" s="5" t="inlineStr">
        <is>
          <t>Shankar–Ehsaan–Loy</t>
        </is>
      </c>
      <c r="P129" s="5" t="n"/>
      <c r="Q129" s="5" t="n"/>
      <c r="R129" s="5" t="inlineStr">
        <is>
          <t>Romi Rolly</t>
        </is>
      </c>
      <c r="S129" s="5" t="n"/>
      <c r="T129" s="5" t="inlineStr">
        <is>
          <t>Supporting</t>
        </is>
      </c>
      <c r="U129" s="20" t="n">
        <v>3</v>
      </c>
      <c r="V129" s="5" t="inlineStr">
        <is>
          <t>One of the biggest film producers in Bombay</t>
        </is>
      </c>
      <c r="W129" s="5" t="inlineStr">
        <is>
          <t>A powerful studio proprietor with a wife, Minty, and a brother, Ranjit, who directs for him</t>
        </is>
      </c>
      <c r="X129" s="19" t="inlineStr">
        <is>
          <t>Romy Rolly is the producer whose casting decision makes the film's plot possible: a portfolio reaches his studio by accident, and he gives the unknown Vikram the male lead in his next picture. He presides over the machinery the film is anatomising, the auditions, the launches and the hit that follows, from the position of someone who has done it many times before.</t>
        </is>
      </c>
      <c r="Y129" s="19" t="inlineStr">
        <is>
          <t>To cast and launch a film that will work.</t>
        </is>
      </c>
      <c r="Z129" s="19" t="inlineStr">
        <is>
          <t>None of his own; he is the institution the newcomers pass through.</t>
        </is>
      </c>
      <c r="AA129" s="19" t="n"/>
      <c r="AB129" s="19" t="inlineStr">
        <is>
          <t>Morally mixed</t>
        </is>
      </c>
      <c r="AC129" s="5" t="inlineStr">
        <is>
          <t>His film becomes a hit and Vikram is flooded with offers.</t>
        </is>
      </c>
      <c r="AD129" s="5" t="inlineStr">
        <is>
          <t>Juhi Chawla</t>
        </is>
      </c>
      <c r="AE129" s="5" t="inlineStr">
        <is>
          <t>Minor</t>
        </is>
      </c>
      <c r="AF129" s="20" t="n">
        <v>6</v>
      </c>
      <c r="AG129" s="19" t="inlineStr">
        <is>
          <t>Romance subordinate to another genre</t>
        </is>
      </c>
      <c r="AH129" s="21" t="n">
        <v>15</v>
      </c>
      <c r="AI129" s="5" t="n"/>
      <c r="AJ129" s="5" t="n"/>
      <c r="AK129" s="5" t="n"/>
      <c r="AL129" s="5" t="n"/>
      <c r="AM129" s="5" t="inlineStr">
        <is>
          <t>INR crore</t>
        </is>
      </c>
      <c r="AN129" s="5" t="inlineStr">
        <is>
          <t>Hit in India</t>
        </is>
      </c>
      <c r="AO129" s="18" t="n"/>
      <c r="AP129" s="19" t="inlineStr">
        <is>
          <t>The article records the film as doing very well in Australia and being a hit in India.</t>
        </is>
      </c>
      <c r="AQ129" s="19" t="inlineStr">
        <is>
          <t>Zoya Akhtar's directorial debut, and among the most highly regarded of Kapoor's late supporting turns as a study of film-industry power.</t>
        </is>
      </c>
      <c r="AR129" s="5" t="inlineStr">
        <is>
          <t>SOURCE-001; SOURCE-120</t>
        </is>
      </c>
      <c r="AS129" s="5" t="inlineStr">
        <is>
          <t>Medium</t>
        </is>
      </c>
      <c r="AT129" s="5" t="inlineStr">
        <is>
          <t>Infobox gross '₹ 290 million' has no nett/gross label and is not entered. All commercial figures in the article are given in dollars rather than rupees while the budget is in rupees, so no gross is entered in the commercial columns: the article reports a worldwide gross of $4,504,365, the opening weekend was $217,439 on 61 screens, and India is given as $3,914,500. Juhi Chawla plays his wife Minty in the ninth of their eleven films together, but the marriage is not developed, so no Romances row is created. A review sentence about remaining sympathetic while wreaking romantic havoc was matched by the extraction but describes Farhan Akhtar's Vikram, not Kapoor, and is not attributed here.</t>
        </is>
      </c>
    </row>
    <row r="130" ht="109" customHeight="1">
      <c r="A130" s="15" t="inlineStr">
        <is>
          <t>FILM-129</t>
        </is>
      </c>
      <c r="B130" s="5" t="inlineStr">
        <is>
          <t>Delhi-6</t>
        </is>
      </c>
      <c r="C130" s="16" t="n">
        <v>39864</v>
      </c>
      <c r="D130" s="17" t="n">
        <v>2009</v>
      </c>
      <c r="E130" s="5" t="inlineStr">
        <is>
          <t>2000s</t>
        </is>
      </c>
      <c r="F130" s="5" t="inlineStr">
        <is>
          <t>Hindi</t>
        </is>
      </c>
      <c r="G130" s="5" t="inlineStr">
        <is>
          <t>Drama</t>
        </is>
      </c>
      <c r="H130" s="5" t="inlineStr">
        <is>
          <t>Social drama</t>
        </is>
      </c>
      <c r="I130" s="17" t="n">
        <v>140</v>
      </c>
      <c r="J130" s="5" t="inlineStr">
        <is>
          <t>Rakeysh Omprakash Mehra</t>
        </is>
      </c>
      <c r="K130" s="5" t="inlineStr">
        <is>
          <t>Rakeysh Omprakash Mehra; Ronnie Screwvala</t>
        </is>
      </c>
      <c r="L130" s="5" t="inlineStr">
        <is>
          <t>Rakeysh Omprakash Mehra Pictures</t>
        </is>
      </c>
      <c r="M130" s="5" t="inlineStr">
        <is>
          <t>Rakeysh Omprakash Mehra; Kamlesh Pandey; Prasoon Joshi</t>
        </is>
      </c>
      <c r="N130" s="5" t="inlineStr">
        <is>
          <t>Based on Monkey-man of Delhi</t>
        </is>
      </c>
      <c r="O130" s="5" t="inlineStr">
        <is>
          <t>A. R. Rahman</t>
        </is>
      </c>
      <c r="P130" s="5" t="n"/>
      <c r="Q130" s="5" t="n"/>
      <c r="R130" s="5" t="inlineStr">
        <is>
          <t>Ali Beg</t>
        </is>
      </c>
      <c r="S130" s="5" t="n"/>
      <c r="T130" s="5" t="inlineStr">
        <is>
          <t>Supporting</t>
        </is>
      </c>
      <c r="U130" s="20" t="n">
        <v>4</v>
      </c>
      <c r="V130" s="5" t="inlineStr">
        <is>
          <t>Not documented; the article calls him the neighbourhood's renaissance man</t>
        </is>
      </c>
      <c r="W130" s="5" t="inlineStr">
        <is>
          <t>A Muslim resident of Old Delhi, unmarried all his life, living among the feuding households of the lane</t>
        </is>
      </c>
      <c r="X130" s="19" t="inlineStr">
        <is>
          <t>Ali Beg is the cultivated, well-liked figure of the Old Delhi lane Roshan arrives in, and the one whose private history touches Roshan's own: he loved Roshan's mother Fatima many years before and has never married since. He belongs to the film's portrait of a neighbourhood rather than to its plot, and his restraint is set against the communal violence the film builds towards.</t>
        </is>
      </c>
      <c r="Y130" s="19" t="inlineStr">
        <is>
          <t>Not documented; he is part of the lane's fabric rather than a driver of events.</t>
        </is>
      </c>
      <c r="Z130" s="19" t="inlineStr">
        <is>
          <t>A love long past that was never acted on, and a neighbourhood sliding towards a religious dispute.</t>
        </is>
      </c>
      <c r="AA130" s="19" t="n"/>
      <c r="AB130" s="19" t="inlineStr">
        <is>
          <t>Good</t>
        </is>
      </c>
      <c r="AC130" s="5" t="inlineStr">
        <is>
          <t>Not documented; the article's plot breaks off before the film's climax.</t>
        </is>
      </c>
      <c r="AD130" s="5" t="inlineStr">
        <is>
          <t>Tanvi Azmi</t>
        </is>
      </c>
      <c r="AE130" s="5" t="inlineStr">
        <is>
          <t>Minor</t>
        </is>
      </c>
      <c r="AF130" s="20" t="n">
        <v>5</v>
      </c>
      <c r="AG130" s="19" t="inlineStr">
        <is>
          <t>Unrequited love</t>
        </is>
      </c>
      <c r="AH130" s="21" t="n">
        <v>48</v>
      </c>
      <c r="AI130" s="5" t="n"/>
      <c r="AJ130" s="5" t="n"/>
      <c r="AK130" s="5" t="n"/>
      <c r="AL130" s="5" t="n"/>
      <c r="AM130" s="5" t="inlineStr">
        <is>
          <t>INR crore</t>
        </is>
      </c>
      <c r="AN130" s="5" t="n"/>
      <c r="AO130" s="18" t="n"/>
      <c r="AP130" s="19" t="n"/>
      <c r="AQ130" s="19" t="inlineStr">
        <is>
          <t>Among the best-remembered of Kapoor's late character roles, in a film about the fabric of Old Delhi and the communal violence beneath it.</t>
        </is>
      </c>
      <c r="AR130" s="5" t="inlineStr">
        <is>
          <t>SOURCE-001; SOURCE-121</t>
        </is>
      </c>
      <c r="AS130" s="5" t="inlineStr">
        <is>
          <t>Medium</t>
        </is>
      </c>
      <c r="AT130" s="5" t="inlineStr">
        <is>
          <t>Infobox gross '₹52.17 crore' has no nett/gross label and is not entered. Fourth-billed. The article records that Ali Beg fancied Roshan's mother Fatima many years ago and has since never married, which is enough to score as a lifelong unrequited attachment and is given a Romances row; the romance is a small part of a small role, hence the Minor presence.</t>
        </is>
      </c>
    </row>
    <row r="131" ht="79" customHeight="1">
      <c r="A131" s="15" t="inlineStr">
        <is>
          <t>FILM-130</t>
        </is>
      </c>
      <c r="B131" s="5" t="inlineStr">
        <is>
          <t>Kal Kissne Dekha</t>
        </is>
      </c>
      <c r="C131" s="16" t="n">
        <v>39976</v>
      </c>
      <c r="D131" s="17" t="n">
        <v>2009</v>
      </c>
      <c r="E131" s="5" t="inlineStr">
        <is>
          <t>2000s</t>
        </is>
      </c>
      <c r="F131" s="5" t="inlineStr">
        <is>
          <t>Hindi</t>
        </is>
      </c>
      <c r="G131" s="5" t="inlineStr">
        <is>
          <t>Science fiction</t>
        </is>
      </c>
      <c r="H131" s="5" t="inlineStr">
        <is>
          <t>Romantic thriller</t>
        </is>
      </c>
      <c r="I131" s="17" t="n">
        <v>134</v>
      </c>
      <c r="J131" s="5" t="inlineStr">
        <is>
          <t>Vivek Sharma</t>
        </is>
      </c>
      <c r="K131" s="5" t="inlineStr">
        <is>
          <t>Vashu Bhagnani</t>
        </is>
      </c>
      <c r="L131" s="5" t="inlineStr">
        <is>
          <t>Pooja Entertainment</t>
        </is>
      </c>
      <c r="M131" s="5" t="inlineStr">
        <is>
          <t>Vivek Sharma; Shyam Goel; Sudhanshu Dube</t>
        </is>
      </c>
      <c r="N131" s="5" t="n"/>
      <c r="O131" s="5" t="inlineStr">
        <is>
          <t>Sajid–Wajid</t>
        </is>
      </c>
      <c r="P131" s="5" t="n"/>
      <c r="Q131" s="5" t="inlineStr">
        <is>
          <t>Sameer</t>
        </is>
      </c>
      <c r="R131" s="5" t="inlineStr">
        <is>
          <t>Siddharth Verma</t>
        </is>
      </c>
      <c r="S131" s="5" t="n"/>
      <c r="T131" s="5" t="inlineStr">
        <is>
          <t>Antagonist</t>
        </is>
      </c>
      <c r="U131" s="20" t="n">
        <v>3</v>
      </c>
      <c r="V131" s="5" t="inlineStr">
        <is>
          <t>College professor and warden</t>
        </is>
      </c>
      <c r="W131" s="5" t="inlineStr">
        <is>
          <t>A trusted senior figure at an elite Mumbai science institute</t>
        </is>
      </c>
      <c r="X131" s="19" t="inlineStr">
        <is>
          <t>Professor Siddharth Verma is the warden charmed, like everyone else, by the gifted new student Nihaal, and is revealed at the end to be the man behind the bombings Nihaal has been trying to prevent. The bomb that kills him is the one planted in the car Nihaal took from his own house.</t>
        </is>
      </c>
      <c r="Y131" s="19" t="inlineStr">
        <is>
          <t>Not documented; the article discloses his responsibility without explaining it.</t>
        </is>
      </c>
      <c r="Z131" s="19" t="inlineStr">
        <is>
          <t>A student who can see the future and keeps preventing his attacks.</t>
        </is>
      </c>
      <c r="AA131" s="19" t="inlineStr">
        <is>
          <t>From the institution's trusted warden to its bomber, exposed at the close.</t>
        </is>
      </c>
      <c r="AB131" s="19" t="inlineStr">
        <is>
          <t>Bad</t>
        </is>
      </c>
      <c r="AC131" s="5" t="inlineStr">
        <is>
          <t>Killed in his own blast, by the bomb planted in the car taken from his house.</t>
        </is>
      </c>
      <c r="AD131" s="5" t="n"/>
      <c r="AE131" s="5" t="inlineStr">
        <is>
          <t>None</t>
        </is>
      </c>
      <c r="AF131" s="18" t="n"/>
      <c r="AG131" s="19" t="inlineStr">
        <is>
          <t>No meaningful romance</t>
        </is>
      </c>
      <c r="AH131" s="5" t="n"/>
      <c r="AI131" s="5" t="n"/>
      <c r="AJ131" s="5" t="n"/>
      <c r="AK131" s="5" t="n"/>
      <c r="AL131" s="5" t="n"/>
      <c r="AM131" s="5" t="n"/>
      <c r="AN131" s="5" t="n"/>
      <c r="AO131" s="18" t="n"/>
      <c r="AP131" s="19" t="n"/>
      <c r="AQ131" s="19" t="n"/>
      <c r="AR131" s="5" t="inlineStr">
        <is>
          <t>SOURCE-001; SOURCE-122</t>
        </is>
      </c>
      <c r="AS131" s="5" t="inlineStr">
        <is>
          <t>Medium</t>
        </is>
      </c>
      <c r="AT131" s="5" t="inlineStr">
        <is>
          <t>Third-billed. One of a small group of outright antagonist roles Kapoor took in his last fifteen years, alongside Agneepath, Aurangzeb, D-Day and Kaanchi. The article's plot is garbled in its final stretch and does not give the professor a motive.</t>
        </is>
      </c>
    </row>
    <row r="132" ht="154" customHeight="1">
      <c r="A132" s="15" t="inlineStr">
        <is>
          <t>FILM-131</t>
        </is>
      </c>
      <c r="B132" s="5" t="inlineStr">
        <is>
          <t>Love Aaj Kal</t>
        </is>
      </c>
      <c r="C132" s="16" t="n">
        <v>40025</v>
      </c>
      <c r="D132" s="17" t="n">
        <v>2009</v>
      </c>
      <c r="E132" s="5" t="inlineStr">
        <is>
          <t>2000s</t>
        </is>
      </c>
      <c r="F132" s="5" t="inlineStr">
        <is>
          <t>Hindi</t>
        </is>
      </c>
      <c r="G132" s="5" t="inlineStr">
        <is>
          <t>Romantic drama</t>
        </is>
      </c>
      <c r="H132" s="5" t="n"/>
      <c r="I132" s="17" t="n">
        <v>129</v>
      </c>
      <c r="J132" s="5" t="inlineStr">
        <is>
          <t>Imtiaz Ali</t>
        </is>
      </c>
      <c r="K132" s="5" t="inlineStr">
        <is>
          <t>Saif Ali Khan; Dinesh Vijan</t>
        </is>
      </c>
      <c r="L132" s="5" t="inlineStr">
        <is>
          <t>Illuminati Films; Maddock Films</t>
        </is>
      </c>
      <c r="M132" s="5" t="inlineStr">
        <is>
          <t>Imtiaz Ali</t>
        </is>
      </c>
      <c r="N132" s="5" t="n"/>
      <c r="O132" s="5" t="inlineStr">
        <is>
          <t>Pritam</t>
        </is>
      </c>
      <c r="P132" s="5" t="inlineStr">
        <is>
          <t>Salim–Sulaiman</t>
        </is>
      </c>
      <c r="Q132" s="5" t="inlineStr">
        <is>
          <t>Irshad Kamil</t>
        </is>
      </c>
      <c r="R132" s="5" t="inlineStr">
        <is>
          <t>Veer Singh Panesar</t>
        </is>
      </c>
      <c r="S132" s="5" t="n"/>
      <c r="T132" s="5" t="inlineStr">
        <is>
          <t>Supporting</t>
        </is>
      </c>
      <c r="U132" s="20" t="n">
        <v>4</v>
      </c>
      <c r="V132" s="5" t="inlineStr">
        <is>
          <t>Not documented; a settled older man in the present-day frame</t>
        </is>
      </c>
      <c r="W132" s="5" t="inlineStr">
        <is>
          <t>A Sikh of the pre-partition generation, married to Harleen after a courtship conducted against her family</t>
        </is>
      </c>
      <c r="X132" s="19" t="inlineStr">
        <is>
          <t>The older Veer Singh Panesar is the film's argument with itself. Meeting the modern Jai after his amicable break-up, he tells the story of his own love for Harleen Kaur, whom he decided to marry at first sight without having spoken to her, and whose family beat him for declaring it. He narrates the past-tense romance that runs alongside the present-day one, and his persistence is what sends Jai back to Meera.</t>
        </is>
      </c>
      <c r="Y132" s="19" t="inlineStr">
        <is>
          <t>To convince a younger man not to let go of the woman he loves.</t>
        </is>
      </c>
      <c r="Z132" s="19" t="inlineStr">
        <is>
          <t>In the flashback, a family that engaged Harleen elsewhere without telling her and beat him when he declared himself; in the present, Jai's scepticism.</t>
        </is>
      </c>
      <c r="AA132" s="19" t="inlineStr">
        <is>
          <t>In the frame story he is already complete; the arc belongs to the young Veer he describes, who pursues Harleen against her family until he has her.</t>
        </is>
      </c>
      <c r="AB132" s="19" t="inlineStr">
        <is>
          <t>Good</t>
        </is>
      </c>
      <c r="AC132" s="5" t="inlineStr">
        <is>
          <t>Married to Harleen for a lifetime, and the reason Jai goes back.</t>
        </is>
      </c>
      <c r="AD132" s="5" t="inlineStr">
        <is>
          <t>Neetu Kapoor; Giselli Monteiro</t>
        </is>
      </c>
      <c r="AE132" s="5" t="inlineStr">
        <is>
          <t>Major</t>
        </is>
      </c>
      <c r="AF132" s="20" t="n">
        <v>10</v>
      </c>
      <c r="AG132" s="19" t="inlineStr">
        <is>
          <t>Forbidden love</t>
        </is>
      </c>
      <c r="AH132" s="21" t="n">
        <v>35</v>
      </c>
      <c r="AI132" s="21" t="n">
        <v>66.5</v>
      </c>
      <c r="AJ132" s="21" t="n">
        <v>89.2</v>
      </c>
      <c r="AK132" s="5" t="n"/>
      <c r="AL132" s="21" t="n">
        <v>119</v>
      </c>
      <c r="AM132" s="5" t="inlineStr">
        <is>
          <t>INR crore</t>
        </is>
      </c>
      <c r="AN132" s="5" t="inlineStr">
        <is>
          <t>Hit</t>
        </is>
      </c>
      <c r="AO132" s="18" t="n"/>
      <c r="AP132" s="19" t="inlineStr">
        <is>
          <t>Taran Adarsh of Bollywood Hungama gave the film four stars out of five, calling it one for the young and romantic at heart and praising the performances, music and emotional moments; Nikhat Kazmi of The Times of India also gave four out of five, and Sonia Chopra of Sify three and a half.</t>
        </is>
      </c>
      <c r="AQ132" s="19" t="inlineStr">
        <is>
          <t>The film pairs Kapoor with his wife Neetu Kapoor as the older Veer and Harleen, with Saif Ali Khan and Giselli Monteiro playing the same couple young; the older Harleen is credited as a special appearance.</t>
        </is>
      </c>
      <c r="AR132" s="5" t="inlineStr">
        <is>
          <t>SOURCE-001; SOURCE-123</t>
        </is>
      </c>
      <c r="AS132" s="5" t="inlineStr">
        <is>
          <t>High</t>
        </is>
      </c>
      <c r="AT132" s="5" t="inlineStr">
        <is>
          <t>Infobox gross '₹120 crore' has no nett/gross label and is not entered. India nett of ₹665 million, about ₹66.5 crore, a gross of ₹892 million declared a hit by Box Office India, and a worldwide gross of ₹1.19 billion, about ₹119 crore, all as labelled in the article. Fourth-billed, but the role carries the film's thesis: an old-fashioned love conducted against a family, set against a modern couple who part amicably. One Romances row is created for Veer and Harleen, recording that the young Veer is played by Saif Ali Khan.</t>
        </is>
      </c>
    </row>
    <row r="133" ht="124" customHeight="1">
      <c r="A133" s="15" t="inlineStr">
        <is>
          <t>FILM-132</t>
        </is>
      </c>
      <c r="B133" s="5" t="inlineStr">
        <is>
          <t>Chintu Ji</t>
        </is>
      </c>
      <c r="C133" s="16" t="n">
        <v>40060</v>
      </c>
      <c r="D133" s="17" t="n">
        <v>2009</v>
      </c>
      <c r="E133" s="5" t="inlineStr">
        <is>
          <t>2000s</t>
        </is>
      </c>
      <c r="F133" s="5" t="inlineStr">
        <is>
          <t>Hindi</t>
        </is>
      </c>
      <c r="G133" s="5" t="inlineStr">
        <is>
          <t>Satire</t>
        </is>
      </c>
      <c r="H133" s="5" t="inlineStr">
        <is>
          <t>Comedy drama</t>
        </is>
      </c>
      <c r="I133" s="18" t="n"/>
      <c r="J133" s="5" t="inlineStr">
        <is>
          <t>Ranjit Kapoor</t>
        </is>
      </c>
      <c r="K133" s="5" t="inlineStr">
        <is>
          <t>Bobby Bedi; Gautam Talwar</t>
        </is>
      </c>
      <c r="L133" s="5" t="inlineStr">
        <is>
          <t>Kaleidoscope Entertainment</t>
        </is>
      </c>
      <c r="M133" s="5" t="inlineStr">
        <is>
          <t>Ranjit Kapoor</t>
        </is>
      </c>
      <c r="N133" s="5" t="n"/>
      <c r="O133" s="5" t="inlineStr">
        <is>
          <t>Sukhwinder Singh; Abhishek-Ishteyak</t>
        </is>
      </c>
      <c r="P133" s="5" t="inlineStr">
        <is>
          <t>Raju Singh</t>
        </is>
      </c>
      <c r="Q133" s="5" t="n"/>
      <c r="R133" s="5" t="inlineStr">
        <is>
          <t>Chintuji</t>
        </is>
      </c>
      <c r="S133" s="5" t="inlineStr">
        <is>
          <t>Credited as Rishi 'Chintuji' Raj Kapoor and as Kamlesh Sukheja Ji</t>
        </is>
      </c>
      <c r="T133" s="5" t="inlineStr">
        <is>
          <t>Lead</t>
        </is>
      </c>
      <c r="U133" s="20" t="n">
        <v>1</v>
      </c>
      <c r="V133" s="5" t="inlineStr">
        <is>
          <t>Film star entering politics</t>
        </is>
      </c>
      <c r="W133" s="5" t="inlineStr">
        <is>
          <t>A fictionalised version of Kapoor himself, son of Raj Kapoor, using his own birth village as a constituency</t>
        </is>
      </c>
      <c r="X133" s="19" t="inlineStr">
        <is>
          <t>Kapoor plays a version of himself: a star who decides to try politics and relocates to his birth village Hadbahedi to build support, promising the villagers he has no intention of leaving while secretly trading his name to a liquor brand for land and a crore of rupees. The village helps him shoot a film and turns on him when its valuables are stolen and its women molested by his crew.</t>
        </is>
      </c>
      <c r="Y133" s="19" t="inlineStr">
        <is>
          <t>To convert a village's goodwill into a political base and a private land deal.</t>
        </is>
      </c>
      <c r="Z133" s="19" t="inlineStr">
        <is>
          <t>A village he is deceiving, a film crew that preys on it, and police who accuse the villagers of harbouring a terrorist.</t>
        </is>
      </c>
      <c r="AA133" s="19" t="inlineStr">
        <is>
          <t>From a star trading on his father's name to a man whose deception collapses into the chaos he brought.</t>
        </is>
      </c>
      <c r="AB133" s="19" t="inlineStr">
        <is>
          <t>Morally mixed</t>
        </is>
      </c>
      <c r="AC133" s="5" t="inlineStr">
        <is>
          <t>Not documented in full; the article records the villagers' anger once the thefts and molestations come to light.</t>
        </is>
      </c>
      <c r="AD133" s="5" t="n"/>
      <c r="AE133" s="5" t="inlineStr">
        <is>
          <t>None</t>
        </is>
      </c>
      <c r="AF133" s="18" t="n"/>
      <c r="AG133" s="19" t="inlineStr">
        <is>
          <t>No meaningful romance</t>
        </is>
      </c>
      <c r="AH133" s="5" t="n"/>
      <c r="AI133" s="5" t="n"/>
      <c r="AJ133" s="5" t="n"/>
      <c r="AK133" s="5" t="n"/>
      <c r="AL133" s="5" t="n"/>
      <c r="AM133" s="5" t="n"/>
      <c r="AN133" s="5" t="n"/>
      <c r="AO133" s="18" t="n"/>
      <c r="AP133" s="19" t="inlineStr">
        <is>
          <t>Taran Adarsh of Bollywood Hungama gave the film three and a half out of five and wrote that Rishi Kapoor is the soul of Chintuji, also praising Grusha Kapoor and Saurabh Shukla.</t>
        </is>
      </c>
      <c r="AQ133" s="19" t="inlineStr">
        <is>
          <t>The only film in which Kapoor plays a fictionalised version of himself as the protagonist rather than appearing as himself in a cameo.</t>
        </is>
      </c>
      <c r="AR133" s="5" t="inlineStr">
        <is>
          <t>SOURCE-001; SOURCE-124</t>
        </is>
      </c>
      <c r="AS133" s="5" t="inlineStr">
        <is>
          <t>Medium</t>
        </is>
      </c>
      <c r="AT133" s="5" t="inlineStr">
        <is>
          <t>Role type is recorded as Lead rather than Self appearance deliberately: the character is a fictional construction bearing his own name and family, carrying a full leading performance and a satirical arc, and classing it with the walk-ons in Om Shanti Om or Halla Bol would distort the Overview counts. The second credited character, Kamlesh Sukheja Ji, indicates a double role the article's plot does not explain.</t>
        </is>
      </c>
    </row>
    <row r="134" ht="109" customHeight="1">
      <c r="A134" s="15" t="inlineStr">
        <is>
          <t>FILM-133</t>
        </is>
      </c>
      <c r="B134" s="5" t="inlineStr">
        <is>
          <t>Sadiyaan</t>
        </is>
      </c>
      <c r="C134" s="16" t="n">
        <v>40270</v>
      </c>
      <c r="D134" s="17" t="n">
        <v>2010</v>
      </c>
      <c r="E134" s="5" t="inlineStr">
        <is>
          <t>2010s</t>
        </is>
      </c>
      <c r="F134" s="5" t="inlineStr">
        <is>
          <t>Hindi</t>
        </is>
      </c>
      <c r="G134" s="5" t="inlineStr">
        <is>
          <t>Drama</t>
        </is>
      </c>
      <c r="H134" s="5" t="inlineStr">
        <is>
          <t>Partition drama</t>
        </is>
      </c>
      <c r="I134" s="17" t="n">
        <v>162</v>
      </c>
      <c r="J134" s="5" t="inlineStr">
        <is>
          <t>Raj Kanwar</t>
        </is>
      </c>
      <c r="K134" s="5" t="inlineStr">
        <is>
          <t>Raj Kanwar</t>
        </is>
      </c>
      <c r="L134" s="5" t="inlineStr">
        <is>
          <t>Inderjit Films Combine</t>
        </is>
      </c>
      <c r="M134" s="5" t="inlineStr">
        <is>
          <t>Abhay Kanwar; Raj Kanwar; Javed Siddiqui</t>
        </is>
      </c>
      <c r="N134" s="5" t="n"/>
      <c r="O134" s="5" t="inlineStr">
        <is>
          <t>Adnan Sami</t>
        </is>
      </c>
      <c r="P134" s="5" t="inlineStr">
        <is>
          <t>Raju Rao</t>
        </is>
      </c>
      <c r="Q134" s="5" t="n"/>
      <c r="R134" s="5" t="inlineStr">
        <is>
          <t>Rajveer Singh</t>
        </is>
      </c>
      <c r="S134" s="5" t="n"/>
      <c r="T134" s="5" t="inlineStr">
        <is>
          <t>Supporting</t>
        </is>
      </c>
      <c r="U134" s="20" t="n">
        <v>4</v>
      </c>
      <c r="V134" s="5" t="inlineStr">
        <is>
          <t>Not documented</t>
        </is>
      </c>
      <c r="W134" s="5" t="inlineStr">
        <is>
          <t>A Sikh whose Lahore family fled to Amritsar in the partition of 1947, married to Amrit</t>
        </is>
      </c>
      <c r="X134" s="19" t="inlineStr">
        <is>
          <t>Rajveer and his wife Amrit are the couple displaced from Lahore in 1947 who find an abandoned Muslim infant in the Amritsar house allotted to them and raise him as their own son Ishaan. Twenty years later, when Ishaan's love for a Kashmiri girl founders on her family's refusal to let her marry a Sikh, it is the two of them who tell him the truth and then go and find his birth parents.</t>
        </is>
      </c>
      <c r="Y134" s="19" t="inlineStr">
        <is>
          <t>To give the son they raised the marriage he wants, even at the cost of losing him.</t>
        </is>
      </c>
      <c r="Z134" s="19" t="inlineStr">
        <is>
          <t>A truth about their son's birth that is the only thing that can make his marriage possible.</t>
        </is>
      </c>
      <c r="AA134" s="19" t="inlineStr">
        <is>
          <t>From a father who kept a secret for twenty years to one who surrenders it, and then his son, to make the boy happy.</t>
        </is>
      </c>
      <c r="AB134" s="19" t="inlineStr">
        <is>
          <t>Good</t>
        </is>
      </c>
      <c r="AC134" s="5" t="inlineStr">
        <is>
          <t>Tracks down Ishaan's real parents and brings them to Amritsar, after which Benazir arrives to take custody of the son he raised.</t>
        </is>
      </c>
      <c r="AD134" s="5" t="inlineStr">
        <is>
          <t>Rekha</t>
        </is>
      </c>
      <c r="AE134" s="5" t="inlineStr">
        <is>
          <t>Minor</t>
        </is>
      </c>
      <c r="AF134" s="20" t="n">
        <v>6</v>
      </c>
      <c r="AG134" s="19" t="inlineStr">
        <is>
          <t>Romance subordinate to another genre</t>
        </is>
      </c>
      <c r="AH134" s="5" t="n"/>
      <c r="AI134" s="5" t="n"/>
      <c r="AJ134" s="5" t="n"/>
      <c r="AK134" s="5" t="n"/>
      <c r="AL134" s="5" t="n"/>
      <c r="AM134" s="5" t="n"/>
      <c r="AN134" s="5" t="n"/>
      <c r="AO134" s="18" t="n"/>
      <c r="AP134" s="19" t="n"/>
      <c r="AQ134" s="19" t="n"/>
      <c r="AR134" s="5" t="inlineStr">
        <is>
          <t>SOURCE-001; SOURCE-125</t>
        </is>
      </c>
      <c r="AS134" s="5" t="inlineStr">
        <is>
          <t>Low</t>
        </is>
      </c>
      <c r="AT134" s="5" t="inlineStr">
        <is>
          <t>Fourth-billed. The second partition film of the career after Henna (1991), and the second in which a romance is obstructed by the border and by religion; here Kapoor is on the parental side of it. Rekha plays his wife and the two function as a unit throughout, but the article records no romance between them, so no Romances row is created.</t>
        </is>
      </c>
    </row>
    <row r="135" ht="109" customHeight="1">
      <c r="A135" s="15" t="inlineStr">
        <is>
          <t>FILM-134</t>
        </is>
      </c>
      <c r="B135" s="5" t="inlineStr">
        <is>
          <t>Do Dooni Chaar</t>
        </is>
      </c>
      <c r="C135" s="16" t="n">
        <v>40459</v>
      </c>
      <c r="D135" s="17" t="n">
        <v>2010</v>
      </c>
      <c r="E135" s="5" t="inlineStr">
        <is>
          <t>2010s</t>
        </is>
      </c>
      <c r="F135" s="5" t="inlineStr">
        <is>
          <t>Hindi</t>
        </is>
      </c>
      <c r="G135" s="5" t="inlineStr">
        <is>
          <t>Comedy drama</t>
        </is>
      </c>
      <c r="H135" s="5" t="inlineStr">
        <is>
          <t>Family drama</t>
        </is>
      </c>
      <c r="I135" s="17" t="n">
        <v>108</v>
      </c>
      <c r="J135" s="5" t="inlineStr">
        <is>
          <t>Habib Faisal</t>
        </is>
      </c>
      <c r="K135" s="5" t="inlineStr">
        <is>
          <t>Arindam Chaudhuri</t>
        </is>
      </c>
      <c r="L135" s="5" t="inlineStr">
        <is>
          <t>Walt Disney Pictures; Planman Motion Pictures; Walt Disney Pictures India</t>
        </is>
      </c>
      <c r="M135" s="5" t="inlineStr">
        <is>
          <t>Habib Faisal; Rahil Qazi</t>
        </is>
      </c>
      <c r="N135" s="5" t="n"/>
      <c r="O135" s="5" t="inlineStr">
        <is>
          <t>Meet Bros Anjjan; Ankit Tiwari</t>
        </is>
      </c>
      <c r="P135" s="5" t="n"/>
      <c r="Q135" s="5" t="n"/>
      <c r="R135" s="5" t="inlineStr">
        <is>
          <t>Santosh Duggal</t>
        </is>
      </c>
      <c r="S135" s="5" t="n"/>
      <c r="T135" s="5" t="inlineStr">
        <is>
          <t>Lead</t>
        </is>
      </c>
      <c r="U135" s="20" t="n">
        <v>1</v>
      </c>
      <c r="V135" s="5" t="inlineStr">
        <is>
          <t>High-school mathematics teacher, with a second income from a coaching centre</t>
        </is>
      </c>
      <c r="W135" s="5" t="inlineStr">
        <is>
          <t>Lower-middle-class Punjabi household in a one-bedroom flat in Lajpat Nagar, Delhi, living hand to mouth</t>
        </is>
      </c>
      <c r="X135" s="19" t="inlineStr">
        <is>
          <t>Santosh Duggal is a maths teacher whose family of four shares a one-bedroom flat and whose dignity is invested in a dilapidated scooter called the Duggal Express. His sister's demand that they arrive at a Meerut wedding by car, rather than on the scooter that would shame her, sets off a small domestic crisis about money, appearances and what he has been able to give his children.</t>
        </is>
      </c>
      <c r="Y135" s="19" t="inlineStr">
        <is>
          <t>To meet his family's expectations on a teacher's salary without compromising himself.</t>
        </is>
      </c>
      <c r="Z135" s="19" t="inlineStr">
        <is>
          <t>The gap between what his children expect and what he earns, sharpened by a relative's insistence on appearances.</t>
        </is>
      </c>
      <c r="AA135" s="19" t="inlineStr">
        <is>
          <t>From a man penny-pinching to stay respectable to one confronting what respectability is costing the household.</t>
        </is>
      </c>
      <c r="AB135" s="19" t="inlineStr">
        <is>
          <t>Good</t>
        </is>
      </c>
      <c r="AC135" s="5" t="inlineStr">
        <is>
          <t>Not documented in full; the article's plot breaks off after the borrowed car is damaged on the return from Meerut.</t>
        </is>
      </c>
      <c r="AD135" s="5" t="inlineStr">
        <is>
          <t>Neetu Kapoor</t>
        </is>
      </c>
      <c r="AE135" s="5" t="inlineStr">
        <is>
          <t>Minor</t>
        </is>
      </c>
      <c r="AF135" s="20" t="n">
        <v>3</v>
      </c>
      <c r="AG135" s="19" t="inlineStr">
        <is>
          <t>Established relationship</t>
        </is>
      </c>
      <c r="AH135" s="5" t="n"/>
      <c r="AI135" s="5" t="n"/>
      <c r="AJ135" s="21" t="n">
        <v>4.5</v>
      </c>
      <c r="AK135" s="5" t="n"/>
      <c r="AL135" s="5" t="n"/>
      <c r="AM135" s="5" t="inlineStr">
        <is>
          <t>INR crore</t>
        </is>
      </c>
      <c r="AN135" s="5" t="n"/>
      <c r="AO135" s="18" t="n"/>
      <c r="AP135" s="19" t="n"/>
      <c r="AQ135" s="19" t="inlineStr">
        <is>
          <t>Habib Faisal's directorial debut, and the film that began the late run of character leads, from here through Do Dooni Chaar, Kapoor &amp; Sons and Mulk, on which Kapoor's late reputation largely rests.</t>
        </is>
      </c>
      <c r="AR135" s="5" t="inlineStr">
        <is>
          <t>SOURCE-001; SOURCE-126</t>
        </is>
      </c>
      <c r="AS135" s="5" t="inlineStr">
        <is>
          <t>Medium</t>
        </is>
      </c>
      <c r="AT135" s="5" t="inlineStr">
        <is>
          <t>Theatrical collection of ₹45 million, about ₹4.5 crore, as the article gives it. Reunites Kapoor with Neetu Kapoor as his wife Kusum, their first film together as a married couple in a domestic register; the article records that she gave up her job at his insistence, which is the one piece of marital history it supplies and is scored in the Romances row.</t>
        </is>
      </c>
    </row>
    <row r="136" ht="169" customHeight="1">
      <c r="A136" s="15" t="inlineStr">
        <is>
          <t>FILM-135</t>
        </is>
      </c>
      <c r="B136" s="5" t="inlineStr">
        <is>
          <t>Patiala House</t>
        </is>
      </c>
      <c r="C136" s="16" t="n">
        <v>40585</v>
      </c>
      <c r="D136" s="17" t="n">
        <v>2011</v>
      </c>
      <c r="E136" s="5" t="inlineStr">
        <is>
          <t>2010s</t>
        </is>
      </c>
      <c r="F136" s="5" t="inlineStr">
        <is>
          <t>Hindi</t>
        </is>
      </c>
      <c r="G136" s="5" t="inlineStr">
        <is>
          <t>Sports drama</t>
        </is>
      </c>
      <c r="H136" s="5" t="inlineStr">
        <is>
          <t>Family drama</t>
        </is>
      </c>
      <c r="I136" s="17" t="n">
        <v>147</v>
      </c>
      <c r="J136" s="5" t="inlineStr">
        <is>
          <t>Nikkhil Advani</t>
        </is>
      </c>
      <c r="K136" s="5" t="inlineStr">
        <is>
          <t>Bhushan Kumar; Mukesh Talreja; Krishan Kumar; Twinkle Khanna; Zoeb Springwala</t>
        </is>
      </c>
      <c r="L136" s="5" t="inlineStr">
        <is>
          <t>T-Series Films; Hari Om Entertainment; People Tree Films</t>
        </is>
      </c>
      <c r="M136" s="5" t="inlineStr">
        <is>
          <t>Nikkhil Advani; Anvita Dutt Guptan</t>
        </is>
      </c>
      <c r="N136" s="5" t="n"/>
      <c r="O136" s="5" t="inlineStr">
        <is>
          <t>Shankar–Ehsaan–Loy</t>
        </is>
      </c>
      <c r="P136" s="5" t="n"/>
      <c r="Q136" s="5" t="inlineStr">
        <is>
          <t>Anvita Dutt Guptan</t>
        </is>
      </c>
      <c r="R136" s="5" t="inlineStr">
        <is>
          <t>Gurtej Singh Kahlon</t>
        </is>
      </c>
      <c r="S136" s="5" t="n"/>
      <c r="T136" s="5" t="inlineStr">
        <is>
          <t>Lead</t>
        </is>
      </c>
      <c r="U136" s="20" t="n">
        <v>1</v>
      </c>
      <c r="V136" s="5" t="inlineStr">
        <is>
          <t>Head of a large Sikh household in Southall, London</t>
        </is>
      </c>
      <c r="W136" s="5" t="inlineStr">
        <is>
          <t>A Punjabi patriarch in Britain whose authority over his family was formed by the racism of an earlier generation</t>
        </is>
      </c>
      <c r="X136" s="19" t="inlineStr">
        <is>
          <t>Gurtej Singh Kahlon, called Bauji, has chosen his son's life for him: Gattu was a gifted fast bowler and Gurtej would never let him play for England, once threatening suicide to stop him. When the family conceals that Gattu has made the team and Gurtej finds out, the sight of his son in an England shirt gives him a heart attack, and it takes his wife and the whole of Southall to bring him to the stadium.</t>
        </is>
      </c>
      <c r="Y136" s="19" t="inlineStr">
        <is>
          <t>To keep his son out of the England side, and behind that to keep faith with what Britain did to his own generation.</t>
        </is>
      </c>
      <c r="Z136" s="19" t="inlineStr">
        <is>
          <t>A son whose talent can only be realised in the colours Gurtej cannot forgive, and a household that conspires against him for the boy's sake.</t>
        </is>
      </c>
      <c r="AA136" s="19" t="inlineStr">
        <is>
          <t>From a father who ruled by threat to a man who watches his son on television, understands how badly he has treated him, and asks to be driven to the ground.</t>
        </is>
      </c>
      <c r="AB136" s="19" t="inlineStr">
        <is>
          <t>Morally mixed</t>
        </is>
      </c>
      <c r="AC136" s="5" t="inlineStr">
        <is>
          <t>Apologises to Gattu at the stadium and is reconciled with him, after which his other children are free to follow their own ambitions.</t>
        </is>
      </c>
      <c r="AD136" s="5" t="inlineStr">
        <is>
          <t>Dimple Kapadia</t>
        </is>
      </c>
      <c r="AE136" s="5" t="inlineStr">
        <is>
          <t>Minor</t>
        </is>
      </c>
      <c r="AF136" s="20" t="n">
        <v>3</v>
      </c>
      <c r="AG136" s="19" t="inlineStr">
        <is>
          <t>Established relationship</t>
        </is>
      </c>
      <c r="AH136" s="21" t="n">
        <v>26</v>
      </c>
      <c r="AI136" s="5" t="n"/>
      <c r="AJ136" s="5" t="n"/>
      <c r="AK136" s="5" t="n"/>
      <c r="AL136" s="5" t="n"/>
      <c r="AM136" s="5" t="inlineStr">
        <is>
          <t>INR crore</t>
        </is>
      </c>
      <c r="AN136" s="5" t="n"/>
      <c r="AO136" s="18" t="n"/>
      <c r="AP136" s="19" t="n"/>
      <c r="AQ136" s="19" t="n"/>
      <c r="AR136" s="5" t="inlineStr">
        <is>
          <t>SOURCE-001; SOURCE-127</t>
        </is>
      </c>
      <c r="AS136" s="5" t="inlineStr">
        <is>
          <t>Medium</t>
        </is>
      </c>
      <c r="AT136" s="5" t="inlineStr">
        <is>
          <t>Infobox release dates: 2011-02-10 (Patiala); 2011-02-11 (India). Infobox gross '₹35.3 crore' has no nett/gross label and is not entered. Top-billed. His fourth pairing with Dimple Kapadia, after Bobby, Saagar and Pyaar Mein Twist, and the eighth film in which they appear together, here as a long-married couple; the article gives her the film's pivotal speech, that she had only ever acted as a wife and not as a mother and often forgot she was both, which is scored in the Romances row. Kumud Mishra plays the young Gurtej with Kapoor supplying the voice.</t>
        </is>
      </c>
    </row>
    <row r="137" ht="94" customHeight="1">
      <c r="A137" s="15" t="inlineStr">
        <is>
          <t>FILM-136</t>
        </is>
      </c>
      <c r="B137" s="5" t="inlineStr">
        <is>
          <t>Tell Me O Kkhuda</t>
        </is>
      </c>
      <c r="C137" s="16" t="n">
        <v>40843</v>
      </c>
      <c r="D137" s="17" t="n">
        <v>2011</v>
      </c>
      <c r="E137" s="5" t="inlineStr">
        <is>
          <t>2010s</t>
        </is>
      </c>
      <c r="F137" s="5" t="inlineStr">
        <is>
          <t>Hindi</t>
        </is>
      </c>
      <c r="G137" s="5" t="inlineStr">
        <is>
          <t>Drama</t>
        </is>
      </c>
      <c r="H137" s="5" t="n"/>
      <c r="I137" s="18" t="n"/>
      <c r="J137" s="5" t="inlineStr">
        <is>
          <t>Hema Malini</t>
        </is>
      </c>
      <c r="K137" s="5" t="inlineStr">
        <is>
          <t>Hema Malini</t>
        </is>
      </c>
      <c r="L137" s="5" t="inlineStr">
        <is>
          <t>Hema Malini Creations</t>
        </is>
      </c>
      <c r="M137" s="5" t="inlineStr">
        <is>
          <t>Hema Malini; Mayur Puri; Ulka Puri; Anand Sharma</t>
        </is>
      </c>
      <c r="N137" s="5" t="inlineStr">
        <is>
          <t>Remake of 2008 American film Mamma Mia!</t>
        </is>
      </c>
      <c r="O137" s="5" t="inlineStr">
        <is>
          <t>Pritam</t>
        </is>
      </c>
      <c r="P137" s="5" t="inlineStr">
        <is>
          <t>Sanjay Wandrekar</t>
        </is>
      </c>
      <c r="Q137" s="5" t="inlineStr">
        <is>
          <t>Mayur Puri</t>
        </is>
      </c>
      <c r="R137" s="5" t="inlineStr">
        <is>
          <t>Altaf Zardari</t>
        </is>
      </c>
      <c r="S137" s="5" t="n"/>
      <c r="T137" s="5" t="inlineStr">
        <is>
          <t>Supporting</t>
        </is>
      </c>
      <c r="U137" s="20" t="n">
        <v>3</v>
      </c>
      <c r="V137" s="5" t="inlineStr">
        <is>
          <t>Not documented</t>
        </is>
      </c>
      <c r="W137" s="5" t="inlineStr">
        <is>
          <t>An Indian settled in Turkey with a non-Indian wife, living quietly</t>
        </is>
      </c>
      <c r="X137" s="19" t="inlineStr">
        <is>
          <t>Altaf Zardari is the second of the men Tanya visits while searching for her biological father. He and his wife Zainab live peacefully in Turkey, and Zainab has no memory of losing a baby girl in the hospital fire from which Tanya was rescued; Tanya helps her recover the memory and accept that her daughter died, and leaves without having found her own parents.</t>
        </is>
      </c>
      <c r="Y137" s="19" t="inlineStr">
        <is>
          <t>Not documented.</t>
        </is>
      </c>
      <c r="Z137" s="19" t="inlineStr">
        <is>
          <t>A wife who has buried the memory of a dead child.</t>
        </is>
      </c>
      <c r="AA137" s="19" t="n"/>
      <c r="AB137" s="19" t="inlineStr">
        <is>
          <t>Good</t>
        </is>
      </c>
      <c r="AC137" s="5" t="inlineStr">
        <is>
          <t>His wife recovers the memory of her lost daughter and accepts the death; Tanya moves on.</t>
        </is>
      </c>
      <c r="AD137" s="5" t="inlineStr">
        <is>
          <t>Meltem Cumbul</t>
        </is>
      </c>
      <c r="AE137" s="5" t="inlineStr">
        <is>
          <t>Minor</t>
        </is>
      </c>
      <c r="AF137" s="18" t="n"/>
      <c r="AG137" s="19" t="inlineStr">
        <is>
          <t>Romance subordinate to another genre</t>
        </is>
      </c>
      <c r="AH137" s="5" t="n"/>
      <c r="AI137" s="5" t="n"/>
      <c r="AJ137" s="5" t="n"/>
      <c r="AK137" s="5" t="n"/>
      <c r="AL137" s="5" t="n"/>
      <c r="AM137" s="5" t="n"/>
      <c r="AN137" s="5" t="n"/>
      <c r="AO137" s="18" t="n"/>
      <c r="AP137" s="19" t="n"/>
      <c r="AQ137" s="19" t="n"/>
      <c r="AR137" s="5" t="inlineStr">
        <is>
          <t>SOURCE-001; SOURCE-128</t>
        </is>
      </c>
      <c r="AS137" s="5" t="inlineStr">
        <is>
          <t>Low</t>
        </is>
      </c>
      <c r="AT137" s="5" t="inlineStr">
        <is>
          <t>Sixth-billed in an ensemble of veterans directed by Hema Malini, with Dharmendra and Vinod Khanna as the other candidate fathers. The marriage to Zainab is described as peaceful and is not otherwise developed, so no Romances row is created.</t>
        </is>
      </c>
    </row>
    <row r="138" ht="154" customHeight="1">
      <c r="A138" s="15" t="inlineStr">
        <is>
          <t>FILM-137</t>
        </is>
      </c>
      <c r="B138" s="5" t="inlineStr">
        <is>
          <t>Agneepath</t>
        </is>
      </c>
      <c r="C138" s="16" t="n">
        <v>40934</v>
      </c>
      <c r="D138" s="17" t="n">
        <v>2012</v>
      </c>
      <c r="E138" s="5" t="inlineStr">
        <is>
          <t>2010s</t>
        </is>
      </c>
      <c r="F138" s="5" t="inlineStr">
        <is>
          <t>Hindi</t>
        </is>
      </c>
      <c r="G138" s="5" t="inlineStr">
        <is>
          <t>Crime drama</t>
        </is>
      </c>
      <c r="H138" s="5" t="inlineStr">
        <is>
          <t>Action</t>
        </is>
      </c>
      <c r="I138" s="17" t="n">
        <v>174</v>
      </c>
      <c r="J138" s="5" t="inlineStr">
        <is>
          <t>Karan Malhotra</t>
        </is>
      </c>
      <c r="K138" s="5" t="inlineStr">
        <is>
          <t>Hiroo Yash Johar; Karan Johar</t>
        </is>
      </c>
      <c r="L138" s="5" t="inlineStr">
        <is>
          <t>Dharma Productions</t>
        </is>
      </c>
      <c r="M138" s="5" t="inlineStr">
        <is>
          <t>Santosh Saroj; Karan Malhotra; Ila Bedi Dutta</t>
        </is>
      </c>
      <c r="N138" s="5" t="inlineStr">
        <is>
          <t>Based on Agneepath (1990) by Mukul S. Anand</t>
        </is>
      </c>
      <c r="O138" s="5" t="inlineStr">
        <is>
          <t>Ajay–Atul</t>
        </is>
      </c>
      <c r="P138" s="5" t="n"/>
      <c r="Q138" s="5" t="inlineStr">
        <is>
          <t>Amitabh Bhattacharya</t>
        </is>
      </c>
      <c r="R138" s="5" t="inlineStr">
        <is>
          <t>Rauf Lala</t>
        </is>
      </c>
      <c r="S138" s="5" t="n"/>
      <c r="T138" s="5" t="inlineStr">
        <is>
          <t>Antagonist</t>
        </is>
      </c>
      <c r="U138" s="20" t="n">
        <v>3</v>
      </c>
      <c r="V138" s="5" t="inlineStr">
        <is>
          <t>Crime boss of Dongri, trafficking teenage girls alongside his other operations</t>
        </is>
      </c>
      <c r="W138" s="5" t="inlineStr">
        <is>
          <t>A Bombay gang lord with two sons, Mazhar and Azhar, and an organisation Vijay joins in order to rise</t>
        </is>
      </c>
      <c r="X138" s="19" t="inlineStr">
        <is>
          <t>Rauf Lala is the gangster Vijay attaches himself to in order to acquire power, and who is destroyed by the protege he promotes. Lala rewards Vijay with Dongri for securing his syndicate a monopoly, and Vijay then conspires to have his son Mazhar killed, which puts Lala in hospital and leaves the empire to a man who immediately dismantles his trafficking of teenage girls.</t>
        </is>
      </c>
      <c r="Y138" s="19" t="inlineStr">
        <is>
          <t>To hold and extend an organisation built partly on trafficking girls.</t>
        </is>
      </c>
      <c r="Z138" s="19" t="inlineStr">
        <is>
          <t>A lieutenant who is more capable than his own sons and is working towards taking everything.</t>
        </is>
      </c>
      <c r="AA138" s="19" t="inlineStr">
        <is>
          <t>From the man Vijay needs to a man in hospital whose son is dead and whose empire has changed hands.</t>
        </is>
      </c>
      <c r="AB138" s="19" t="inlineStr">
        <is>
          <t>Bad</t>
        </is>
      </c>
      <c r="AC138" s="5" t="inlineStr">
        <is>
          <t>Hospitalised after Mazhar's murder, with the empire seized by Vijay and his trafficking operations broken up.</t>
        </is>
      </c>
      <c r="AD138" s="5" t="n"/>
      <c r="AE138" s="5" t="inlineStr">
        <is>
          <t>None</t>
        </is>
      </c>
      <c r="AF138" s="18" t="n"/>
      <c r="AG138" s="19" t="inlineStr">
        <is>
          <t>No meaningful romance</t>
        </is>
      </c>
      <c r="AH138" s="21" t="n">
        <v>58</v>
      </c>
      <c r="AI138" s="21" t="n">
        <v>120</v>
      </c>
      <c r="AJ138" s="5" t="n"/>
      <c r="AK138" s="5" t="n"/>
      <c r="AL138" s="5" t="n"/>
      <c r="AM138" s="5" t="inlineStr">
        <is>
          <t>INR crore</t>
        </is>
      </c>
      <c r="AN138" s="5" t="inlineStr">
        <is>
          <t>Major commercial success</t>
        </is>
      </c>
      <c r="AO138" s="18" t="n"/>
      <c r="AP138" s="19" t="inlineStr">
        <is>
          <t>The article records positive reviews in India, with praise directed at the direction, screenplay, music, cinematography and performances, particularly those of Hrithik Roshan, Sanjay Dutt and Kapoor.</t>
        </is>
      </c>
      <c r="AQ138" s="19" t="inlineStr">
        <is>
          <t>Broke the record for the highest opening-day collections in Hindi cinema at the time, and the role is widely regarded as the strongest of Kapoor's late antagonist turns.</t>
        </is>
      </c>
      <c r="AR138" s="5" t="inlineStr">
        <is>
          <t>SOURCE-001; SOURCE-129</t>
        </is>
      </c>
      <c r="AS138" s="5" t="inlineStr">
        <is>
          <t>High</t>
        </is>
      </c>
      <c r="AT138" s="5" t="inlineStr">
        <is>
          <t>Infobox gross '₹193 crore' has no nett/gross label and is not entered. Lifetime India nett of ₹1.20 billion, about ₹120 crore, as the article gives it, after an opening day of ₹217.6 million nett that broke the previous record held by Bodyguard. The article also reports a final distributor share of ₹655 million and overseas earnings of around $6 million; the distributor share is a different measure and the overseas figure is in dollars, so neither is entered in the commercial columns.</t>
        </is>
      </c>
    </row>
    <row r="139" ht="139" customHeight="1">
      <c r="A139" s="15" t="inlineStr">
        <is>
          <t>FILM-138</t>
        </is>
      </c>
      <c r="B139" s="5" t="inlineStr">
        <is>
          <t>Housefull 2</t>
        </is>
      </c>
      <c r="C139" s="16" t="n">
        <v>41004</v>
      </c>
      <c r="D139" s="17" t="n">
        <v>2012</v>
      </c>
      <c r="E139" s="5" t="inlineStr">
        <is>
          <t>2010s</t>
        </is>
      </c>
      <c r="F139" s="5" t="inlineStr">
        <is>
          <t>Hindi</t>
        </is>
      </c>
      <c r="G139" s="5" t="inlineStr">
        <is>
          <t>Comedy</t>
        </is>
      </c>
      <c r="H139" s="5" t="n"/>
      <c r="I139" s="17" t="n">
        <v>155</v>
      </c>
      <c r="J139" s="5" t="inlineStr">
        <is>
          <t>Sajid Khan</t>
        </is>
      </c>
      <c r="K139" s="5" t="inlineStr">
        <is>
          <t>Sajid Nadiadwala</t>
        </is>
      </c>
      <c r="L139" s="5" t="inlineStr">
        <is>
          <t>Nadiadwala Grandson Entertainment</t>
        </is>
      </c>
      <c r="M139" s="5" t="inlineStr">
        <is>
          <t>Sajid Nadiadwala; Sajid Khan; Tushar Hiranandani; Sajid–Farhad</t>
        </is>
      </c>
      <c r="N139" s="5" t="inlineStr">
        <is>
          <t>Based on Mattupetti Machan by Jose</t>
        </is>
      </c>
      <c r="O139" s="5" t="inlineStr">
        <is>
          <t>Sajid–Wajid</t>
        </is>
      </c>
      <c r="P139" s="5" t="inlineStr">
        <is>
          <t>Sandeep Shirodkar</t>
        </is>
      </c>
      <c r="Q139" s="5" t="inlineStr">
        <is>
          <t>Sameer; Amitabh Bhattacharya</t>
        </is>
      </c>
      <c r="R139" s="5" t="inlineStr">
        <is>
          <t>Chintu Kapoor</t>
        </is>
      </c>
      <c r="S139" s="5" t="n"/>
      <c r="T139" s="5" t="inlineStr">
        <is>
          <t>Supporting</t>
        </is>
      </c>
      <c r="U139" s="20" t="n">
        <v>1</v>
      </c>
      <c r="V139" s="5" t="inlineStr">
        <is>
          <t>Wealthy father seeking a rich son-in-law</t>
        </is>
      </c>
      <c r="W139" s="5" t="inlineStr">
        <is>
          <t>One of two feuding half-brothers of the Kapoor family, married to Sweety and father of Heena</t>
        </is>
      </c>
      <c r="X139" s="19" t="inlineStr">
        <is>
          <t>Chintu Kapoor and his half-brother Dabboo despise each other and compete over whose daughter can marry the richer man, each hiring the marriage counsellor Aakhri Pasta to find one. Chintu misconstrues a joke about Jai's parentage, abuses his father Rajendra until the man has a heart attack, and so sets the film's revenge farce in motion.</t>
        </is>
      </c>
      <c r="Y139" s="19" t="inlineStr">
        <is>
          <t>To secure the richest available son-in-law and to outdo his half-brother in doing it.</t>
        </is>
      </c>
      <c r="Z139" s="19" t="inlineStr">
        <is>
          <t>A half-brother he loathes and a young man avenging an insult to his father.</t>
        </is>
      </c>
      <c r="AA139" s="19" t="inlineStr">
        <is>
          <t>Little; he is a comic obstacle whose snobbery starts the plot.</t>
        </is>
      </c>
      <c r="AB139" s="19" t="inlineStr">
        <is>
          <t>Morally mixed</t>
        </is>
      </c>
      <c r="AC139" s="5" t="inlineStr">
        <is>
          <t>Not documented in full; the article's plot follows the four friends to an island and back to the engagements.</t>
        </is>
      </c>
      <c r="AD139" s="5" t="inlineStr">
        <is>
          <t>Asin</t>
        </is>
      </c>
      <c r="AE139" s="5" t="inlineStr">
        <is>
          <t>Minor</t>
        </is>
      </c>
      <c r="AF139" s="20" t="n">
        <v>6</v>
      </c>
      <c r="AG139" s="19" t="inlineStr">
        <is>
          <t>Romance subordinate to another genre</t>
        </is>
      </c>
      <c r="AH139" s="5" t="inlineStr">
        <is>
          <t>₹60–64 crore</t>
        </is>
      </c>
      <c r="AI139" s="5" t="n"/>
      <c r="AJ139" s="21" t="n">
        <v>114</v>
      </c>
      <c r="AK139" s="5" t="n"/>
      <c r="AL139" s="21" t="n">
        <v>179.15</v>
      </c>
      <c r="AM139" s="5" t="inlineStr">
        <is>
          <t>INR crore</t>
        </is>
      </c>
      <c r="AN139" s="5" t="inlineStr">
        <is>
          <t>Super hit</t>
        </is>
      </c>
      <c r="AO139" s="18" t="n"/>
      <c r="AP139" s="19" t="inlineStr">
        <is>
          <t>Labelled a super hit by Box Office India, and among the highest-grossing Hindi films of its year.</t>
        </is>
      </c>
      <c r="AQ139" s="19" t="inlineStr">
        <is>
          <t>Pairs Kapoor with his elder brother Randhir Kapoor as feuding half-brothers, both using their own family nicknames, Chintu and Dabboo, as their characters' names.</t>
        </is>
      </c>
      <c r="AR139" s="5" t="inlineStr">
        <is>
          <t>SOURCE-001; SOURCE-130</t>
        </is>
      </c>
      <c r="AS139" s="5" t="inlineStr">
        <is>
          <t>Medium</t>
        </is>
      </c>
      <c r="AT139" s="5" t="inlineStr">
        <is>
          <t>Infobox gross '₹186 crore' has no nett/gross label and is not entered. India gross of ₹1140 million, about ₹114 crore, and an overall gross the article gives as around ₹179.15 crore, recorded as worldwide. The article also reports a first-week India nett of ₹630 million rising past ₹1 billion in the third week, and an all-India distributor share of ₹580 million, which is a different measure and is not entered. His wife Sweety is a minor part and no Romances row is created.</t>
        </is>
      </c>
    </row>
    <row r="140" ht="154" customHeight="1">
      <c r="A140" s="15" t="inlineStr">
        <is>
          <t>FILM-139</t>
        </is>
      </c>
      <c r="B140" s="5" t="inlineStr">
        <is>
          <t>Student of the Year</t>
        </is>
      </c>
      <c r="C140" s="16" t="n">
        <v>41201</v>
      </c>
      <c r="D140" s="17" t="n">
        <v>2012</v>
      </c>
      <c r="E140" s="5" t="inlineStr">
        <is>
          <t>2010s</t>
        </is>
      </c>
      <c r="F140" s="5" t="inlineStr">
        <is>
          <t>Hindi</t>
        </is>
      </c>
      <c r="G140" s="5" t="inlineStr">
        <is>
          <t>Teen drama</t>
        </is>
      </c>
      <c r="H140" s="5" t="inlineStr">
        <is>
          <t>Romance</t>
        </is>
      </c>
      <c r="I140" s="17" t="n">
        <v>146</v>
      </c>
      <c r="J140" s="5" t="inlineStr">
        <is>
          <t>Karan Johar</t>
        </is>
      </c>
      <c r="K140" s="5" t="inlineStr">
        <is>
          <t>Hiroo Yash Johar; Gauri Khan</t>
        </is>
      </c>
      <c r="L140" s="5" t="inlineStr">
        <is>
          <t>Dharma Productions; Red Chillies Entertainment</t>
        </is>
      </c>
      <c r="M140" s="5" t="inlineStr">
        <is>
          <t>Rensil D'Silva; Niranjan Iyengar; Karan Johar</t>
        </is>
      </c>
      <c r="N140" s="5" t="n"/>
      <c r="O140" s="5" t="inlineStr">
        <is>
          <t>Vishal–Shekhar</t>
        </is>
      </c>
      <c r="P140" s="5" t="n"/>
      <c r="Q140" s="5" t="inlineStr">
        <is>
          <t>Anvita Dutt Guptan</t>
        </is>
      </c>
      <c r="R140" s="5" t="inlineStr">
        <is>
          <t>Yoginder Vashisht</t>
        </is>
      </c>
      <c r="S140" s="5" t="n"/>
      <c r="T140" s="5" t="inlineStr">
        <is>
          <t>Supporting</t>
        </is>
      </c>
      <c r="U140" s="20" t="n">
        <v>4</v>
      </c>
      <c r="V140" s="5" t="inlineStr">
        <is>
          <t>Dean of Saint Teresa's College</t>
        </is>
      </c>
      <c r="W140" s="5" t="inlineStr">
        <is>
          <t>The presiding authority of an elite college, running its annual competition</t>
        </is>
      </c>
      <c r="X140" s="19" t="inlineStr">
        <is>
          <t>Dean Yogendra Vashisht presides over Saint Teresa's and over the Student of the Year competition whose quiz, treasure hunt and dance battle organise the film's second half. He is the authority figure through whom the contest, and the rivalry it inflames between two friends, is administered.</t>
        </is>
      </c>
      <c r="Y140" s="19" t="inlineStr">
        <is>
          <t>To run the competition and the college's reputation with it.</t>
        </is>
      </c>
      <c r="Z140" s="19" t="n"/>
      <c r="AA140" s="19" t="n"/>
      <c r="AB140" s="19" t="inlineStr">
        <is>
          <t>Morally mixed</t>
        </is>
      </c>
      <c r="AC140" s="5" t="inlineStr">
        <is>
          <t>Not documented; the article's plot follows the students into the final round.</t>
        </is>
      </c>
      <c r="AD140" s="5" t="n"/>
      <c r="AE140" s="5" t="inlineStr">
        <is>
          <t>None</t>
        </is>
      </c>
      <c r="AF140" s="20" t="n">
        <v>8</v>
      </c>
      <c r="AG140" s="19" t="inlineStr">
        <is>
          <t>No meaningful romance</t>
        </is>
      </c>
      <c r="AH140" s="21" t="n">
        <v>59</v>
      </c>
      <c r="AI140" s="21" t="n">
        <v>63.3</v>
      </c>
      <c r="AJ140" s="5" t="n"/>
      <c r="AK140" s="5" t="n"/>
      <c r="AL140" s="5" t="n"/>
      <c r="AM140" s="5" t="inlineStr">
        <is>
          <t>INR crore</t>
        </is>
      </c>
      <c r="AN140" s="5" t="n"/>
      <c r="AO140" s="18" t="n"/>
      <c r="AP140" s="19" t="inlineStr">
        <is>
          <t>The article records that the film became the biggest opener not starring established actors and surpassed trade expectations, profiting both makers and distributors in the first week.</t>
        </is>
      </c>
      <c r="AQ140" s="19" t="n"/>
      <c r="AR140" s="5" t="inlineStr">
        <is>
          <t>SOURCE-001; SOURCE-131</t>
        </is>
      </c>
      <c r="AS140" s="5" t="inlineStr">
        <is>
          <t>Medium</t>
        </is>
      </c>
      <c r="AT140" s="5" t="inlineStr">
        <is>
          <t>Infobox gross '₹97-109 crore' has no nett/gross label and is not entered. Budget of ₹59 crore from the article's infobox, and an India nett of ₹63.3 crore over three weeks, built from ₹7.48 crore on the opening day and ₹43.1 crore in the first week. Overseas is given only in dollars, about $1.25 million and closing near $3 million, which Box Office India considered poor for a 300-screen release, and is not entered. Fourth-billed; the film launched Sidharth Malhotra, Alia Bhatt and Varun Dhawan.</t>
        </is>
      </c>
    </row>
    <row r="141" ht="169" customHeight="1">
      <c r="A141" s="15" t="inlineStr">
        <is>
          <t>FILM-140</t>
        </is>
      </c>
      <c r="B141" s="5" t="inlineStr">
        <is>
          <t>Jab Tak Hai Jaan</t>
        </is>
      </c>
      <c r="C141" s="16" t="n">
        <v>41226</v>
      </c>
      <c r="D141" s="17" t="n">
        <v>2012</v>
      </c>
      <c r="E141" s="5" t="inlineStr">
        <is>
          <t>2010s</t>
        </is>
      </c>
      <c r="F141" s="5" t="inlineStr">
        <is>
          <t>Hindi</t>
        </is>
      </c>
      <c r="G141" s="5" t="inlineStr">
        <is>
          <t>Romantic drama</t>
        </is>
      </c>
      <c r="H141" s="5" t="n"/>
      <c r="I141" s="17" t="n">
        <v>176</v>
      </c>
      <c r="J141" s="5" t="inlineStr">
        <is>
          <t>Yash Chopra</t>
        </is>
      </c>
      <c r="K141" s="5" t="inlineStr">
        <is>
          <t>Aditya Chopra</t>
        </is>
      </c>
      <c r="L141" s="5" t="inlineStr">
        <is>
          <t>Yash Raj Films</t>
        </is>
      </c>
      <c r="M141" s="5" t="inlineStr">
        <is>
          <t>Aditya Chopra; Devika Bhagat</t>
        </is>
      </c>
      <c r="N141" s="5" t="n"/>
      <c r="O141" s="5" t="inlineStr">
        <is>
          <t>A. R. Rahman</t>
        </is>
      </c>
      <c r="P141" s="5" t="n"/>
      <c r="Q141" s="5" t="inlineStr">
        <is>
          <t>Gulzar</t>
        </is>
      </c>
      <c r="R141" s="5" t="inlineStr">
        <is>
          <t>Imraan Sharqazi</t>
        </is>
      </c>
      <c r="S141" s="5" t="n"/>
      <c r="T141" s="5" t="inlineStr">
        <is>
          <t>Extended special appearance</t>
        </is>
      </c>
      <c r="U141" s="18" t="n"/>
      <c r="V141" s="5" t="inlineStr">
        <is>
          <t>Not documented</t>
        </is>
      </c>
      <c r="W141" s="5" t="inlineStr">
        <is>
          <t>Meera's step-father, married to her mother Pooja, who left Meera's father for him when the girl was twelve</t>
        </is>
      </c>
      <c r="X141" s="19" t="inlineStr">
        <is>
          <t>Imraan Sharqazi is the man Meera's mother left her family for, and by the time of the film the two are settled together. His and Pooja's marriage is the estrangement at the back of Meera's life, and the reconciliation Samar engineers between mother and daughter reaches into their household.</t>
        </is>
      </c>
      <c r="Y141" s="19" t="inlineStr">
        <is>
          <t>Not documented.</t>
        </is>
      </c>
      <c r="Z141" s="19" t="inlineStr">
        <is>
          <t>A stepdaughter estranged from her mother for twenty years on account of the marriage.</t>
        </is>
      </c>
      <c r="AA141" s="19" t="n"/>
      <c r="AB141" s="19" t="inlineStr">
        <is>
          <t>Good</t>
        </is>
      </c>
      <c r="AC141" s="5" t="inlineStr">
        <is>
          <t>Not documented; the article records Meera and her mother reconciling after Samar takes her to visit.</t>
        </is>
      </c>
      <c r="AD141" s="5" t="inlineStr">
        <is>
          <t>Neetu Kapoor</t>
        </is>
      </c>
      <c r="AE141" s="5" t="inlineStr">
        <is>
          <t>Minor</t>
        </is>
      </c>
      <c r="AF141" s="20" t="n">
        <v>10</v>
      </c>
      <c r="AG141" s="19" t="inlineStr">
        <is>
          <t>Established relationship</t>
        </is>
      </c>
      <c r="AH141" s="21" t="n">
        <v>50</v>
      </c>
      <c r="AI141" s="21" t="n">
        <v>102</v>
      </c>
      <c r="AJ141" s="5" t="n"/>
      <c r="AK141" s="5" t="n"/>
      <c r="AL141" s="21" t="n">
        <v>236</v>
      </c>
      <c r="AM141" s="5" t="inlineStr">
        <is>
          <t>INR crore</t>
        </is>
      </c>
      <c r="AN141" s="5" t="inlineStr">
        <is>
          <t>Hit</t>
        </is>
      </c>
      <c r="AO141" s="18" t="n"/>
      <c r="AP141" s="19" t="inlineStr">
        <is>
          <t>Widely and warmly reviewed as Yash Chopra's last film, with three and a half stars from Saibal Chatterjee of NDTV and Meena Iyer of The Times of India, and notices in The Hollywood Reporter and The New York Times.</t>
        </is>
      </c>
      <c r="AQ141" s="19" t="inlineStr">
        <is>
          <t>Yash Chopra's final film, twenty-three years after he directed Kapoor in Chandni and thirty-six after Kabhie Kabhie; Kapoor and Neetu Kapoor appear together as Meera's mother and step-father, both credited as special appearances.</t>
        </is>
      </c>
      <c r="AR141" s="5" t="inlineStr">
        <is>
          <t>SOURCE-001; SOURCE-132</t>
        </is>
      </c>
      <c r="AS141" s="5" t="inlineStr">
        <is>
          <t>High</t>
        </is>
      </c>
      <c r="AT141" s="5" t="inlineStr">
        <is>
          <t>Filmography notes: Special appearance. Infobox gross '₹235.66 crore' has no nett/gross label and is not entered. India nett of ₹1.02 billion, about ₹102 crore, over three weeks and a worldwide gross of ₹2.36 billion, about ₹236 crore, as the article gives them. The distributor share of ₹570 million and the overseas figure of about $12.5 million are different measures or currencies and are not entered. The marriage to Pooja is given a Romances row because it is the relationship Meera's estrangement rests on, though almost nothing of it is documented.</t>
        </is>
      </c>
    </row>
    <row r="142" ht="124" customHeight="1">
      <c r="A142" s="15" t="inlineStr">
        <is>
          <t>FILM-141</t>
        </is>
      </c>
      <c r="B142" s="5" t="inlineStr">
        <is>
          <t>Chashme Buddoor</t>
        </is>
      </c>
      <c r="C142" s="16" t="n">
        <v>41369</v>
      </c>
      <c r="D142" s="17" t="n">
        <v>2013</v>
      </c>
      <c r="E142" s="5" t="inlineStr">
        <is>
          <t>2010s</t>
        </is>
      </c>
      <c r="F142" s="5" t="inlineStr">
        <is>
          <t>Hindi</t>
        </is>
      </c>
      <c r="G142" s="5" t="inlineStr">
        <is>
          <t>Romantic comedy</t>
        </is>
      </c>
      <c r="H142" s="5" t="n"/>
      <c r="I142" s="17" t="n">
        <v>123</v>
      </c>
      <c r="J142" s="5" t="inlineStr">
        <is>
          <t>David Dhawan</t>
        </is>
      </c>
      <c r="K142" s="5" t="inlineStr">
        <is>
          <t>Viacom18 Motion Pictures</t>
        </is>
      </c>
      <c r="L142" s="5" t="inlineStr">
        <is>
          <t>Viacom18 Motion Pictures</t>
        </is>
      </c>
      <c r="M142" s="5" t="inlineStr">
        <is>
          <t>Sajid–Farhad; David Dhawan; Renuka Kunzru</t>
        </is>
      </c>
      <c r="N142" s="5" t="inlineStr">
        <is>
          <t>Based on Chashme Buddoor  by Sai Paranjpye</t>
        </is>
      </c>
      <c r="O142" s="5" t="inlineStr">
        <is>
          <t>Sajid–Wajid</t>
        </is>
      </c>
      <c r="P142" s="5" t="inlineStr">
        <is>
          <t>Sandeep Shirodkar</t>
        </is>
      </c>
      <c r="Q142" s="5" t="n"/>
      <c r="R142" s="5" t="inlineStr">
        <is>
          <t>Joseph Furtado</t>
        </is>
      </c>
      <c r="S142" s="5" t="n"/>
      <c r="T142" s="5" t="inlineStr">
        <is>
          <t>Supporting</t>
        </is>
      </c>
      <c r="U142" s="18" t="n"/>
      <c r="V142" s="5" t="inlineStr">
        <is>
          <t>Café owner in Goa</t>
        </is>
      </c>
      <c r="W142" s="5" t="inlineStr">
        <is>
          <t>A Goan proprietor extending credit to three young men who cannot pay him</t>
        </is>
      </c>
      <c r="X142" s="19" t="inlineStr">
        <is>
          <t>Joseph Furtado owns the café the film's three friends live out of and owe a great deal of money to, alongside their landlady Josephine. He is the standing creditor of a comedy about three men competing to impress the same woman, and the debt is the running joke of their situation.</t>
        </is>
      </c>
      <c r="Y142" s="19" t="inlineStr">
        <is>
          <t>To be paid.</t>
        </is>
      </c>
      <c r="Z142" s="19" t="n"/>
      <c r="AA142" s="19" t="n"/>
      <c r="AB142" s="19" t="inlineStr">
        <is>
          <t>Good</t>
        </is>
      </c>
      <c r="AC142" s="5" t="inlineStr">
        <is>
          <t>Not documented.</t>
        </is>
      </c>
      <c r="AD142" s="5" t="n"/>
      <c r="AE142" s="5" t="inlineStr">
        <is>
          <t>None</t>
        </is>
      </c>
      <c r="AF142" s="20" t="n">
        <v>8</v>
      </c>
      <c r="AG142" s="19" t="inlineStr">
        <is>
          <t>No meaningful romance</t>
        </is>
      </c>
      <c r="AH142" s="21" t="n">
        <v>20</v>
      </c>
      <c r="AI142" s="21" t="n">
        <v>42</v>
      </c>
      <c r="AJ142" s="5" t="n"/>
      <c r="AK142" s="21" t="n">
        <v>8</v>
      </c>
      <c r="AL142" s="5" t="n"/>
      <c r="AM142" s="5" t="inlineStr">
        <is>
          <t>INR crore</t>
        </is>
      </c>
      <c r="AN142" s="5" t="inlineStr">
        <is>
          <t>Blockbuster</t>
        </is>
      </c>
      <c r="AO142" s="18" t="n"/>
      <c r="AP142" s="19" t="inlineStr">
        <is>
          <t>Declared a blockbuster at the box office, after opening at ₹47.5 million on the first day and taking ₹183 million over the first weekend.</t>
        </is>
      </c>
      <c r="AQ142" s="19" t="n"/>
      <c r="AR142" s="5" t="inlineStr">
        <is>
          <t>SOURCE-001; SOURCE-133</t>
        </is>
      </c>
      <c r="AS142" s="5" t="inlineStr">
        <is>
          <t>Medium</t>
        </is>
      </c>
      <c r="AT142" s="5" t="inlineStr">
        <is>
          <t>Infobox gross '₹ 50 crore' has no nett/gross label and is not entered. India nett finishing around ₹420 million, about ₹42 crore, and overseas collections of ₹80 million, about ₹8 crore, with a budget of ₹20 crore from the infobox. The article also reports a first-week distributor share of about ₹158 million, which is a different measure and is not entered. A David Dhawan remake of the 1981 film of the same name.</t>
        </is>
      </c>
    </row>
    <row r="143" ht="109" customHeight="1">
      <c r="A143" s="15" t="inlineStr">
        <is>
          <t>FILM-142</t>
        </is>
      </c>
      <c r="B143" s="5" t="inlineStr">
        <is>
          <t>Aurangzeb</t>
        </is>
      </c>
      <c r="C143" s="16" t="n">
        <v>41411</v>
      </c>
      <c r="D143" s="17" t="n">
        <v>2013</v>
      </c>
      <c r="E143" s="5" t="inlineStr">
        <is>
          <t>2010s</t>
        </is>
      </c>
      <c r="F143" s="5" t="inlineStr">
        <is>
          <t>Hindi</t>
        </is>
      </c>
      <c r="G143" s="5" t="inlineStr">
        <is>
          <t>Crime drama</t>
        </is>
      </c>
      <c r="H143" s="5" t="n"/>
      <c r="I143" s="17" t="n">
        <v>137</v>
      </c>
      <c r="J143" s="5" t="inlineStr">
        <is>
          <t>Atul Sabharwal</t>
        </is>
      </c>
      <c r="K143" s="5" t="inlineStr">
        <is>
          <t>Aditya Chopra</t>
        </is>
      </c>
      <c r="L143" s="5" t="inlineStr">
        <is>
          <t>Yash Raj Films</t>
        </is>
      </c>
      <c r="M143" s="5" t="inlineStr">
        <is>
          <t>Atul Sabharwal</t>
        </is>
      </c>
      <c r="N143" s="5" t="n"/>
      <c r="O143" s="5" t="inlineStr">
        <is>
          <t>Amartya Rahut; Vipin Mishra</t>
        </is>
      </c>
      <c r="P143" s="5" t="inlineStr">
        <is>
          <t>Vipin Mishra</t>
        </is>
      </c>
      <c r="Q143" s="5" t="inlineStr">
        <is>
          <t>Puneet Sharma; Manoj Kumar Nath; Vipin Mishra; –</t>
        </is>
      </c>
      <c r="R143" s="5" t="inlineStr">
        <is>
          <t>DCP Ravikant Phogat</t>
        </is>
      </c>
      <c r="S143" s="5" t="n"/>
      <c r="T143" s="5" t="inlineStr">
        <is>
          <t>Antagonist</t>
        </is>
      </c>
      <c r="U143" s="20" t="n">
        <v>3</v>
      </c>
      <c r="V143" s="5" t="inlineStr">
        <is>
          <t>Deputy Commissioner of Police</t>
        </is>
      </c>
      <c r="W143" s="5" t="inlineStr">
        <is>
          <t>Brother of the honest inspector Vijaykant and uncle to ACP Arya, with a wife Rama and children of his own in the force</t>
        </is>
      </c>
      <c r="X143" s="19" t="inlineStr">
        <is>
          <t>DCP Ravikant Phogat is his honest brother's corrupt opposite, and the architect of the plan to plant Vishal inside the Singh household in place of his twin. What begins as an operation against Yashvardhan turns out to be Ravikant's own attempt to take over the man's business empire, and he kills an honest member of his own family and tries to make his nephew murder for him.</t>
        </is>
      </c>
      <c r="Y143" s="19" t="inlineStr">
        <is>
          <t>To take Yashvardhan's business empire for himself under cover of policing.</t>
        </is>
      </c>
      <c r="Z143" s="19" t="inlineStr">
        <is>
          <t>A nephew who works out what his uncle actually wants.</t>
        </is>
      </c>
      <c r="AA143" s="19" t="inlineStr">
        <is>
          <t>From the officer running the operation to the man it was always for, exposed and killed.</t>
        </is>
      </c>
      <c r="AB143" s="19" t="inlineStr">
        <is>
          <t>Bad</t>
        </is>
      </c>
      <c r="AC143" s="5" t="inlineStr">
        <is>
          <t>Killed by Vishal after pressing Arya to murder Yashvardhan's family.</t>
        </is>
      </c>
      <c r="AD143" s="5" t="inlineStr">
        <is>
          <t>Deepti Naval</t>
        </is>
      </c>
      <c r="AE143" s="5" t="inlineStr">
        <is>
          <t>None</t>
        </is>
      </c>
      <c r="AF143" s="18" t="n"/>
      <c r="AG143" s="19" t="inlineStr">
        <is>
          <t>No meaningful romance</t>
        </is>
      </c>
      <c r="AH143" s="5" t="n"/>
      <c r="AI143" s="21" t="n">
        <v>18.5</v>
      </c>
      <c r="AJ143" s="5" t="n"/>
      <c r="AK143" s="5" t="n"/>
      <c r="AL143" s="5" t="n"/>
      <c r="AM143" s="5" t="inlineStr">
        <is>
          <t>INR crore</t>
        </is>
      </c>
      <c r="AN143" s="5" t="inlineStr">
        <is>
          <t>Flop</t>
        </is>
      </c>
      <c r="AO143" s="18" t="n"/>
      <c r="AP143" s="19" t="inlineStr">
        <is>
          <t>Declared a flop by Box Office India. Meena Iyer of The Times of India gave it three and a half stars out of five, praising the performances of Kapoor, Prithviraj Sukumaran and Jackie Shroff, and Sukanya Verma of Rediff.com gave three out of five, writing that the performances of Sukumaran, Kapoor and Arjun Kapoor were the best thing in it.</t>
        </is>
      </c>
      <c r="AQ143" s="19" t="n"/>
      <c r="AR143" s="5" t="inlineStr">
        <is>
          <t>SOURCE-001; SOURCE-134</t>
        </is>
      </c>
      <c r="AS143" s="5" t="inlineStr">
        <is>
          <t>High</t>
        </is>
      </c>
      <c r="AT143" s="5" t="inlineStr">
        <is>
          <t>Infobox gross '₹35.41 crore' has no nett/gross label and is not entered. Domestic collection of ₹18.5 crore as the article gives it. Third-billed. Deepti Naval plays his wife Rama but the marriage is not developed, so romance presence is None and no Romances row is created. One of the clearest cases in the filmography of located reviews singling out Kapoor's performance.</t>
        </is>
      </c>
    </row>
    <row r="144" ht="109" customHeight="1">
      <c r="A144" s="15" t="inlineStr">
        <is>
          <t>FILM-143</t>
        </is>
      </c>
      <c r="B144" s="5" t="inlineStr">
        <is>
          <t>D-Day</t>
        </is>
      </c>
      <c r="C144" s="16" t="n">
        <v>41474</v>
      </c>
      <c r="D144" s="17" t="n">
        <v>2013</v>
      </c>
      <c r="E144" s="5" t="inlineStr">
        <is>
          <t>2010s</t>
        </is>
      </c>
      <c r="F144" s="5" t="inlineStr">
        <is>
          <t>Hindi</t>
        </is>
      </c>
      <c r="G144" s="5" t="inlineStr">
        <is>
          <t>Spy thriller</t>
        </is>
      </c>
      <c r="H144" s="5" t="inlineStr">
        <is>
          <t>Action</t>
        </is>
      </c>
      <c r="I144" s="17" t="n">
        <v>151</v>
      </c>
      <c r="J144" s="5" t="inlineStr">
        <is>
          <t>Nikkhil Advani</t>
        </is>
      </c>
      <c r="K144" s="5" t="inlineStr">
        <is>
          <t>Monisha Advani; Nikkhil Advani; Madhu Bhojwani; Arun Rangachari; Vivek Rangachari</t>
        </is>
      </c>
      <c r="L144" s="5" t="inlineStr">
        <is>
          <t>Emmay Entertainment; DAR Motion Pictures</t>
        </is>
      </c>
      <c r="M144" s="5" t="inlineStr">
        <is>
          <t>Nikkhil Advani; Ritesh Shah; Suresh Nair</t>
        </is>
      </c>
      <c r="N144" s="5" t="n"/>
      <c r="O144" s="5" t="inlineStr">
        <is>
          <t>Shankar–Ehsaan–Loy</t>
        </is>
      </c>
      <c r="P144" s="5" t="n"/>
      <c r="Q144" s="5" t="inlineStr">
        <is>
          <t>Niranjan Iyengar</t>
        </is>
      </c>
      <c r="R144" s="5" t="inlineStr">
        <is>
          <t>Iqbal Seth</t>
        </is>
      </c>
      <c r="S144" s="5" t="n"/>
      <c r="T144" s="5" t="inlineStr">
        <is>
          <t>Antagonist</t>
        </is>
      </c>
      <c r="U144" s="20" t="n">
        <v>1</v>
      </c>
      <c r="V144" s="5" t="inlineStr">
        <is>
          <t>Leader of the D-Company crime syndicate, living in Pakistan</t>
        </is>
      </c>
      <c r="W144" s="5" t="inlineStr">
        <is>
          <t>India's most wanted fugitive, settled across the border with a family and a son whose wedding he attends</t>
        </is>
      </c>
      <c r="X144" s="19" t="inlineStr">
        <is>
          <t>Iqbal Seth, called Goldman, is the fugitive the whole operation exists to take: a RAW agent has spent nine years undercover as a barber tracking him. He escapes the wedding-day snatch, is hunted by his own protectors when the ISI decides to eliminate him, is kidnapped by the Indian team instead, and is executed on Indian soil while boasting that he will soon be released.</t>
        </is>
      </c>
      <c r="Y144" s="19" t="inlineStr">
        <is>
          <t>To go on living as he has, protected on both sides of the border.</t>
        </is>
      </c>
      <c r="Z144" s="19" t="inlineStr">
        <is>
          <t>A RAW team that will not stop and an intelligence service that decides he is better dead.</t>
        </is>
      </c>
      <c r="AA144" s="19" t="inlineStr">
        <is>
          <t>From an untouchable fugitive to a man shot dead in the country he fled, certain to the last that he would be let go.</t>
        </is>
      </c>
      <c r="AB144" s="19" t="inlineStr">
        <is>
          <t>Bad</t>
        </is>
      </c>
      <c r="AC144" s="5" t="inlineStr">
        <is>
          <t>Executed by Rudra after being smuggled across the border.</t>
        </is>
      </c>
      <c r="AD144" s="5" t="n"/>
      <c r="AE144" s="5" t="inlineStr">
        <is>
          <t>None</t>
        </is>
      </c>
      <c r="AF144" s="18" t="n"/>
      <c r="AG144" s="19" t="inlineStr">
        <is>
          <t>No meaningful romance</t>
        </is>
      </c>
      <c r="AH144" s="5" t="n"/>
      <c r="AI144" s="21" t="n">
        <v>17.5</v>
      </c>
      <c r="AJ144" s="5" t="n"/>
      <c r="AK144" s="5" t="n"/>
      <c r="AL144" s="5" t="n"/>
      <c r="AM144" s="5" t="inlineStr">
        <is>
          <t>INR crore</t>
        </is>
      </c>
      <c r="AN144" s="5" t="inlineStr">
        <is>
          <t>Flop</t>
        </is>
      </c>
      <c r="AO144" s="18" t="n"/>
      <c r="AP144" s="19" t="inlineStr">
        <is>
          <t>Declared a flop by Box Office India, which estimated two-week collections at ₹17.5 crore nett. Deccan Chronicle praised the film and said that Kapoor makes the best Dawood Ibrahim.</t>
        </is>
      </c>
      <c r="AQ144" s="19" t="inlineStr">
        <is>
          <t>The role is a thinly veiled portrait of Dawood Ibrahim, and among the most discussed of Kapoor's late antagonist parts.</t>
        </is>
      </c>
      <c r="AR144" s="5" t="inlineStr">
        <is>
          <t>SOURCE-001; SOURCE-135</t>
        </is>
      </c>
      <c r="AS144" s="5" t="inlineStr">
        <is>
          <t>High</t>
        </is>
      </c>
      <c r="AT144" s="5" t="inlineStr">
        <is>
          <t>Infobox gross '₹24 crore' has no nett/gross label and is not entered. Two-week India nett of ₹17.5 crore as estimated by Box Office India, with an overseas opening weekend of $425,000 that is in dollars and is not entered. Top-billed despite playing the antagonist, in a cast headed dramatically by Irrfan Khan's undercover agent.</t>
        </is>
      </c>
    </row>
    <row r="145" ht="124" customHeight="1">
      <c r="A145" s="15" t="inlineStr">
        <is>
          <t>FILM-144</t>
        </is>
      </c>
      <c r="B145" s="5" t="inlineStr">
        <is>
          <t>Shuddh Desi Romance</t>
        </is>
      </c>
      <c r="C145" s="16" t="n">
        <v>41523</v>
      </c>
      <c r="D145" s="17" t="n">
        <v>2013</v>
      </c>
      <c r="E145" s="5" t="inlineStr">
        <is>
          <t>2010s</t>
        </is>
      </c>
      <c r="F145" s="5" t="inlineStr">
        <is>
          <t>Hindi</t>
        </is>
      </c>
      <c r="G145" s="5" t="inlineStr">
        <is>
          <t>Romantic comedy</t>
        </is>
      </c>
      <c r="H145" s="5" t="n"/>
      <c r="I145" s="17" t="n">
        <v>141</v>
      </c>
      <c r="J145" s="5" t="inlineStr">
        <is>
          <t>Maneesh Sharma</t>
        </is>
      </c>
      <c r="K145" s="5" t="inlineStr">
        <is>
          <t>Aditya Chopra</t>
        </is>
      </c>
      <c r="L145" s="5" t="inlineStr">
        <is>
          <t>Yash Raj Films</t>
        </is>
      </c>
      <c r="M145" s="5" t="inlineStr">
        <is>
          <t>Jaideep Sahni</t>
        </is>
      </c>
      <c r="N145" s="5" t="n"/>
      <c r="O145" s="5" t="inlineStr">
        <is>
          <t>Sachin–Jigar</t>
        </is>
      </c>
      <c r="P145" s="5" t="n"/>
      <c r="Q145" s="5" t="inlineStr">
        <is>
          <t>Jaideep Sahni</t>
        </is>
      </c>
      <c r="R145" s="5" t="inlineStr">
        <is>
          <t>Goyal</t>
        </is>
      </c>
      <c r="S145" s="5" t="n"/>
      <c r="T145" s="5" t="inlineStr">
        <is>
          <t>Supporting</t>
        </is>
      </c>
      <c r="U145" s="20" t="n">
        <v>4</v>
      </c>
      <c r="V145" s="5" t="inlineStr">
        <is>
          <t>Wedding planner, who hires men to make up a groom's party</t>
        </is>
      </c>
      <c r="W145" s="5" t="inlineStr">
        <is>
          <t>A Jaipur businessman running weddings and the rental baraatis that fill them out</t>
        </is>
      </c>
      <c r="X145" s="19" t="inlineStr">
        <is>
          <t>Goyal, called Tauji, employs Raghu as a rental baraati and so puts him on the bus where he meets Gayatri. He presides genially over the film's economy of weddings that may or may not happen, and at the close it is he who steers Raghu and Gayatri into admitting they love each other and should marry.</t>
        </is>
      </c>
      <c r="Y145" s="19" t="inlineStr">
        <is>
          <t>To keep the weddings running, and finally to get these two to the point.</t>
        </is>
      </c>
      <c r="Z145" s="19" t="n"/>
      <c r="AA145" s="19" t="n"/>
      <c r="AB145" s="19" t="inlineStr">
        <is>
          <t>Good</t>
        </is>
      </c>
      <c r="AC145" s="5" t="inlineStr">
        <is>
          <t>Leads Raghu and Gayatri to accept that they love each other and should marry.</t>
        </is>
      </c>
      <c r="AD145" s="5" t="n"/>
      <c r="AE145" s="5" t="inlineStr">
        <is>
          <t>None</t>
        </is>
      </c>
      <c r="AF145" s="20" t="n">
        <v>10</v>
      </c>
      <c r="AG145" s="19" t="inlineStr">
        <is>
          <t>No meaningful romance</t>
        </is>
      </c>
      <c r="AH145" s="21" t="n">
        <v>22</v>
      </c>
      <c r="AI145" s="21" t="n">
        <v>46.3</v>
      </c>
      <c r="AJ145" s="5" t="n"/>
      <c r="AK145" s="5" t="n"/>
      <c r="AL145" s="5" t="n"/>
      <c r="AM145" s="5" t="inlineStr">
        <is>
          <t>INR crore</t>
        </is>
      </c>
      <c r="AN145" s="5" t="n"/>
      <c r="AO145" s="18" t="n"/>
      <c r="AP145" s="19" t="inlineStr">
        <is>
          <t>The article records generally positive reviews with praise directed mainly at Parineeti Chopra, Sushant Singh Rajput and a Kapoor; the surname is ambiguous, since both Rishi Kapoor and Vaani Kapoor are in the cast.</t>
        </is>
      </c>
      <c r="AQ145" s="19" t="n"/>
      <c r="AR145" s="5" t="inlineStr">
        <is>
          <t>SOURCE-001; SOURCE-136</t>
        </is>
      </c>
      <c r="AS145" s="5" t="inlineStr">
        <is>
          <t>Medium</t>
        </is>
      </c>
      <c r="AT145" s="5" t="inlineStr">
        <is>
          <t>Infobox gross '₹76 crore' has no nett/gross label and is not entered. India nett of ₹463 million, about ₹46.3 crore, built from ₹362.7 million in the first week. Overseas is given only in dollars, crossing $2 million in three weeks, and is not entered. Fourth-billed. The review praise cannot be attributed to Rishi Kapoor with confidence because of the shared surname, and is recorded with that caveat rather than claimed.</t>
        </is>
      </c>
    </row>
    <row r="146" ht="154" customHeight="1">
      <c r="A146" s="15" t="inlineStr">
        <is>
          <t>FILM-145</t>
        </is>
      </c>
      <c r="B146" s="5" t="inlineStr">
        <is>
          <t>Besharam</t>
        </is>
      </c>
      <c r="C146" s="16" t="n">
        <v>41549</v>
      </c>
      <c r="D146" s="17" t="n">
        <v>2013</v>
      </c>
      <c r="E146" s="5" t="inlineStr">
        <is>
          <t>2010s</t>
        </is>
      </c>
      <c r="F146" s="5" t="inlineStr">
        <is>
          <t>Hindi</t>
        </is>
      </c>
      <c r="G146" s="5" t="inlineStr">
        <is>
          <t>Action comedy</t>
        </is>
      </c>
      <c r="H146" s="5" t="n"/>
      <c r="I146" s="17" t="n">
        <v>142</v>
      </c>
      <c r="J146" s="5" t="inlineStr">
        <is>
          <t>Abhinav Kashyap</t>
        </is>
      </c>
      <c r="K146" s="5" t="inlineStr">
        <is>
          <t>Himanshu Mehra; Sanjeev Gupta</t>
        </is>
      </c>
      <c r="L146" s="5" t="inlineStr">
        <is>
          <t>Movie Temple Productions</t>
        </is>
      </c>
      <c r="M146" s="5" t="inlineStr">
        <is>
          <t>Abhinav Kashyap; Rajeev Barnwal</t>
        </is>
      </c>
      <c r="N146" s="5" t="n"/>
      <c r="O146" s="5" t="inlineStr">
        <is>
          <t>Lalit Pandit</t>
        </is>
      </c>
      <c r="P146" s="5" t="n"/>
      <c r="Q146" s="5" t="n"/>
      <c r="R146" s="5" t="inlineStr">
        <is>
          <t>Chulbul Chautala</t>
        </is>
      </c>
      <c r="S146" s="5" t="n"/>
      <c r="T146" s="5" t="inlineStr">
        <is>
          <t>Supporting</t>
        </is>
      </c>
      <c r="U146" s="20" t="n">
        <v>3</v>
      </c>
      <c r="V146" s="5" t="inlineStr">
        <is>
          <t>Police inspector</t>
        </is>
      </c>
      <c r="W146" s="5" t="inlineStr">
        <is>
          <t>A childless police officer married to a head constable, the two of them serving together</t>
        </is>
      </c>
      <c r="X146" s="19" t="inlineStr">
        <is>
          <t>Inspector Chulbul Chautala and his wife, Head Constable Bulbul Chautala, are the pair of police officers pursuing the car thief Babli. They arrest him, are bought off with the hawala money Tara offers, and are then confronted in their own house by the two young people trying to steal it back. Having heard the whole story, the childless couple change sides and end the film deciding to adopt him.</t>
        </is>
      </c>
      <c r="Y146" s="19" t="inlineStr">
        <is>
          <t>To catch a thief, and then to help the one he turns out to be.</t>
        </is>
      </c>
      <c r="Z146" s="19" t="inlineStr">
        <is>
          <t>A likeable criminal, a hawala racketeer holding orphanage children, and their own corruptibility.</t>
        </is>
      </c>
      <c r="AA146" s="19" t="inlineStr">
        <is>
          <t>From a corruptible officer taking a bribe to a man who joins the raid and then adopts the thief.</t>
        </is>
      </c>
      <c r="AB146" s="19" t="inlineStr">
        <is>
          <t>Morally mixed</t>
        </is>
      </c>
      <c r="AC146" s="5" t="inlineStr">
        <is>
          <t>Helps break Chandel's operation and, with Bulbul, decides to adopt Babli.</t>
        </is>
      </c>
      <c r="AD146" s="5" t="inlineStr">
        <is>
          <t>Neetu Kapoor</t>
        </is>
      </c>
      <c r="AE146" s="5" t="inlineStr">
        <is>
          <t>Minor</t>
        </is>
      </c>
      <c r="AF146" s="20" t="n">
        <v>6</v>
      </c>
      <c r="AG146" s="19" t="inlineStr">
        <is>
          <t>Established relationship</t>
        </is>
      </c>
      <c r="AH146" s="21" t="n">
        <v>83</v>
      </c>
      <c r="AI146" s="5" t="n"/>
      <c r="AJ146" s="5" t="n"/>
      <c r="AK146" s="5" t="n"/>
      <c r="AL146" s="5" t="n"/>
      <c r="AM146" s="5" t="inlineStr">
        <is>
          <t>INR crore</t>
        </is>
      </c>
      <c r="AN146" s="5" t="n"/>
      <c r="AO146" s="18" t="n"/>
      <c r="AP146" s="19" t="inlineStr">
        <is>
          <t>In what the article calls a rare positive review, Madhureeta Mukherjee of The Times of India rated the film three and a half out of five and said the director relies on the sheer power of three Kapoors to entertain.</t>
        </is>
      </c>
      <c r="AQ146" s="19" t="inlineStr">
        <is>
          <t>The only film in which Kapoor appears with both his wife Neetu Kapoor and his son Ranbir Kapoor, the three of them playing a childless couple and the young man they decide to adopt.</t>
        </is>
      </c>
      <c r="AR146" s="5" t="inlineStr">
        <is>
          <t>SOURCE-001; SOURCE-137</t>
        </is>
      </c>
      <c r="AS146" s="5" t="inlineStr">
        <is>
          <t>Medium</t>
        </is>
      </c>
      <c r="AT146" s="5" t="inlineStr">
        <is>
          <t>Infobox gross '₹102.85 crore' has no nett/gross label and is not entered. No trade verdict is stated in the article and none is entered. The commercial record it gives is of a sharp collapse: ₹195 million on release against an expected ₹250 million, a drop of nearly 60 to 70 per cent on the second day, ₹540 million in the first seven days, only the seventh highest of 2013, and ₹575.4 million nett over an extended nine-day first week, with overseas takings of $2.2 million termed below the mark. Third-billed.</t>
        </is>
      </c>
    </row>
    <row r="147" ht="169" customHeight="1">
      <c r="A147" s="15" t="inlineStr">
        <is>
          <t>FILM-146</t>
        </is>
      </c>
      <c r="B147" s="5" t="inlineStr">
        <is>
          <t>Bewakoofiyaan</t>
        </is>
      </c>
      <c r="C147" s="16" t="n">
        <v>41712</v>
      </c>
      <c r="D147" s="17" t="n">
        <v>2014</v>
      </c>
      <c r="E147" s="5" t="inlineStr">
        <is>
          <t>2010s</t>
        </is>
      </c>
      <c r="F147" s="5" t="inlineStr">
        <is>
          <t>Hindi</t>
        </is>
      </c>
      <c r="G147" s="5" t="inlineStr">
        <is>
          <t>Romantic comedy</t>
        </is>
      </c>
      <c r="H147" s="5" t="n"/>
      <c r="I147" s="17" t="n">
        <v>119</v>
      </c>
      <c r="J147" s="5" t="inlineStr">
        <is>
          <t>Nupur Asthana</t>
        </is>
      </c>
      <c r="K147" s="5" t="inlineStr">
        <is>
          <t>Aditya Chopra</t>
        </is>
      </c>
      <c r="L147" s="5" t="inlineStr">
        <is>
          <t>Yash Raj Films</t>
        </is>
      </c>
      <c r="M147" s="5" t="inlineStr">
        <is>
          <t>Habib Faisal</t>
        </is>
      </c>
      <c r="N147" s="5" t="n"/>
      <c r="O147" s="5" t="inlineStr">
        <is>
          <t>Raghu Dixit</t>
        </is>
      </c>
      <c r="P147" s="5" t="inlineStr">
        <is>
          <t>Hitesh Sonik</t>
        </is>
      </c>
      <c r="Q147" s="5" t="inlineStr">
        <is>
          <t>Anvita Dutt</t>
        </is>
      </c>
      <c r="R147" s="5" t="inlineStr">
        <is>
          <t>V. K. Sehgal</t>
        </is>
      </c>
      <c r="S147" s="5" t="n"/>
      <c r="T147" s="5" t="inlineStr">
        <is>
          <t>Supporting</t>
        </is>
      </c>
      <c r="U147" s="20" t="n">
        <v>3</v>
      </c>
      <c r="V147" s="5" t="inlineStr">
        <is>
          <t>Not documented</t>
        </is>
      </c>
      <c r="W147" s="5" t="inlineStr">
        <is>
          <t>Myra's father, opposed to her relationship with Mohit</t>
        </is>
      </c>
      <c r="X147" s="19" t="inlineStr">
        <is>
          <t>Kapoor plays V. K. Sehgal, Myra's father, in Nupur Asthana's romantic comedy about a couple and the recession, opposite Ayushmann Khurrana and Sonam Kapoor. The article's plot section is empty, so the role is documented only by the relationships the cast list gives and by reviewers' notices of his scenes with Khurrana.</t>
        </is>
      </c>
      <c r="Y147" s="19" t="n"/>
      <c r="Z147" s="19" t="n"/>
      <c r="AA147" s="19" t="n"/>
      <c r="AB147" s="19" t="inlineStr">
        <is>
          <t>Morally mixed</t>
        </is>
      </c>
      <c r="AC147" s="5" t="n"/>
      <c r="AD147" s="5" t="n"/>
      <c r="AE147" s="5" t="inlineStr">
        <is>
          <t>None</t>
        </is>
      </c>
      <c r="AF147" s="20" t="n">
        <v>9</v>
      </c>
      <c r="AG147" s="19" t="inlineStr">
        <is>
          <t>No meaningful romance</t>
        </is>
      </c>
      <c r="AH147" s="21" t="n">
        <v>22</v>
      </c>
      <c r="AI147" s="5" t="n"/>
      <c r="AJ147" s="5" t="n"/>
      <c r="AK147" s="5" t="n"/>
      <c r="AL147" s="21" t="n">
        <v>22.2</v>
      </c>
      <c r="AM147" s="5" t="inlineStr">
        <is>
          <t>INR crore</t>
        </is>
      </c>
      <c r="AN147" s="5" t="n"/>
      <c r="AO147" s="18" t="n"/>
      <c r="AP147" s="19" t="inlineStr">
        <is>
          <t>Danny Bowes of RogerEbert.com called it perfectly acceptable middle-of-the-road romantic comedy material, and a reviewer quoted in the article recommends it on television for the crackling nok-jhok between Khurrana and Kapoor.</t>
        </is>
      </c>
      <c r="AQ147" s="19" t="n"/>
      <c r="AR147" s="5" t="inlineStr">
        <is>
          <t>SOURCE-001; SOURCE-138</t>
        </is>
      </c>
      <c r="AS147" s="5" t="inlineStr">
        <is>
          <t>Medium</t>
        </is>
      </c>
      <c r="AT147" s="5" t="inlineStr">
        <is>
          <t>Infobox gross '₹ 22.2 crore' has no nett/gross label and is not entered. Verified as having no plot prose: the Plot heading in the article is present but empty. Budget of ₹220 million, about ₹22 crore, against a gross the infobox gives as ₹22.2 crore. Foreign takings are reported only in local currencies, £33,620 in the United Kingdom and Ireland, A$22,145 in Australia and NZ$12,558 in New Zealand, and are not entered. The notice of the sparring between Khurrana and Kapoor is one of the few located reviews that identifies his contribution specifically.</t>
        </is>
      </c>
    </row>
    <row r="148" ht="94" customHeight="1">
      <c r="A148" s="15" t="inlineStr">
        <is>
          <t>FILM-147</t>
        </is>
      </c>
      <c r="B148" s="5" t="inlineStr">
        <is>
          <t>Kaanchi: The Unbreakable</t>
        </is>
      </c>
      <c r="C148" s="16" t="n">
        <v>41754</v>
      </c>
      <c r="D148" s="17" t="n">
        <v>2014</v>
      </c>
      <c r="E148" s="5" t="inlineStr">
        <is>
          <t>2010s</t>
        </is>
      </c>
      <c r="F148" s="5" t="inlineStr">
        <is>
          <t>Hindi</t>
        </is>
      </c>
      <c r="G148" s="5" t="inlineStr">
        <is>
          <t>Drama</t>
        </is>
      </c>
      <c r="H148" s="5" t="inlineStr">
        <is>
          <t>Revenge thriller</t>
        </is>
      </c>
      <c r="I148" s="17" t="n">
        <v>140</v>
      </c>
      <c r="J148" s="5" t="inlineStr">
        <is>
          <t>Subhash Ghai</t>
        </is>
      </c>
      <c r="K148" s="5" t="inlineStr">
        <is>
          <t>Subhash Ghai</t>
        </is>
      </c>
      <c r="L148" s="5" t="inlineStr">
        <is>
          <t>Mukta Arts</t>
        </is>
      </c>
      <c r="M148" s="5" t="inlineStr">
        <is>
          <t>Subhash Ghai</t>
        </is>
      </c>
      <c r="N148" s="5" t="n"/>
      <c r="O148" s="5" t="inlineStr">
        <is>
          <t>Ismail Darbar; Salim–Sulaiman</t>
        </is>
      </c>
      <c r="P148" s="5" t="inlineStr">
        <is>
          <t>Simaab Sen</t>
        </is>
      </c>
      <c r="Q148" s="5" t="inlineStr">
        <is>
          <t>Irshad Kamil</t>
        </is>
      </c>
      <c r="R148" s="5" t="inlineStr">
        <is>
          <t>Jumar B. Kakda</t>
        </is>
      </c>
      <c r="S148" s="5" t="n"/>
      <c r="T148" s="5" t="inlineStr">
        <is>
          <t>Antagonist</t>
        </is>
      </c>
      <c r="U148" s="20" t="n">
        <v>3</v>
      </c>
      <c r="V148" s="5" t="inlineStr">
        <is>
          <t>Member of the industrialist Kakda family</t>
        </is>
      </c>
      <c r="W148" s="5" t="inlineStr">
        <is>
          <t>One of the Kakdas trying to convert the village of Koshampa into an industrial hub</t>
        </is>
      </c>
      <c r="X148" s="19" t="inlineStr">
        <is>
          <t>Jumar B. Kakda is the member of the Kakda family in whose house Sushant stays on returning to India, and therefore the household Kaanchi infiltrates as a servant in the second half of her revenge. It is from his house that she steals the chip carrying the family's business secrets and brings the firm down.</t>
        </is>
      </c>
      <c r="Y148" s="19" t="inlineStr">
        <is>
          <t>To see the Kakda family's acquisition of Koshampa through.</t>
        </is>
      </c>
      <c r="Z148" s="19" t="inlineStr">
        <is>
          <t>A village girl inside his household, working to destroy his family.</t>
        </is>
      </c>
      <c r="AA148" s="19" t="n"/>
      <c r="AB148" s="19" t="inlineStr">
        <is>
          <t>Bad</t>
        </is>
      </c>
      <c r="AC148" s="5" t="inlineStr">
        <is>
          <t>Not documented individually; the article records the family's business crippled and Sushant killed by Kaanchi.</t>
        </is>
      </c>
      <c r="AD148" s="5" t="n"/>
      <c r="AE148" s="5" t="inlineStr">
        <is>
          <t>None</t>
        </is>
      </c>
      <c r="AF148" s="18" t="n"/>
      <c r="AG148" s="19" t="inlineStr">
        <is>
          <t>No meaningful romance</t>
        </is>
      </c>
      <c r="AH148" s="5" t="n"/>
      <c r="AI148" s="5" t="n"/>
      <c r="AJ148" s="5" t="n"/>
      <c r="AK148" s="5" t="n"/>
      <c r="AL148" s="5" t="n"/>
      <c r="AM148" s="5" t="n"/>
      <c r="AN148" s="5" t="n"/>
      <c r="AO148" s="18" t="n"/>
      <c r="AP148" s="19" t="n"/>
      <c r="AQ148" s="19" t="n"/>
      <c r="AR148" s="5" t="inlineStr">
        <is>
          <t>SOURCE-001; SOURCE-139</t>
        </is>
      </c>
      <c r="AS148" s="5" t="inlineStr">
        <is>
          <t>Low</t>
        </is>
      </c>
      <c r="AT148" s="5" t="inlineStr">
        <is>
          <t>Third-billed in a Subhash Ghai film built entirely around its debutante lead. The article's plot names Jumar only as the relative Sushant stays with and whose house Kaanchi enters, so the role is thinly documented; it is classed as an antagonist because he is one of the Kakdas the film is ranged against.</t>
        </is>
      </c>
    </row>
    <row r="149" ht="124" customHeight="1">
      <c r="A149" s="15" t="inlineStr">
        <is>
          <t>FILM-148</t>
        </is>
      </c>
      <c r="B149" s="5" t="inlineStr">
        <is>
          <t>All Is Well</t>
        </is>
      </c>
      <c r="C149" s="16" t="n">
        <v>42237</v>
      </c>
      <c r="D149" s="17" t="n">
        <v>2015</v>
      </c>
      <c r="E149" s="5" t="inlineStr">
        <is>
          <t>2010s</t>
        </is>
      </c>
      <c r="F149" s="5" t="inlineStr">
        <is>
          <t>Hindi</t>
        </is>
      </c>
      <c r="G149" s="5" t="inlineStr">
        <is>
          <t>Comedy drama</t>
        </is>
      </c>
      <c r="H149" s="5" t="inlineStr">
        <is>
          <t>Family drama</t>
        </is>
      </c>
      <c r="I149" s="17" t="n">
        <v>126</v>
      </c>
      <c r="J149" s="5" t="inlineStr">
        <is>
          <t>Umesh Shukla</t>
        </is>
      </c>
      <c r="K149" s="5" t="inlineStr">
        <is>
          <t>Shyam Bajaj; Varun Bajaj; Bhushan Kumar; Krishan Kumar</t>
        </is>
      </c>
      <c r="L149" s="5" t="inlineStr">
        <is>
          <t>Allchemy Productions; T-Series</t>
        </is>
      </c>
      <c r="M149" s="5" t="inlineStr">
        <is>
          <t>Sumit Arora; Niren Bhatt; Umesh Shukla</t>
        </is>
      </c>
      <c r="N149" s="5" t="n"/>
      <c r="O149" s="5" t="inlineStr">
        <is>
          <t>Himesh Reshammiya; Mithoon; Amaal Mallik; Meet Bros Anjjan</t>
        </is>
      </c>
      <c r="P149" s="5" t="inlineStr">
        <is>
          <t>Sanjoy Chowdhury</t>
        </is>
      </c>
      <c r="Q149" s="5" t="inlineStr">
        <is>
          <t>Shabbir Ahmed; Amitabh Verma; Kumaar; Mayur Puri</t>
        </is>
      </c>
      <c r="R149" s="5" t="inlineStr">
        <is>
          <t>Bhajanlal Bhalla</t>
        </is>
      </c>
      <c r="S149" s="5" t="n"/>
      <c r="T149" s="5" t="inlineStr">
        <is>
          <t>Supporting</t>
        </is>
      </c>
      <c r="U149" s="20" t="n">
        <v>3</v>
      </c>
      <c r="V149" s="5" t="inlineStr">
        <is>
          <t>Bakery owner</t>
        </is>
      </c>
      <c r="W149" s="5" t="inlineStr">
        <is>
          <t>A small businessman in debt, divorced from a wife with Alzheimer's whom he placed in an ashram</t>
        </is>
      </c>
      <c r="X149" s="19" t="inlineStr">
        <is>
          <t>Bhajanlal Bhalla throws his son out for refusing to work in the family bakery, and is then revealed to be in much worse trouble than his son knew: years of borrowing from Cheema, a wife with Alzheimer's whom he has sent to an ashram, and a divorce his son takes as the final proof of his callousness. The film's turn is the disclosure that none of it was his fault.</t>
        </is>
      </c>
      <c r="Y149" s="19" t="inlineStr">
        <is>
          <t>To keep the bakery and to manage a wife's illness and a debt he cannot repay, without telling his son.</t>
        </is>
      </c>
      <c r="Z149" s="19" t="inlineStr">
        <is>
          <t>A creditor demanding a ransom, a wife losing her memory, and a son who reads every one of his decisions as cruelty.</t>
        </is>
      </c>
      <c r="AA149" s="19" t="inlineStr">
        <is>
          <t>From a father dismissed by his son as heartless to a man whose reasons are finally heard.</t>
        </is>
      </c>
      <c r="AB149" s="19" t="inlineStr">
        <is>
          <t>Good</t>
        </is>
      </c>
      <c r="AC149" s="5" t="inlineStr">
        <is>
          <t>Reconciled with Inder, who pays off Cheema and has his parents married to each other again.</t>
        </is>
      </c>
      <c r="AD149" s="5" t="inlineStr">
        <is>
          <t>Supriya Pathak</t>
        </is>
      </c>
      <c r="AE149" s="5" t="inlineStr">
        <is>
          <t>Secondary</t>
        </is>
      </c>
      <c r="AF149" s="20" t="n">
        <v>6</v>
      </c>
      <c r="AG149" s="19" t="inlineStr">
        <is>
          <t>Marriage under strain</t>
        </is>
      </c>
      <c r="AH149" s="5" t="n"/>
      <c r="AI149" s="5" t="n"/>
      <c r="AJ149" s="5" t="n"/>
      <c r="AK149" s="5" t="n"/>
      <c r="AL149" s="5" t="n"/>
      <c r="AM149" s="5" t="n"/>
      <c r="AN149" s="5" t="n"/>
      <c r="AO149" s="18" t="n"/>
      <c r="AP149" s="19" t="n"/>
      <c r="AQ149" s="19" t="n"/>
      <c r="AR149" s="5" t="inlineStr">
        <is>
          <t>SOURCE-001; SOURCE-140</t>
        </is>
      </c>
      <c r="AS149" s="5" t="inlineStr">
        <is>
          <t>Medium</t>
        </is>
      </c>
      <c r="AT149" s="5" t="inlineStr">
        <is>
          <t>Infobox gross '₹180.2 million' has no nett/gross label and is not entered. Third-billed. The article's commercial record is partial and no lifetime figure is entered: an opening day of about ₹2.9 crore, among the lowest first-day totals of 2015, and roughly ₹159.1 million by the end of the fifth day. The marriage is given a Romances row because the divorce, the illness and the remarriage are the plot's central disclosure.</t>
        </is>
      </c>
    </row>
    <row r="150" ht="109" customHeight="1">
      <c r="A150" s="15" t="inlineStr">
        <is>
          <t>FILM-149</t>
        </is>
      </c>
      <c r="B150" s="5" t="inlineStr">
        <is>
          <t>Wedding Pullav</t>
        </is>
      </c>
      <c r="C150" s="16" t="n">
        <v>42293</v>
      </c>
      <c r="D150" s="17" t="n">
        <v>2015</v>
      </c>
      <c r="E150" s="5" t="inlineStr">
        <is>
          <t>2010s</t>
        </is>
      </c>
      <c r="F150" s="5" t="inlineStr">
        <is>
          <t>Hindi</t>
        </is>
      </c>
      <c r="G150" s="5" t="inlineStr">
        <is>
          <t>Romantic comedy</t>
        </is>
      </c>
      <c r="H150" s="5" t="n"/>
      <c r="I150" s="18" t="n"/>
      <c r="J150" s="5" t="inlineStr">
        <is>
          <t>Binod Pradhan</t>
        </is>
      </c>
      <c r="K150" s="5" t="inlineStr">
        <is>
          <t>Shashi Ranjan</t>
        </is>
      </c>
      <c r="L150" s="5" t="inlineStr">
        <is>
          <t>Eros International; GR8 Entertainment</t>
        </is>
      </c>
      <c r="M150" s="5" t="n"/>
      <c r="N150" s="5" t="n"/>
      <c r="O150" s="5" t="inlineStr">
        <is>
          <t>Salim–Sulaiman</t>
        </is>
      </c>
      <c r="P150" s="5" t="inlineStr">
        <is>
          <t>Rohit R. Kulkarni</t>
        </is>
      </c>
      <c r="Q150" s="5" t="inlineStr">
        <is>
          <t>Irfan Siddiqui</t>
        </is>
      </c>
      <c r="R150" s="5" t="inlineStr">
        <is>
          <t>Luv Kapoor</t>
        </is>
      </c>
      <c r="S150" s="5" t="n"/>
      <c r="T150" s="5" t="inlineStr">
        <is>
          <t>Cameo</t>
        </is>
      </c>
      <c r="U150" s="20" t="n">
        <v>1</v>
      </c>
      <c r="V150" s="5" t="inlineStr">
        <is>
          <t>Not documented</t>
        </is>
      </c>
      <c r="W150" s="5" t="n"/>
      <c r="X150" s="19" t="inlineStr">
        <is>
          <t>Kapoor is top-billed as Luv Kapoor in Binod Pradhan's comedy about two best friends in love without knowing it, one of them about to marry someone else. The filmography table records the part as a cameo and the article's plot, which is three sentences long, does not mention the character at all.</t>
        </is>
      </c>
      <c r="Y150" s="19" t="n"/>
      <c r="Z150" s="19" t="n"/>
      <c r="AA150" s="19" t="n"/>
      <c r="AB150" s="19" t="inlineStr">
        <is>
          <t>Not documented</t>
        </is>
      </c>
      <c r="AC150" s="5" t="n"/>
      <c r="AD150" s="5" t="n"/>
      <c r="AE150" s="5" t="inlineStr">
        <is>
          <t>None</t>
        </is>
      </c>
      <c r="AF150" s="20" t="n">
        <v>9</v>
      </c>
      <c r="AG150" s="19" t="inlineStr">
        <is>
          <t>No meaningful romance</t>
        </is>
      </c>
      <c r="AH150" s="5" t="n"/>
      <c r="AI150" s="5" t="n"/>
      <c r="AJ150" s="5" t="n"/>
      <c r="AK150" s="5" t="n"/>
      <c r="AL150" s="5" t="n"/>
      <c r="AM150" s="5" t="n"/>
      <c r="AN150" s="5" t="n"/>
      <c r="AO150" s="18" t="n"/>
      <c r="AP150" s="19" t="n"/>
      <c r="AQ150" s="19" t="n"/>
      <c r="AR150" s="5" t="inlineStr">
        <is>
          <t>SOURCE-001; SOURCE-141</t>
        </is>
      </c>
      <c r="AS150" s="5" t="inlineStr">
        <is>
          <t>Low</t>
        </is>
      </c>
      <c r="AT150" s="5" t="inlineStr">
        <is>
          <t>Filmography notes: Cameo appearance. The filmography table marks this a cameo, which phase 1 carried over, though the article bills Kapoor first. The plot summary is three sentences about Adi and Anushka and gives Luv Kapoor no part in it, so the conflict between the cameo note and the billing cannot be resolved from anything located.</t>
        </is>
      </c>
    </row>
    <row r="151" ht="94" customHeight="1">
      <c r="A151" s="15" t="inlineStr">
        <is>
          <t>FILM-150</t>
        </is>
      </c>
      <c r="B151" s="5" t="inlineStr">
        <is>
          <t>Chalk N Duster</t>
        </is>
      </c>
      <c r="C151" s="16" t="n">
        <v>42384</v>
      </c>
      <c r="D151" s="17" t="n">
        <v>2016</v>
      </c>
      <c r="E151" s="5" t="inlineStr">
        <is>
          <t>2010s</t>
        </is>
      </c>
      <c r="F151" s="5" t="inlineStr">
        <is>
          <t>Hindi</t>
        </is>
      </c>
      <c r="G151" s="5" t="inlineStr">
        <is>
          <t>Social drama</t>
        </is>
      </c>
      <c r="H151" s="5" t="n"/>
      <c r="I151" s="17" t="n">
        <v>130</v>
      </c>
      <c r="J151" s="5" t="inlineStr">
        <is>
          <t>Jayant Gilatar</t>
        </is>
      </c>
      <c r="K151" s="5" t="inlineStr">
        <is>
          <t>Amin Surani</t>
        </is>
      </c>
      <c r="L151" s="5" t="inlineStr">
        <is>
          <t>Surani Pictures</t>
        </is>
      </c>
      <c r="M151" s="5" t="inlineStr">
        <is>
          <t>Ranjeev Verma; Neetu Verma</t>
        </is>
      </c>
      <c r="N151" s="5" t="n"/>
      <c r="O151" s="5" t="inlineStr">
        <is>
          <t>Sandesh Shandilya</t>
        </is>
      </c>
      <c r="P151" s="5" t="n"/>
      <c r="Q151" s="5" t="n"/>
      <c r="R151" s="5" t="inlineStr">
        <is>
          <t>Host Of The Quiz Contest</t>
        </is>
      </c>
      <c r="S151" s="5" t="n"/>
      <c r="T151" s="5" t="inlineStr">
        <is>
          <t>Cameo</t>
        </is>
      </c>
      <c r="U151" s="18" t="n"/>
      <c r="V151" s="5" t="inlineStr">
        <is>
          <t>Quiz-show host</t>
        </is>
      </c>
      <c r="W151" s="5" t="n"/>
      <c r="X151" s="19" t="inlineStr">
        <is>
          <t>Kapoor appears as the host of the televised quiz that forms the film's climax, in which two dismissed teachers stake their careers against five crore rupees to expose the commercialisation of private schooling. The part is a single functional appearance, but it is the sequence the plot resolves on.</t>
        </is>
      </c>
      <c r="Y151" s="19" t="n"/>
      <c r="Z151" s="19" t="n"/>
      <c r="AA151" s="19" t="n"/>
      <c r="AB151" s="19" t="inlineStr">
        <is>
          <t>Good</t>
        </is>
      </c>
      <c r="AC151" s="5" t="inlineStr">
        <is>
          <t>Presides over the quiz the two teachers win.</t>
        </is>
      </c>
      <c r="AD151" s="5" t="n"/>
      <c r="AE151" s="5" t="inlineStr">
        <is>
          <t>None</t>
        </is>
      </c>
      <c r="AF151" s="18" t="n"/>
      <c r="AG151" s="19" t="inlineStr">
        <is>
          <t>No meaningful romance</t>
        </is>
      </c>
      <c r="AH151" s="5" t="n"/>
      <c r="AI151" s="5" t="n"/>
      <c r="AJ151" s="5" t="n"/>
      <c r="AK151" s="5" t="n"/>
      <c r="AL151" s="5" t="n"/>
      <c r="AM151" s="5" t="n"/>
      <c r="AN151" s="5" t="n"/>
      <c r="AO151" s="18" t="n"/>
      <c r="AP151" s="19" t="n"/>
      <c r="AQ151" s="19" t="n"/>
      <c r="AR151" s="5" t="inlineStr">
        <is>
          <t>SOURCE-001; SOURCE-142</t>
        </is>
      </c>
      <c r="AS151" s="5" t="inlineStr">
        <is>
          <t>Medium</t>
        </is>
      </c>
      <c r="AT151" s="5" t="inlineStr">
        <is>
          <t>Filmography notes: Cameo appearance. Credited in the cast list as a special appearance. Unusually for a cameo, the scene he appears in is the film's climax: the teachers win five crore rupees on his show, the trustee apologises publicly, and the money is given to the former principal to found a school.</t>
        </is>
      </c>
    </row>
    <row r="152" ht="109" customHeight="1">
      <c r="A152" s="15" t="inlineStr">
        <is>
          <t>FILM-151</t>
        </is>
      </c>
      <c r="B152" s="5" t="inlineStr">
        <is>
          <t>Sanam Re</t>
        </is>
      </c>
      <c r="C152" s="16" t="n">
        <v>42412</v>
      </c>
      <c r="D152" s="17" t="n">
        <v>2016</v>
      </c>
      <c r="E152" s="5" t="inlineStr">
        <is>
          <t>2010s</t>
        </is>
      </c>
      <c r="F152" s="5" t="inlineStr">
        <is>
          <t>Hindi</t>
        </is>
      </c>
      <c r="G152" s="5" t="inlineStr">
        <is>
          <t>Romantic drama</t>
        </is>
      </c>
      <c r="H152" s="5" t="n"/>
      <c r="I152" s="17" t="n">
        <v>120</v>
      </c>
      <c r="J152" s="5" t="inlineStr">
        <is>
          <t>Divya Khosla Kumar</t>
        </is>
      </c>
      <c r="K152" s="5" t="inlineStr">
        <is>
          <t>Bhushan Kumar; Krishan Kumar</t>
        </is>
      </c>
      <c r="L152" s="5" t="inlineStr">
        <is>
          <t>T-Series Films</t>
        </is>
      </c>
      <c r="M152" s="5" t="inlineStr">
        <is>
          <t>Hussain Dalal; Sanjeev Datta</t>
        </is>
      </c>
      <c r="N152" s="5" t="n"/>
      <c r="O152" s="5" t="inlineStr">
        <is>
          <t>Mithoon; Jeet Gannguli; Amaal Mallik; Epic Bhangra; Aydin Vance</t>
        </is>
      </c>
      <c r="P152" s="5" t="inlineStr">
        <is>
          <t>Raju Singh</t>
        </is>
      </c>
      <c r="Q152" s="5" t="inlineStr">
        <is>
          <t>Mithoon; Manoj Muntashir; Manoj Yadav; Ikka; Kumaar; Rashmi Virag; Badshah</t>
        </is>
      </c>
      <c r="R152" s="5" t="inlineStr">
        <is>
          <t>Daddu</t>
        </is>
      </c>
      <c r="S152" s="5" t="n"/>
      <c r="T152" s="5" t="inlineStr">
        <is>
          <t>Supporting</t>
        </is>
      </c>
      <c r="U152" s="20" t="n">
        <v>4</v>
      </c>
      <c r="V152" s="5" t="inlineStr">
        <is>
          <t>Photographer, owner of a studio in Tanakpur</t>
        </is>
      </c>
      <c r="W152" s="5" t="inlineStr">
        <is>
          <t>Grandfather of Akash, running a small-town photographic studio the family later tries to sell</t>
        </is>
      </c>
      <c r="X152" s="19" t="inlineStr">
        <is>
          <t>Daddu is the grandfather whose prophecy organises the whole film: he tells the six-year-old Akash that he will love a girl who lives five hundred steps from the studio, that they will love each other forever, and that they will never be able to live together. His failing health brings the grown Akash back to Tanakpur to sell the studio, and the visit releases the flashback the film is made of.</t>
        </is>
      </c>
      <c r="Y152" s="19" t="inlineStr">
        <is>
          <t>To tell his grandson what is coming to him.</t>
        </is>
      </c>
      <c r="Z152" s="19" t="inlineStr">
        <is>
          <t>None of his own; he is the film's oracle and its occasion.</t>
        </is>
      </c>
      <c r="AA152" s="19" t="n"/>
      <c r="AB152" s="19" t="inlineStr">
        <is>
          <t>Good</t>
        </is>
      </c>
      <c r="AC152" s="5" t="inlineStr">
        <is>
          <t>His worsening health is what brings Akash home; the article does not record his fate.</t>
        </is>
      </c>
      <c r="AD152" s="5" t="n"/>
      <c r="AE152" s="5" t="inlineStr">
        <is>
          <t>None</t>
        </is>
      </c>
      <c r="AF152" s="20" t="n">
        <v>10</v>
      </c>
      <c r="AG152" s="19" t="inlineStr">
        <is>
          <t>No meaningful romance</t>
        </is>
      </c>
      <c r="AH152" s="5" t="n"/>
      <c r="AI152" s="5" t="n"/>
      <c r="AJ152" s="5" t="n"/>
      <c r="AK152" s="5" t="n"/>
      <c r="AL152" s="5" t="n"/>
      <c r="AM152" s="5" t="n"/>
      <c r="AN152" s="5" t="n"/>
      <c r="AO152" s="18" t="n"/>
      <c r="AP152" s="19" t="inlineStr">
        <is>
          <t>A critic for Bollywood Hungama rated the film three and a half out of five and called it a sweet romantic love story with a cathartic tear, well suited to the period around Valentine's Day.</t>
        </is>
      </c>
      <c r="AQ152" s="19" t="n"/>
      <c r="AR152" s="5" t="inlineStr">
        <is>
          <t>SOURCE-001; SOURCE-143</t>
        </is>
      </c>
      <c r="AS152" s="5" t="inlineStr">
        <is>
          <t>Medium</t>
        </is>
      </c>
      <c r="AT152" s="5" t="inlineStr">
        <is>
          <t>Fourth-billed. The role is small but structurally load-bearing: the grandfather's prediction that the lovers will never be able to live together is the premise the plot spends its length fulfilling, and the count of five hundred steps is what first sends the child to the wrong girl. Romance centrality is at the maximum for the film while Kapoor's own part carries none.</t>
        </is>
      </c>
    </row>
    <row r="153" ht="154" customHeight="1">
      <c r="A153" s="15" t="inlineStr">
        <is>
          <t>FILM-152</t>
        </is>
      </c>
      <c r="B153" s="5" t="inlineStr">
        <is>
          <t>Kapoor &amp; Sons</t>
        </is>
      </c>
      <c r="C153" s="16" t="n">
        <v>42447</v>
      </c>
      <c r="D153" s="17" t="n">
        <v>2016</v>
      </c>
      <c r="E153" s="5" t="inlineStr">
        <is>
          <t>2010s</t>
        </is>
      </c>
      <c r="F153" s="5" t="inlineStr">
        <is>
          <t>Hindi</t>
        </is>
      </c>
      <c r="G153" s="5" t="inlineStr">
        <is>
          <t>Family drama</t>
        </is>
      </c>
      <c r="H153" s="5" t="inlineStr">
        <is>
          <t>Comedy drama</t>
        </is>
      </c>
      <c r="I153" s="17" t="n">
        <v>140</v>
      </c>
      <c r="J153" s="5" t="inlineStr">
        <is>
          <t>Shakun Batra</t>
        </is>
      </c>
      <c r="K153" s="5" t="inlineStr">
        <is>
          <t>Hiroo Yash Johar; Karan Johar; Apoorva Mehta</t>
        </is>
      </c>
      <c r="L153" s="5" t="inlineStr">
        <is>
          <t>Dharma Productions</t>
        </is>
      </c>
      <c r="M153" s="5" t="inlineStr">
        <is>
          <t>Shakun Batra; Ayesha Devitre Dhillon</t>
        </is>
      </c>
      <c r="N153" s="5" t="n"/>
      <c r="O153" s="5" t="inlineStr">
        <is>
          <t>Amaal Mallik; Badshah; Arko; Tanishk Bagchi; Benny Dayal; Nucleya</t>
        </is>
      </c>
      <c r="P153" s="5" t="inlineStr">
        <is>
          <t>Sameer Uddin</t>
        </is>
      </c>
      <c r="Q153" s="5" t="n"/>
      <c r="R153" s="5" t="inlineStr">
        <is>
          <t>Amarjeet Kapoor</t>
        </is>
      </c>
      <c r="S153" s="5" t="n"/>
      <c r="T153" s="5" t="inlineStr">
        <is>
          <t>Ensemble lead</t>
        </is>
      </c>
      <c r="U153" s="20" t="n">
        <v>1</v>
      </c>
      <c r="V153" s="5" t="inlineStr">
        <is>
          <t>Retired; formerly of the family business founded in 1921</t>
        </is>
      </c>
      <c r="W153" s="5" t="inlineStr">
        <is>
          <t>The ninety-year-old patriarch of a Punjabi family settled in Coonoor, living with his son, daughter-in-law and their grown sons' absence</t>
        </is>
      </c>
      <c r="X153" s="19" t="inlineStr">
        <is>
          <t>Amarjeet Kapoor is the ninety-year-old whose heart attack summons his two estranged grandsons home and whose stated last wish, a family photograph captioned Kapoor and Sons, since 1921, is the thing the film keeps failing to achieve. He presides over a household of concealed grievances, a marriage damaged by an old affair and two brothers competing over a plagiarised novel.</t>
        </is>
      </c>
      <c r="Y153" s="19" t="inlineStr">
        <is>
          <t>To get his whole family into one photograph before he dies.</t>
        </is>
      </c>
      <c r="Z153" s="19" t="inlineStr">
        <is>
          <t>A family too full of unspoken injuries to sit still together for as long as a photograph takes.</t>
        </is>
      </c>
      <c r="AA153" s="19" t="inlineStr">
        <is>
          <t>Little of his own by design; he is the fixed point the others are measured against.</t>
        </is>
      </c>
      <c r="AB153" s="19" t="inlineStr">
        <is>
          <t>Good</t>
        </is>
      </c>
      <c r="AC153" s="5" t="inlineStr">
        <is>
          <t>Not documented in full; the article's plot breaks off during the birthday party and the brothers' discovery about Tia.</t>
        </is>
      </c>
      <c r="AD153" s="5" t="n"/>
      <c r="AE153" s="5" t="inlineStr">
        <is>
          <t>None</t>
        </is>
      </c>
      <c r="AF153" s="20" t="n">
        <v>6</v>
      </c>
      <c r="AG153" s="19" t="inlineStr">
        <is>
          <t>No meaningful romance</t>
        </is>
      </c>
      <c r="AH153" s="21" t="n">
        <v>28</v>
      </c>
      <c r="AI153" s="21" t="n">
        <v>71.56999999999999</v>
      </c>
      <c r="AJ153" s="21" t="n">
        <v>102.24</v>
      </c>
      <c r="AK153" s="21" t="n">
        <v>47.8</v>
      </c>
      <c r="AL153" s="5" t="n"/>
      <c r="AM153" s="5" t="inlineStr">
        <is>
          <t>INR crore</t>
        </is>
      </c>
      <c r="AN153" s="5" t="inlineStr">
        <is>
          <t>Commercial success</t>
        </is>
      </c>
      <c r="AO153" s="18" t="n"/>
      <c r="AP153" s="19" t="inlineStr">
        <is>
          <t>Widely praised on release for its writing, direction, music and performances, with Kapoor named among those singled out. Srijana Mitra Das of The Times of India gave four stars, Anupama Chopra of Film Companion and Saibal Chatterjee of NDTV three and a half each, and Raja Sen of Rediff.com three. A dissenting notice quoted in the article, which praises Fawad Khan, Sidharth Malhotra and Alia Bhatt by surname, calls Kapoor's role disappointing and out of sync.</t>
        </is>
      </c>
      <c r="AQ153" s="19" t="inlineStr">
        <is>
          <t>Among the most acclaimed performances of Kapoor's late career, played at ninety under extensive prosthetic makeup, and the third of the late character leads on which his final reputation rests, with Do Dooni Chaar and Mulk.</t>
        </is>
      </c>
      <c r="AR153" s="5" t="inlineStr">
        <is>
          <t>SOURCE-001; SOURCE-144</t>
        </is>
      </c>
      <c r="AS153" s="5" t="inlineStr">
        <is>
          <t>High</t>
        </is>
      </c>
      <c r="AT153" s="5" t="inlineStr">
        <is>
          <t>Infobox gross '₹148 crore' has no nett/gross label and is not entered. India nett of ₹71.57 crore after three weeks against a domestic gross of ₹102.24 crore, making it the third film of 2016 to gross more than ₹100 crore, and a lifetime overseas collection of ₹47.8 crore, the fourth highest for a Hindi film overseas that year. Top-billed. The film gives one of its characters the name Neetu Kapoor, played by Anahita Uberoi, which is coincidental to the casting rather than a reference to his wife.</t>
        </is>
      </c>
    </row>
    <row r="154" ht="139" customHeight="1">
      <c r="A154" s="15" t="inlineStr">
        <is>
          <t>FILM-153</t>
        </is>
      </c>
      <c r="B154" s="5" t="inlineStr">
        <is>
          <t>Patel Ki Punjabi Shaadi</t>
        </is>
      </c>
      <c r="C154" s="16" t="n">
        <v>42993</v>
      </c>
      <c r="D154" s="17" t="n">
        <v>2017</v>
      </c>
      <c r="E154" s="5" t="inlineStr">
        <is>
          <t>2010s</t>
        </is>
      </c>
      <c r="F154" s="5" t="inlineStr">
        <is>
          <t>Hindi</t>
        </is>
      </c>
      <c r="G154" s="5" t="inlineStr">
        <is>
          <t>Romantic comedy</t>
        </is>
      </c>
      <c r="H154" s="5" t="n"/>
      <c r="I154" s="17" t="n">
        <v>120</v>
      </c>
      <c r="J154" s="5" t="inlineStr">
        <is>
          <t>Sanjay Chhel</t>
        </is>
      </c>
      <c r="K154" s="5" t="inlineStr">
        <is>
          <t>Bharat Patel; Kalapi Nagada</t>
        </is>
      </c>
      <c r="L154" s="5" t="inlineStr">
        <is>
          <t>Bholenath Movies</t>
        </is>
      </c>
      <c r="M154" s="5" t="inlineStr">
        <is>
          <t>Sanjay Chhel</t>
        </is>
      </c>
      <c r="N154" s="5" t="n"/>
      <c r="O154" s="5" t="inlineStr">
        <is>
          <t>Lalit Pandit; Uttank Vora</t>
        </is>
      </c>
      <c r="P154" s="5" t="n"/>
      <c r="Q154" s="5" t="n"/>
      <c r="R154" s="5" t="inlineStr">
        <is>
          <t>Guggi Tandon</t>
        </is>
      </c>
      <c r="S154" s="5" t="n"/>
      <c r="T154" s="5" t="inlineStr">
        <is>
          <t>Lead</t>
        </is>
      </c>
      <c r="U154" s="20" t="n">
        <v>1</v>
      </c>
      <c r="V154" s="5" t="inlineStr">
        <is>
          <t>Not documented</t>
        </is>
      </c>
      <c r="W154" s="5" t="inlineStr">
        <is>
          <t>A Punjabi father, married to Pummy, whose son is to marry a Gujarati family's daughter</t>
        </is>
      </c>
      <c r="X154" s="19" t="inlineStr">
        <is>
          <t>Guggi Tandon is the Punjabi half of a comedy about two fathers, one Punjabi and one Gujarati, whose children are marrying each other. His son Monty is to marry Hasmukh Patel's daughter Pooja, and the film is built on the collision between the two households.</t>
        </is>
      </c>
      <c r="Y154" s="19" t="inlineStr">
        <is>
          <t>Not documented.</t>
        </is>
      </c>
      <c r="Z154" s="19" t="inlineStr">
        <is>
          <t>A Gujarati counterpart with whom he must arrange a wedding.</t>
        </is>
      </c>
      <c r="AA154" s="19" t="n"/>
      <c r="AB154" s="19" t="inlineStr">
        <is>
          <t>Morally mixed</t>
        </is>
      </c>
      <c r="AC154" s="5" t="inlineStr">
        <is>
          <t>Not documented.</t>
        </is>
      </c>
      <c r="AD154" s="5" t="inlineStr">
        <is>
          <t>Divya Seth</t>
        </is>
      </c>
      <c r="AE154" s="5" t="inlineStr">
        <is>
          <t>None</t>
        </is>
      </c>
      <c r="AF154" s="20" t="n">
        <v>8</v>
      </c>
      <c r="AG154" s="19" t="inlineStr">
        <is>
          <t>No meaningful romance</t>
        </is>
      </c>
      <c r="AH154" s="5" t="n"/>
      <c r="AI154" s="5" t="n"/>
      <c r="AJ154" s="5" t="n"/>
      <c r="AK154" s="5" t="n"/>
      <c r="AL154" s="5" t="n"/>
      <c r="AM154" s="5" t="n"/>
      <c r="AN154" s="5" t="n"/>
      <c r="AO154" s="18" t="n"/>
      <c r="AP154" s="19" t="n"/>
      <c r="AQ154" s="19" t="n"/>
      <c r="AR154" s="5" t="inlineStr">
        <is>
          <t>SOURCE-001; SOURCE-145</t>
        </is>
      </c>
      <c r="AS154" s="5" t="inlineStr">
        <is>
          <t>Low</t>
        </is>
      </c>
      <c r="AT154" s="5" t="inlineStr">
        <is>
          <t>Top-billed opposite Paresh Rawal. The article's plot section is three sentences and is written in the future tense, describing what Payal Ghosh will do in her debut and who Vir Das is to play, which indicates pre-release copy that was never updated after the film came out; that is the reason for the Low confidence grade. His wife Pummy and his father Prem Lal are in the cast list but neither relationship is documented, so no Romances row is created.</t>
        </is>
      </c>
    </row>
    <row r="155" ht="214" customHeight="1">
      <c r="A155" s="15" t="inlineStr">
        <is>
          <t>FILM-154</t>
        </is>
      </c>
      <c r="B155" s="5" t="inlineStr">
        <is>
          <t>102 Not Out</t>
        </is>
      </c>
      <c r="C155" s="16" t="n">
        <v>43224</v>
      </c>
      <c r="D155" s="17" t="n">
        <v>2018</v>
      </c>
      <c r="E155" s="5" t="inlineStr">
        <is>
          <t>2010s</t>
        </is>
      </c>
      <c r="F155" s="5" t="inlineStr">
        <is>
          <t>Hindi</t>
        </is>
      </c>
      <c r="G155" s="5" t="inlineStr">
        <is>
          <t>Comedy drama</t>
        </is>
      </c>
      <c r="H155" s="5" t="inlineStr">
        <is>
          <t>Family drama</t>
        </is>
      </c>
      <c r="I155" s="17" t="n">
        <v>102</v>
      </c>
      <c r="J155" s="5" t="inlineStr">
        <is>
          <t>Umesh Shukla</t>
        </is>
      </c>
      <c r="K155" s="5" t="inlineStr">
        <is>
          <t>SPE Films India</t>
        </is>
      </c>
      <c r="L155" s="5" t="inlineStr">
        <is>
          <t>SPE Films India; Treetop Entertainment; Benchmark Pictures</t>
        </is>
      </c>
      <c r="M155" s="5" t="inlineStr">
        <is>
          <t>Saumya Joshi</t>
        </is>
      </c>
      <c r="N155" s="5" t="n"/>
      <c r="O155" s="5" t="inlineStr">
        <is>
          <t>Salim–Sulaiman; Rohan–Vinayak</t>
        </is>
      </c>
      <c r="P155" s="5" t="inlineStr">
        <is>
          <t>George Joseph</t>
        </is>
      </c>
      <c r="Q155" s="5" t="inlineStr">
        <is>
          <t>Hiral Brahmbhatt; Amitabh Bhattacharya; Saumya Joshi; Kaifi Azmi</t>
        </is>
      </c>
      <c r="R155" s="5" t="inlineStr">
        <is>
          <t>Babulal Vakharia</t>
        </is>
      </c>
      <c r="S155" s="5" t="n"/>
      <c r="T155" s="5" t="inlineStr">
        <is>
          <t>Co-lead</t>
        </is>
      </c>
      <c r="U155" s="20" t="n">
        <v>2</v>
      </c>
      <c r="V155" s="5" t="inlineStr">
        <is>
          <t>Retired; a widower living with his father</t>
        </is>
      </c>
      <c r="W155" s="5" t="inlineStr">
        <is>
          <t>The seventy-five-year-old son of a 102-year-old father, widowed and living a fixed routine of medicines and daily visits to his doctor</t>
        </is>
      </c>
      <c r="X155" s="19" t="inlineStr">
        <is>
          <t>Babulal is his father's exact opposite: at seventy-five he believes himself too old and fragile for anything and lives by a routine of pills and doctor's appointments, while the 102-year-old Dattatraya intends to break the record for the oldest living person and must avoid negative-minded people to do it. Threatened with an old age home, Babulal has to satisfy a series of conditions, the first of which is to write a love letter to his dead wife.</t>
        </is>
      </c>
      <c r="Y155" s="19" t="inlineStr">
        <is>
          <t>To avoid being sent to an old age home, and then, gradually, to want something again.</t>
        </is>
      </c>
      <c r="Z155" s="19" t="inlineStr">
        <is>
          <t>A father who will evict him unless he stops behaving like a dying man.</t>
        </is>
      </c>
      <c r="AA155" s="19" t="inlineStr">
        <is>
          <t>From a man managing his own decline to one whose way of looking at life is changed by a series of absurd conditions.</t>
        </is>
      </c>
      <c r="AB155" s="19" t="inlineStr">
        <is>
          <t>Good</t>
        </is>
      </c>
      <c r="AC155" s="5" t="inlineStr">
        <is>
          <t>Not documented in full; the article's plot follows the conditions through the third, which he refuses.</t>
        </is>
      </c>
      <c r="AD155" s="5" t="n"/>
      <c r="AE155" s="5" t="inlineStr">
        <is>
          <t>Minor</t>
        </is>
      </c>
      <c r="AF155" s="20" t="n">
        <v>4</v>
      </c>
      <c r="AG155" s="19" t="inlineStr">
        <is>
          <t>Romance subordinate to another genre</t>
        </is>
      </c>
      <c r="AH155" s="21" t="n">
        <v>35</v>
      </c>
      <c r="AI155" s="21" t="n">
        <v>52.05</v>
      </c>
      <c r="AJ155" s="21" t="n">
        <v>66.72</v>
      </c>
      <c r="AK155" s="5" t="n"/>
      <c r="AL155" s="21" t="n">
        <v>115.3</v>
      </c>
      <c r="AM155" s="5" t="inlineStr">
        <is>
          <t>INR crore</t>
        </is>
      </c>
      <c r="AN155" s="5" t="inlineStr">
        <is>
          <t>Hit</t>
        </is>
      </c>
      <c r="AO155" s="18" t="n"/>
      <c r="AP155" s="19" t="inlineStr">
        <is>
          <t>Reviewed largely on the strength of its two leads: Rajeev Masand of News18 and Rohit Vats of Hindustan Times gave three out of five each, Rohit Bhatnagar of Deccan Chronicle three and a half, and Raja Sen of NDTV two, calling it sweet but dull and never rising above the ambition of having two legendary actors play off each other. Sonil Dedhia of Mid-Day credited the effortless performances of Bachchan and Kapoor with making the film worth watching.</t>
        </is>
      </c>
      <c r="AQ155" s="19" t="inlineStr">
        <is>
          <t>The last of Kapoor's films with Amitabh Bachchan, thirty-five years after Naseeb and Coolie, and the only one in which the two play father and son.</t>
        </is>
      </c>
      <c r="AR155" s="5" t="inlineStr">
        <is>
          <t>SOURCE-001; SOURCE-146</t>
        </is>
      </c>
      <c r="AS155" s="5" t="inlineStr">
        <is>
          <t>High</t>
        </is>
      </c>
      <c r="AT155" s="5" t="inlineStr">
        <is>
          <t>Infobox gross '₹115.3 crore' has no nett/gross label and is not entered. India nett of ₹520.5 million, about ₹52.05 crore, against an India gross of ₹667.2 million, about ₹66.72 crore, and a worldwide gross of ₹115.3 crore as of 9 December 2018, which includes US$4.5 million from China. The first condition his father sets, a love letter to his dead wife Chandrika, is the one romantic element in the role; no actress is credited for Chandrika and she does not appear, so romance presence is recorded as Minor and no Romances row is created. Amitabh Bachchan is credited in the infobox among the song composers alongside Salim-Sulaiman and Rohan-Vinayak; that guest composition credit is recorded here rather than in the composer column.</t>
        </is>
      </c>
    </row>
    <row r="156" ht="109" customHeight="1">
      <c r="A156" s="15" t="inlineStr">
        <is>
          <t>FILM-155</t>
        </is>
      </c>
      <c r="B156" s="5" t="inlineStr">
        <is>
          <t>Mulk</t>
        </is>
      </c>
      <c r="C156" s="16" t="n">
        <v>43315</v>
      </c>
      <c r="D156" s="17" t="n">
        <v>2018</v>
      </c>
      <c r="E156" s="5" t="inlineStr">
        <is>
          <t>2010s</t>
        </is>
      </c>
      <c r="F156" s="5" t="inlineStr">
        <is>
          <t>Hindi</t>
        </is>
      </c>
      <c r="G156" s="5" t="inlineStr">
        <is>
          <t>Legal drama</t>
        </is>
      </c>
      <c r="H156" s="5" t="inlineStr">
        <is>
          <t>Social drama</t>
        </is>
      </c>
      <c r="I156" s="17" t="n">
        <v>140</v>
      </c>
      <c r="J156" s="5" t="inlineStr">
        <is>
          <t>Anubhav Sinha</t>
        </is>
      </c>
      <c r="K156" s="5" t="inlineStr">
        <is>
          <t>Deepak Mukut; Anubhav Sinha</t>
        </is>
      </c>
      <c r="L156" s="5" t="inlineStr">
        <is>
          <t>Benaras Media Works; Soham Rockstar Entertainment</t>
        </is>
      </c>
      <c r="M156" s="5" t="inlineStr">
        <is>
          <t>Anubhav Sinha</t>
        </is>
      </c>
      <c r="N156" s="5" t="n"/>
      <c r="O156" s="5" t="inlineStr">
        <is>
          <t>Prasad Sashte; Anurag Saikia</t>
        </is>
      </c>
      <c r="P156" s="5" t="inlineStr">
        <is>
          <t>Mangesh Dhakde</t>
        </is>
      </c>
      <c r="Q156" s="5" t="inlineStr">
        <is>
          <t>Shakeel Azmi</t>
        </is>
      </c>
      <c r="R156" s="5" t="inlineStr">
        <is>
          <t>Murad Ali Mohammed</t>
        </is>
      </c>
      <c r="S156" s="5" t="n"/>
      <c r="T156" s="5" t="inlineStr">
        <is>
          <t>Lead</t>
        </is>
      </c>
      <c r="U156" s="20" t="n">
        <v>1</v>
      </c>
      <c r="V156" s="5" t="inlineStr">
        <is>
          <t>Advocate</t>
        </is>
      </c>
      <c r="W156" s="5" t="inlineStr">
        <is>
          <t>Head of a Muslim joint family in a mixed locality of Varanasi, with a brother, a nephew, a niece and a son settled abroad</t>
        </is>
      </c>
      <c r="X156" s="19" t="inlineStr">
        <is>
          <t>Murad Ali Mohammed is a lawyer whose life is a routine of namaz and tea at a Hindu neighbour's stall until his nephew Shahid carries out a bomb blast in Allahabad. Shahid is shot dead, the police turn the family's house over, his brother Bilal is taken into custody, and the neighbourhood Murad has lived in all his life changes around him while his estranged daughter-in-law takes up the defence.</t>
        </is>
      </c>
      <c r="Y156" s="19" t="inlineStr">
        <is>
          <t>To reclaim his family's honour and prove that it is not what the accusation says it is.</t>
        </is>
      </c>
      <c r="Z156" s="19" t="inlineStr">
        <is>
          <t>A nephew's terrorism, a police investigation that treats the whole household as suspect, and neighbours who turn.</t>
        </is>
      </c>
      <c r="AA156" s="19" t="inlineStr">
        <is>
          <t>From a man secure in a shared life to one required to prove his family's right to belong.</t>
        </is>
      </c>
      <c r="AB156" s="19" t="inlineStr">
        <is>
          <t>Good</t>
        </is>
      </c>
      <c r="AC156" s="5" t="inlineStr">
        <is>
          <t>Not documented in full; the article's plot follows the interrogation of Bilal and the neighbourhood's turn against the family.</t>
        </is>
      </c>
      <c r="AD156" s="5" t="inlineStr">
        <is>
          <t>Neena Gupta</t>
        </is>
      </c>
      <c r="AE156" s="5" t="inlineStr">
        <is>
          <t>Minor</t>
        </is>
      </c>
      <c r="AF156" s="18" t="n"/>
      <c r="AG156" s="19" t="inlineStr">
        <is>
          <t>Romance subordinate to another genre</t>
        </is>
      </c>
      <c r="AH156" s="21" t="n">
        <v>19</v>
      </c>
      <c r="AI156" s="5" t="n"/>
      <c r="AJ156" s="5" t="n"/>
      <c r="AK156" s="5" t="n"/>
      <c r="AL156" s="5" t="n"/>
      <c r="AM156" s="5" t="inlineStr">
        <is>
          <t>INR crore</t>
        </is>
      </c>
      <c r="AN156" s="5" t="n"/>
      <c r="AO156" s="18" t="n"/>
      <c r="AP156" s="19" t="inlineStr">
        <is>
          <t>The article quotes a review saying Kapoor is in terrific form and praising the whole ensemble, and records Shekhar Gupta commending the film for putting ordinary Indian Muslims on screen to be looked in the eye.</t>
        </is>
      </c>
      <c r="AQ156" s="19" t="inlineStr">
        <is>
          <t>Among the most acclaimed performances of his career and the last of his major leading roles, in a film directly about Islamophobia and collective suspicion.</t>
        </is>
      </c>
      <c r="AR156" s="5" t="inlineStr">
        <is>
          <t>SOURCE-001; SOURCE-148</t>
        </is>
      </c>
      <c r="AS156" s="5" t="inlineStr">
        <is>
          <t>High</t>
        </is>
      </c>
      <c r="AT156" s="5" t="inlineStr">
        <is>
          <t>Infobox gross '₹28.33 crore' has no nett/gross label and is not entered. Top-billed. Neena Gupta plays his wife Tabassum and Taapsee Pannu his daughter-in-law, who conducts the defence; the marriage is present throughout but is not developed as a relationship, so romance presence is Minor and no Romances row is created. No commercial figures are given in the article.</t>
        </is>
      </c>
    </row>
    <row r="157" ht="229" customHeight="1">
      <c r="A157" s="15" t="inlineStr">
        <is>
          <t>FILM-156</t>
        </is>
      </c>
      <c r="B157" s="5" t="inlineStr">
        <is>
          <t>Manto</t>
        </is>
      </c>
      <c r="C157" s="16" t="n">
        <v>43364</v>
      </c>
      <c r="D157" s="17" t="n">
        <v>2018</v>
      </c>
      <c r="E157" s="5" t="inlineStr">
        <is>
          <t>2010s</t>
        </is>
      </c>
      <c r="F157" s="5" t="inlineStr">
        <is>
          <t>Hindi; Urdu</t>
        </is>
      </c>
      <c r="G157" s="5" t="inlineStr">
        <is>
          <t>Biographical drama</t>
        </is>
      </c>
      <c r="H157" s="5" t="n"/>
      <c r="I157" s="17" t="n">
        <v>116</v>
      </c>
      <c r="J157" s="5" t="inlineStr">
        <is>
          <t>Nandita Das</t>
        </is>
      </c>
      <c r="K157" s="5" t="inlineStr">
        <is>
          <t>Vikrant Batra; Ajit Andhare; Namrata Goyal; Nandita Das; Sameer Dixit; Jatish Varma</t>
        </is>
      </c>
      <c r="L157" s="5" t="inlineStr">
        <is>
          <t>HP Studios; FilmStoc; Viacom18 Motion Pictures; Nandita Das Initiatives LLP</t>
        </is>
      </c>
      <c r="M157" s="5" t="inlineStr">
        <is>
          <t>Nandita Das</t>
        </is>
      </c>
      <c r="N157" s="5" t="n"/>
      <c r="O157" s="5" t="inlineStr">
        <is>
          <t>Sneha Khanwalkar; Raftaar</t>
        </is>
      </c>
      <c r="P157" s="5" t="inlineStr">
        <is>
          <t>Zakir Hussain</t>
        </is>
      </c>
      <c r="Q157" s="5" t="inlineStr">
        <is>
          <t>Dibakar Banerjee; Simaab Akbarabadi; Meeraji; Faiz Ahmed Faiz; Raftaar; Saadat Hasan Manto</t>
        </is>
      </c>
      <c r="R157" s="5" t="inlineStr">
        <is>
          <t>Producer</t>
        </is>
      </c>
      <c r="S157" s="5" t="n"/>
      <c r="T157" s="5" t="inlineStr">
        <is>
          <t>Cameo</t>
        </is>
      </c>
      <c r="U157" s="18" t="n"/>
      <c r="V157" s="5" t="inlineStr">
        <is>
          <t>Film producer in 1940s Bombay</t>
        </is>
      </c>
      <c r="W157" s="5" t="n"/>
      <c r="X157" s="19" t="inlineStr">
        <is>
          <t>Kapoor appears as an unnamed film producer in Nandita Das's film about Saadat Hasan Manto, part of a large gallery of cameos peopling the Bombay film world Manto worked in as a scriptwriter before partition took him to Lahore.</t>
        </is>
      </c>
      <c r="Y157" s="19" t="n"/>
      <c r="Z157" s="19" t="n"/>
      <c r="AA157" s="19" t="n"/>
      <c r="AB157" s="19" t="inlineStr">
        <is>
          <t>Not documented</t>
        </is>
      </c>
      <c r="AC157" s="5" t="inlineStr">
        <is>
          <t>Not documented.</t>
        </is>
      </c>
      <c r="AD157" s="5" t="n"/>
      <c r="AE157" s="5" t="inlineStr">
        <is>
          <t>None</t>
        </is>
      </c>
      <c r="AF157" s="18" t="n"/>
      <c r="AG157" s="19" t="inlineStr">
        <is>
          <t>No meaningful romance</t>
        </is>
      </c>
      <c r="AH157" s="5" t="n"/>
      <c r="AI157" s="5" t="n"/>
      <c r="AJ157" s="5" t="n"/>
      <c r="AK157" s="5" t="n"/>
      <c r="AL157" s="5" t="n"/>
      <c r="AM157" s="5" t="n"/>
      <c r="AN157" s="5" t="n"/>
      <c r="AO157" s="18" t="n"/>
      <c r="AP157" s="19" t="n"/>
      <c r="AQ157" s="19" t="n"/>
      <c r="AR157" s="5" t="inlineStr">
        <is>
          <t>SOURCE-001; SOURCE-147</t>
        </is>
      </c>
      <c r="AS157" s="5" t="inlineStr">
        <is>
          <t>Medium</t>
        </is>
      </c>
      <c r="AT157" s="5" t="inlineStr">
        <is>
          <t>Infobox release dates: 2018-05-13 (Cannes); 2018-09-21 (India). Infobox gross '₹3.71 crore' has no nett/gross label and is not entered. The table's role field reads 'Producer', which is the character, not a production credit: the film's cast list reads 'Rishi Kapoor as Film Producer'. Kept as an acting appearance. Credited only as Film Producer, with no character name, in a cast that uses many well-known figures in small parts, among them Javed Akhtar, Paresh Rawal, Divya Dutta and Ila Arun. The filmography table gives the credit as 'Producer'. The infobox groups its music credits under the labels 'Songs' and 'Background Score'; the songs are by Sneha Khanwalkar and Raftaar and the background score is by Zakir Hussain, so the labels themselves are not composer credits.</t>
        </is>
      </c>
    </row>
    <row r="158" ht="139" customHeight="1">
      <c r="A158" s="15" t="inlineStr">
        <is>
          <t>FILM-157</t>
        </is>
      </c>
      <c r="B158" s="5" t="inlineStr">
        <is>
          <t>Rajma Chawal</t>
        </is>
      </c>
      <c r="C158" s="16" t="n">
        <v>43434</v>
      </c>
      <c r="D158" s="17" t="n">
        <v>2018</v>
      </c>
      <c r="E158" s="5" t="inlineStr">
        <is>
          <t>2010s</t>
        </is>
      </c>
      <c r="F158" s="5" t="inlineStr">
        <is>
          <t>Hindi</t>
        </is>
      </c>
      <c r="G158" s="5" t="inlineStr">
        <is>
          <t>Comedy drama</t>
        </is>
      </c>
      <c r="H158" s="5" t="inlineStr">
        <is>
          <t>Family drama</t>
        </is>
      </c>
      <c r="I158" s="17" t="n">
        <v>129</v>
      </c>
      <c r="J158" s="5" t="inlineStr">
        <is>
          <t>Leena Yadav</t>
        </is>
      </c>
      <c r="K158" s="5" t="inlineStr">
        <is>
          <t>Leena Yadav; Aseem Bajaj; Gulab Singh Tanwar</t>
        </is>
      </c>
      <c r="L158" s="5" t="inlineStr">
        <is>
          <t>SaarthiE Entertainment</t>
        </is>
      </c>
      <c r="M158" s="5" t="inlineStr">
        <is>
          <t>Vivek Anchalia; Manu Rishi Chadha; Leena Yadav</t>
        </is>
      </c>
      <c r="N158" s="5" t="n"/>
      <c r="O158" s="5" t="inlineStr">
        <is>
          <t>Hitesh Sonik</t>
        </is>
      </c>
      <c r="P158" s="5" t="n"/>
      <c r="Q158" s="5" t="inlineStr">
        <is>
          <t>Irshad Kamil</t>
        </is>
      </c>
      <c r="R158" s="5" t="inlineStr">
        <is>
          <t>Raj Mathur</t>
        </is>
      </c>
      <c r="S158" s="5" t="n"/>
      <c r="T158" s="5" t="inlineStr">
        <is>
          <t>Lead</t>
        </is>
      </c>
      <c r="U158" s="20" t="n">
        <v>1</v>
      </c>
      <c r="V158" s="5" t="inlineStr">
        <is>
          <t>Not documented</t>
        </is>
      </c>
      <c r="W158" s="5" t="inlineStr">
        <is>
          <t>A widower who moves himself and his son from their New Delhi house back to the family's old house in Chandni Chowk after his wife's death</t>
        </is>
      </c>
      <c r="X158" s="19" t="inlineStr">
        <is>
          <t>Raj Mathur cannot talk to the son he is now alone with, so he joins Facebook to reach him and is blocked. At his mother's suggestion he steals the identity of a girl who has left the platform and, as 'Tara', becomes the confidante his son will not let his father be, listening to Kabir grieve his mother and eventually hearing his own poem sung back to him as a song.</t>
        </is>
      </c>
      <c r="Y158" s="19" t="inlineStr">
        <is>
          <t>To reach a son who will not speak to him, by any means available.</t>
        </is>
      </c>
      <c r="Z158" s="19" t="inlineStr">
        <is>
          <t>A grieving son who blames him for the move and for everything else, and a deception that has a real young woman attached to it.</t>
        </is>
      </c>
      <c r="AA158" s="19" t="inlineStr">
        <is>
          <t>From a father shouting across a silence to one who has to face his son having impersonated a woman to be heard.</t>
        </is>
      </c>
      <c r="AB158" s="19" t="inlineStr">
        <is>
          <t>Morally mixed</t>
        </is>
      </c>
      <c r="AC158" s="5" t="inlineStr">
        <is>
          <t>Not documented in full; the article's plot breaks off as Kabir leaves to find 'Tara' and Raj recognises Seher.</t>
        </is>
      </c>
      <c r="AD158" s="5" t="n"/>
      <c r="AE158" s="5" t="inlineStr">
        <is>
          <t>Minor</t>
        </is>
      </c>
      <c r="AF158" s="20" t="n">
        <v>5</v>
      </c>
      <c r="AG158" s="19" t="inlineStr">
        <is>
          <t>Romance subordinate to another genre</t>
        </is>
      </c>
      <c r="AH158" s="5" t="n"/>
      <c r="AI158" s="5" t="n"/>
      <c r="AJ158" s="5" t="n"/>
      <c r="AK158" s="5" t="n"/>
      <c r="AL158" s="5" t="n"/>
      <c r="AM158" s="5" t="n"/>
      <c r="AN158" s="5" t="n"/>
      <c r="AO158" s="18" t="n"/>
      <c r="AP158" s="19" t="n"/>
      <c r="AQ158" s="19" t="n"/>
      <c r="AR158" s="5" t="inlineStr">
        <is>
          <t>SOURCE-001; SOURCE-149</t>
        </is>
      </c>
      <c r="AS158" s="5" t="inlineStr">
        <is>
          <t>Medium</t>
        </is>
      </c>
      <c r="AT158" s="5" t="inlineStr">
        <is>
          <t>Top-billed. The poem Raj wrote for his dead wife, which Kabir sets to music believing it was written by Tara's father for Tara's mother, is the one romantic element in the role; the wife does not appear and no actress is credited for her, so romance presence is Minor and no Romances row is created. Amyra Dastur plays Seher, the woman whose identity he steals, and her thread involves an abusive boyfriend rather than any relationship with Kapoor's character.</t>
        </is>
      </c>
    </row>
    <row r="159" ht="154" customHeight="1">
      <c r="A159" s="15" t="inlineStr">
        <is>
          <t>FILM-158</t>
        </is>
      </c>
      <c r="B159" s="5" t="inlineStr">
        <is>
          <t>Jhootha Kahin Ka</t>
        </is>
      </c>
      <c r="C159" s="16" t="n">
        <v>43665</v>
      </c>
      <c r="D159" s="17" t="n">
        <v>2019</v>
      </c>
      <c r="E159" s="5" t="inlineStr">
        <is>
          <t>2010s</t>
        </is>
      </c>
      <c r="F159" s="5" t="inlineStr">
        <is>
          <t>Hindi</t>
        </is>
      </c>
      <c r="G159" s="5" t="inlineStr">
        <is>
          <t>Comedy drama</t>
        </is>
      </c>
      <c r="H159" s="5" t="n"/>
      <c r="I159" s="17" t="n">
        <v>133</v>
      </c>
      <c r="J159" s="5" t="inlineStr">
        <is>
          <t>Smeep Kang</t>
        </is>
      </c>
      <c r="K159" s="5" t="inlineStr">
        <is>
          <t>Deepak Mukut; Anuj Sharma; Vinay Gupta</t>
        </is>
      </c>
      <c r="L159" s="5" t="inlineStr">
        <is>
          <t>Soham Rockstar Entertainment; Shantketan Entertainments; VinR Films</t>
        </is>
      </c>
      <c r="M159" s="5" t="inlineStr">
        <is>
          <t>Shreya Srivastava; Vaibhav Suman</t>
        </is>
      </c>
      <c r="N159" s="5" t="inlineStr">
        <is>
          <t>Based on Akkineni Sumanth &amp; Raj Tarun's Abbadham Cheppevaadu</t>
        </is>
      </c>
      <c r="O159" s="5" t="inlineStr">
        <is>
          <t>Yo Yo Honey Singh; Amjad Nadeem–Aamir; Sanjeev–Ajay; Rahul Jain; Kashi Richard; Sidhant Madhav</t>
        </is>
      </c>
      <c r="P159" s="5" t="n"/>
      <c r="Q159" s="5" t="inlineStr">
        <is>
          <t>Amjad Nadeem; Lil Golu; Sanjeev Chaturvedi; Alok Ranjan Jha</t>
        </is>
      </c>
      <c r="R159" s="5" t="inlineStr">
        <is>
          <t>Yograj Singh</t>
        </is>
      </c>
      <c r="S159" s="5" t="n"/>
      <c r="T159" s="5" t="inlineStr">
        <is>
          <t>Lead</t>
        </is>
      </c>
      <c r="U159" s="20" t="n">
        <v>1</v>
      </c>
      <c r="V159" s="5" t="inlineStr">
        <is>
          <t>Farmer in Punjab; the article elsewhere calls him a retired police inspector</t>
        </is>
      </c>
      <c r="W159" s="5" t="inlineStr">
        <is>
          <t>A widower living with his brother-in-law, with a son studying in Mauritius who will not come home</t>
        </is>
      </c>
      <c r="X159" s="19" t="inlineStr">
        <is>
          <t>Yograj Singh is a widowed father whose son Varun has no job ten months after finishing his studies and no intention of returning to help with the farm. Angered by the boy's contempt for village life, Yograj eventually moves to Mauritius himself and rents the bungalow next door to his son's father-in-law, which forces Varun into a double life between two houses that each believe something different about who is married to whom.</t>
        </is>
      </c>
      <c r="Y159" s="19" t="inlineStr">
        <is>
          <t>To have his son back, and failing that to go to where his son is.</t>
        </is>
      </c>
      <c r="Z159" s="19" t="inlineStr">
        <is>
          <t>A son who has married secretly and is now managing two households that must not meet.</t>
        </is>
      </c>
      <c r="AA159" s="19" t="inlineStr">
        <is>
          <t>From a father resentful at a distance to one living next door to the deception his son has built.</t>
        </is>
      </c>
      <c r="AB159" s="19" t="inlineStr">
        <is>
          <t>Good</t>
        </is>
      </c>
      <c r="AC159" s="5" t="inlineStr">
        <is>
          <t>Not documented; the article's plot breaks off in the middle of Varun's double life.</t>
        </is>
      </c>
      <c r="AD159" s="5" t="n"/>
      <c r="AE159" s="5" t="inlineStr">
        <is>
          <t>None</t>
        </is>
      </c>
      <c r="AF159" s="18" t="n"/>
      <c r="AG159" s="19" t="inlineStr">
        <is>
          <t>No meaningful romance</t>
        </is>
      </c>
      <c r="AH159" s="5" t="n"/>
      <c r="AI159" s="5" t="n"/>
      <c r="AJ159" s="5" t="n"/>
      <c r="AK159" s="5" t="n"/>
      <c r="AL159" s="5" t="n"/>
      <c r="AM159" s="5" t="n"/>
      <c r="AN159" s="5" t="n"/>
      <c r="AO159" s="18" t="n"/>
      <c r="AP159" s="19" t="n"/>
      <c r="AQ159" s="19" t="n"/>
      <c r="AR159" s="5" t="inlineStr">
        <is>
          <t>SOURCE-001; SOURCE-150</t>
        </is>
      </c>
      <c r="AS159" s="5" t="inlineStr">
        <is>
          <t>Low</t>
        </is>
      </c>
      <c r="AT159" s="5" t="inlineStr">
        <is>
          <t>Infobox gross '₹ 2.57 crore' has no nett/gross label and is not entered. Top-billed. The article's account is internally inconsistent about the character, describing him in consecutive sentences as a farmer in Punjab and as a retired police inspector and widower; both are recorded rather than resolved, which is the reason for the Low confidence grade. The title duplicates that of FILM-025, Jhoota Kahin Ka (1979), in which he played the lead forty years earlier; the two films are unrelated.</t>
        </is>
      </c>
    </row>
    <row r="160" ht="109" customHeight="1">
      <c r="A160" s="15" t="inlineStr">
        <is>
          <t>FILM-159</t>
        </is>
      </c>
      <c r="B160" s="5" t="inlineStr">
        <is>
          <t>The Body</t>
        </is>
      </c>
      <c r="C160" s="16" t="n">
        <v>43812</v>
      </c>
      <c r="D160" s="17" t="n">
        <v>2019</v>
      </c>
      <c r="E160" s="5" t="inlineStr">
        <is>
          <t>2010s</t>
        </is>
      </c>
      <c r="F160" s="5" t="inlineStr">
        <is>
          <t>Hindi</t>
        </is>
      </c>
      <c r="G160" s="5" t="inlineStr">
        <is>
          <t>Mystery thriller</t>
        </is>
      </c>
      <c r="H160" s="5" t="n"/>
      <c r="I160" s="17" t="n">
        <v>100</v>
      </c>
      <c r="J160" s="5" t="inlineStr">
        <is>
          <t>Jeethu Joseph</t>
        </is>
      </c>
      <c r="K160" s="5" t="inlineStr">
        <is>
          <t>Sunir Kheterpal</t>
        </is>
      </c>
      <c r="L160" s="5" t="inlineStr">
        <is>
          <t>Viacom18 Motion Pictures; Azure Entertainment</t>
        </is>
      </c>
      <c r="M160" s="5" t="inlineStr">
        <is>
          <t>Jeethu Joseph; Oriol Paulo</t>
        </is>
      </c>
      <c r="N160" s="5" t="inlineStr">
        <is>
          <t>Based on The Body by Oriol Paulo</t>
        </is>
      </c>
      <c r="O160" s="5" t="inlineStr">
        <is>
          <t>Shamir Tandon; Arko; Tanishk Bagchi</t>
        </is>
      </c>
      <c r="P160" s="5" t="inlineStr">
        <is>
          <t>Clinton Cerejo</t>
        </is>
      </c>
      <c r="Q160" s="5" t="inlineStr">
        <is>
          <t>Arko; Sameer; Manoj Muntashir; Kumaar</t>
        </is>
      </c>
      <c r="R160" s="5" t="inlineStr">
        <is>
          <t>SP Jairaj Rawal</t>
        </is>
      </c>
      <c r="S160" s="5" t="n"/>
      <c r="T160" s="5" t="inlineStr">
        <is>
          <t>Lead</t>
        </is>
      </c>
      <c r="U160" s="20" t="n">
        <v>1</v>
      </c>
      <c r="V160" s="5" t="inlineStr">
        <is>
          <t>Superintendent of Police</t>
        </is>
      </c>
      <c r="W160" s="5" t="inlineStr">
        <is>
          <t>A widower whose wife was killed by a hit-and-run driver, and whose daughter is inside the case he is investigating</t>
        </is>
      </c>
      <c r="X160" s="19" t="inlineStr">
        <is>
          <t>SP Jairaj Rawal investigates the disappearance of a businesswoman's body from the morgue, calls in her husband Ajay, and confines him there until the corpse is found. The hauntings that follow break Ajay into confessing the murder, and the film's last turn is that Jairaj engineered all of it: the dead woman and Ajay had killed his wife in a hit-and-run, and the mistress Ajay has been protecting is Jairaj's own daughter.</t>
        </is>
      </c>
      <c r="Y160" s="19" t="inlineStr">
        <is>
          <t>To make his wife's killer confess, by staging a haunting no court could have produced.</t>
        </is>
      </c>
      <c r="Z160" s="19" t="inlineStr">
        <is>
          <t>A murderer who cannot be convicted by evidence, and a plan that requires his own daughter to be inside it.</t>
        </is>
      </c>
      <c r="AA160" s="19" t="inlineStr">
        <is>
          <t>From an investigating officer to the author of the entire investigation, revealed as a father avenging a wife.</t>
        </is>
      </c>
      <c r="AB160" s="19" t="inlineStr">
        <is>
          <t>Morally mixed</t>
        </is>
      </c>
      <c r="AC160" s="5" t="inlineStr">
        <is>
          <t>Obtains the confession and orders the arrest, his plan complete.</t>
        </is>
      </c>
      <c r="AD160" s="5" t="n"/>
      <c r="AE160" s="5" t="inlineStr">
        <is>
          <t>None</t>
        </is>
      </c>
      <c r="AF160" s="18" t="n"/>
      <c r="AG160" s="19" t="inlineStr">
        <is>
          <t>No meaningful romance</t>
        </is>
      </c>
      <c r="AH160" s="5" t="n"/>
      <c r="AI160" s="5" t="n"/>
      <c r="AJ160" s="5" t="n"/>
      <c r="AK160" s="5" t="n"/>
      <c r="AL160" s="5" t="n"/>
      <c r="AM160" s="5" t="n"/>
      <c r="AN160" s="5" t="n"/>
      <c r="AO160" s="18" t="n"/>
      <c r="AP160" s="19" t="inlineStr">
        <is>
          <t>Reviewed poorly; Hindustan Times noted that the flashbacks are each topped with a romantic song and that there is not much to unravel in it.</t>
        </is>
      </c>
      <c r="AQ160" s="19" t="inlineStr">
        <is>
          <t>The last film released in Kapoor's lifetime, in December 2019, four months before his death.</t>
        </is>
      </c>
      <c r="AR160" s="5" t="inlineStr">
        <is>
          <t>SOURCE-001; SOURCE-151</t>
        </is>
      </c>
      <c r="AS160" s="5" t="inlineStr">
        <is>
          <t>Medium</t>
        </is>
      </c>
      <c r="AT160" s="5" t="inlineStr">
        <is>
          <t>Infobox gross '₹3.47 crore' has no nett/gross label and is not entered. Top-billed. The dead wife Nancy, whose killing is the motive for everything, does not appear as a credited role and no actress is listed for her, so romance presence is None and no Romances row is created. Vedhika plays his daughter Isha under the false name Ritu.</t>
        </is>
      </c>
    </row>
    <row r="161" ht="229" customHeight="1">
      <c r="A161" s="15" t="inlineStr">
        <is>
          <t>FILM-160</t>
        </is>
      </c>
      <c r="B161" s="5" t="inlineStr">
        <is>
          <t>Sharmaji Namkeen</t>
        </is>
      </c>
      <c r="C161" s="16" t="n">
        <v>44651</v>
      </c>
      <c r="D161" s="17" t="n">
        <v>2022</v>
      </c>
      <c r="E161" s="5" t="inlineStr">
        <is>
          <t>2020s</t>
        </is>
      </c>
      <c r="F161" s="5" t="inlineStr">
        <is>
          <t>Hindi</t>
        </is>
      </c>
      <c r="G161" s="5" t="inlineStr">
        <is>
          <t>Comedy drama</t>
        </is>
      </c>
      <c r="H161" s="5" t="inlineStr">
        <is>
          <t>Family drama</t>
        </is>
      </c>
      <c r="I161" s="17" t="n">
        <v>119</v>
      </c>
      <c r="J161" s="5" t="inlineStr">
        <is>
          <t>Hitesh Bhatia</t>
        </is>
      </c>
      <c r="K161" s="5" t="inlineStr">
        <is>
          <t>Farhan Akhtar; Ritesh Sidhwani; Honey Trehan; Abhishek Chaubey</t>
        </is>
      </c>
      <c r="L161" s="5" t="inlineStr">
        <is>
          <t>Excel Entertainment; MacGuffin Pictures</t>
        </is>
      </c>
      <c r="M161" s="5" t="inlineStr">
        <is>
          <t>Supratik Sen; Hitesh Bhatia</t>
        </is>
      </c>
      <c r="N161" s="5" t="n"/>
      <c r="O161" s="5" t="inlineStr">
        <is>
          <t>Sneha Khanwalkar</t>
        </is>
      </c>
      <c r="P161" s="5" t="n"/>
      <c r="Q161" s="5" t="inlineStr">
        <is>
          <t>Gopal Datt</t>
        </is>
      </c>
      <c r="R161" s="5" t="inlineStr">
        <is>
          <t>Brij Gopal Sharma "Sharmaji"</t>
        </is>
      </c>
      <c r="S161" s="5" t="n"/>
      <c r="T161" s="5" t="inlineStr">
        <is>
          <t>Lead</t>
        </is>
      </c>
      <c r="U161" s="20" t="n">
        <v>1</v>
      </c>
      <c r="V161" s="5" t="inlineStr">
        <is>
          <t>Retired from Madhuban Home Appliances at fifty-eight; then a cook for kitty parties</t>
        </is>
      </c>
      <c r="W161" s="5" t="inlineStr">
        <is>
          <t>A middle-class Delhi widower in a small house in Subhash Nagar with two grown sons and no intention of moving</t>
        </is>
      </c>
      <c r="X161" s="19" t="inlineStr">
        <is>
          <t>Sharmaji is retired at fifty-eight against his will and refuses to be finished. Bored through Zumba classes and property brokerage, he is talked into cooking for kitty parties and finds both a vocation and a circle, including Veena Manchanda; his sons are humiliated when a video of him dancing at one of the parties reaches the extended family, and he goes on anyway.</t>
        </is>
      </c>
      <c r="Y161" s="19" t="inlineStr">
        <is>
          <t>To keep wanting things after being told he is done.</t>
        </is>
      </c>
      <c r="Z161" s="19" t="inlineStr">
        <is>
          <t>Two sons embarrassed by their father's late reinvention, one of them quietly selling the family's position out from under him.</t>
        </is>
      </c>
      <c r="AA161" s="19" t="inlineStr">
        <is>
          <t>From a man annoyed into idleness by a forced retirement to one with a vocation, a circle and a companion, held against his children's disapproval.</t>
        </is>
      </c>
      <c r="AB161" s="19" t="inlineStr">
        <is>
          <t>Good</t>
        </is>
      </c>
      <c r="AC161" s="5" t="inlineStr">
        <is>
          <t>Not documented in full; the article's plot breaks off in the family's dispute over Rinku's apartment deal.</t>
        </is>
      </c>
      <c r="AD161" s="5" t="inlineStr">
        <is>
          <t>Juhi Chawla</t>
        </is>
      </c>
      <c r="AE161" s="5" t="inlineStr">
        <is>
          <t>Implied</t>
        </is>
      </c>
      <c r="AF161" s="20" t="n">
        <v>6</v>
      </c>
      <c r="AG161" s="19" t="inlineStr">
        <is>
          <t>Friendship to love</t>
        </is>
      </c>
      <c r="AH161" s="5" t="n"/>
      <c r="AI161" s="5" t="n"/>
      <c r="AJ161" s="5" t="n"/>
      <c r="AK161" s="5" t="n"/>
      <c r="AL161" s="5" t="n"/>
      <c r="AM161" s="5" t="n"/>
      <c r="AN161" s="5" t="n"/>
      <c r="AO161" s="18" t="n"/>
      <c r="AP161" s="19" t="inlineStr">
        <is>
          <t>Reviewed almost entirely as a farewell. Sukanya Verma of Rediff gave four out of five and called it Kapoor's swansong and show; Simran Singh of DNA India and Shubham Kulkarni of Koimoi gave three and a half each; Shubhra Gupta of the Indian Express, at two and a half, still wrote that he is truly namkeen in it, light on his feet and light in his eyes, with a will to live. Tushar Joshi of India Today called it a reminder of the actor who had been lost.</t>
        </is>
      </c>
      <c r="AQ161" s="19" t="inlineStr">
        <is>
          <t>Kapoor's final film, released posthumously in 2022. He died on 30 April 2020 before shooting was complete, and Paresh Rawal plays Sharmaji in the scenes not featuring him, filmed afterwards.</t>
        </is>
      </c>
      <c r="AR161" s="5" t="inlineStr">
        <is>
          <t>SOURCE-001; SOURCE-152</t>
        </is>
      </c>
      <c r="AS161" s="5" t="inlineStr">
        <is>
          <t>High</t>
        </is>
      </c>
      <c r="AT161" s="5" t="inlineStr">
        <is>
          <t>Filmography notes: Posthumous release. Released posthumously in 2022. Kapoor died on 30 April 2020 with the film incomplete; the role was finished by another actor. The Body (December 2019) was the last film released in his lifetime. Top-billed, and the only film in the filmography in which another actor completes his role: Paresh Rawal appears as Sharmaji in the scenes shot after Kapoor's death. Romance presence is recorded as Implied rather than higher because the article documents Sharmaji and Veena bonding over the kitty parties and becoming close friends and goes no further; a Romances row is created on that basis with a Low confidence grade and the romantic reading left open rather than asserted. Juhi Chawla's eleventh and last film with him.</t>
        </is>
      </c>
    </row>
  </sheetData>
  <autoFilter ref="A1:AT161"/>
  <conditionalFormatting sqref="AF2:AF361">
    <cfRule type="colorScale" priority="1">
      <colorScale>
        <cfvo type="num" val="0"/>
        <cfvo type="num" val="5"/>
        <cfvo type="num" val="10"/>
        <color rgb="00FFFFFF"/>
        <color rgb="00FCE7B2"/>
        <color rgb="00E07B39"/>
      </colorScale>
    </cfRule>
  </conditionalFormatting>
  <dataValidations count="5">
    <dataValidation sqref="T2:T361" showDropDown="0" showInputMessage="0" showErrorMessage="1" allowBlank="1" errorTitle="Role Type" error="Choose a value from the list." type="list">
      <formula1>"Lead,Co-lead,Ensemble lead,Supporting,Antagonist,Extended special appearance,Cameo,Self appearance,Voice role,Narrator,Child role"</formula1>
    </dataValidation>
    <dataValidation sqref="AE2:AE361" showDropDown="0" showInputMessage="0" showErrorMessage="1" allowBlank="1" errorTitle="Romance Presence" error="Choose a value from the list." type="list">
      <formula1>"None,Implied,Minor,Secondary,Major,Central"</formula1>
    </dataValidation>
    <dataValidation sqref="AF2:AF361" showDropDown="0" showInputMessage="0" showErrorMessage="1" allowBlank="1" errorTitle="Romance Centrality Score" error="Enter a score from 0 to 10." type="decimal" operator="between">
      <formula1>0</formula1>
      <formula2>10</formula2>
    </dataValidation>
    <dataValidation sqref="AG2:AG361" showDropDown="0" showInputMessage="0" showErrorMessage="1" allowBlank="1" errorTitle="Overall Relationship Classification" error="Choose a value from the list." type="list">
      <formula1>Overview!$AN$2:$AN$20</formula1>
    </dataValidation>
    <dataValidation sqref="AS2:AS361" showDropDown="0" showInputMessage="0" showErrorMessage="1" allowBlank="1" errorTitle="Confidence Grade" error="Choose a value from the list." type="list">
      <formula1>"High,Medium,Low,Unknown"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9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24" customWidth="1" min="3" max="3"/>
    <col width="9" customWidth="1" min="4" max="4"/>
    <col width="20" customWidth="1" min="5" max="5"/>
    <col width="20" customWidth="1" min="6" max="6"/>
    <col width="20" customWidth="1" min="7" max="7"/>
    <col width="18" customWidth="1" min="8" max="8"/>
    <col width="14" customWidth="1" min="9" max="9"/>
    <col width="30" customWidth="1" min="10" max="10"/>
    <col width="22" customWidth="1" min="11" max="11"/>
    <col width="36" customWidth="1" min="12" max="12"/>
    <col width="18" customWidth="1" min="13" max="13"/>
    <col width="36" customWidth="1" min="14" max="14"/>
    <col width="36" customWidth="1" min="15" max="15"/>
    <col width="36" customWidth="1" min="16" max="16"/>
    <col width="10" customWidth="1" min="17" max="17"/>
    <col width="40" customWidth="1" min="18" max="18"/>
    <col width="10" customWidth="1" min="19" max="19"/>
    <col width="24" customWidth="1" min="20" max="20"/>
    <col width="40" customWidth="1" min="21" max="21"/>
    <col width="10" customWidth="1" min="22" max="22"/>
    <col width="40" customWidth="1" min="23" max="23"/>
    <col width="10" customWidth="1" min="24" max="24"/>
    <col width="10" customWidth="1" min="25" max="25"/>
    <col width="10" customWidth="1" min="26" max="26"/>
    <col width="10" customWidth="1" min="27" max="27"/>
    <col width="10" customWidth="1" min="28" max="28"/>
    <col width="36" customWidth="1" min="29" max="29"/>
    <col width="13" customWidth="1" min="30" max="30"/>
    <col width="13" customWidth="1" min="31" max="31"/>
    <col width="14" customWidth="1" min="32" max="32"/>
    <col width="14" customWidth="1" min="33" max="33"/>
    <col width="14" customWidth="1" min="34" max="34"/>
    <col width="13" customWidth="1" min="35" max="35"/>
    <col width="14" customWidth="1" min="36" max="36"/>
    <col width="36" customWidth="1" min="37" max="37"/>
    <col width="36" customWidth="1" min="38" max="38"/>
    <col width="30" customWidth="1" min="39" max="39"/>
    <col width="14" customWidth="1" min="40" max="40"/>
    <col width="16" customWidth="1" min="41" max="41"/>
    <col width="30" customWidth="1" min="42" max="42"/>
    <col width="60" customWidth="1" min="43" max="43"/>
    <col width="50" customWidth="1" min="44" max="44"/>
    <col width="22" customWidth="1" min="45" max="45"/>
    <col width="12" customWidth="1" min="46" max="46"/>
  </cols>
  <sheetData>
    <row r="1" ht="51" customHeight="1">
      <c r="A1" s="12" t="inlineStr">
        <is>
          <t>Pairing ID</t>
        </is>
      </c>
      <c r="B1" s="12" t="inlineStr">
        <is>
          <t>Film ID</t>
        </is>
      </c>
      <c r="C1" s="12" t="inlineStr">
        <is>
          <t>Film</t>
        </is>
      </c>
      <c r="D1" s="12" t="inlineStr">
        <is>
          <t>Release Year</t>
        </is>
      </c>
      <c r="E1" s="12" t="inlineStr">
        <is>
          <t>Actor’s Character</t>
        </is>
      </c>
      <c r="F1" s="12" t="inlineStr">
        <is>
          <t>Actress</t>
        </is>
      </c>
      <c r="G1" s="12" t="inlineStr">
        <is>
          <t>Actress’s Character</t>
        </is>
      </c>
      <c r="H1" s="12" t="inlineStr">
        <is>
          <t>Actress Role Prominence</t>
        </is>
      </c>
      <c r="I1" s="12" t="inlineStr">
        <is>
          <t>Principal Female Lead</t>
        </is>
      </c>
      <c r="J1" s="13" t="inlineStr">
        <is>
          <t>Relationship Category</t>
        </is>
      </c>
      <c r="K1" s="12" t="inlineStr">
        <is>
          <t>Initial Relationship</t>
        </is>
      </c>
      <c r="L1" s="12" t="inlineStr">
        <is>
          <t>How They Meet</t>
        </is>
      </c>
      <c r="M1" s="12" t="inlineStr">
        <is>
          <t>Who Initiates</t>
        </is>
      </c>
      <c r="N1" s="13" t="inlineStr">
        <is>
          <t>Courtship Pattern</t>
        </is>
      </c>
      <c r="O1" s="13" t="inlineStr">
        <is>
          <t>Emotional Dynamic</t>
        </is>
      </c>
      <c r="P1" s="13" t="inlineStr">
        <is>
          <t>Pair’s Principal Conflict</t>
        </is>
      </c>
      <c r="Q1" s="14" t="inlineStr">
        <is>
          <t>Pair Friction Score</t>
        </is>
      </c>
      <c r="R1" s="13" t="inlineStr">
        <is>
          <t>Pair Friction Explanation</t>
        </is>
      </c>
      <c r="S1" s="14" t="inlineStr">
        <is>
          <t>External Opposition Score</t>
        </is>
      </c>
      <c r="T1" s="12" t="inlineStr">
        <is>
          <t>External Opposition Source</t>
        </is>
      </c>
      <c r="U1" s="13" t="inlineStr">
        <is>
          <t>External Opposition Explanation</t>
        </is>
      </c>
      <c r="V1" s="14" t="inlineStr">
        <is>
          <t>Lover-Boy Score</t>
        </is>
      </c>
      <c r="W1" s="13" t="inlineStr">
        <is>
          <t>Lover-Boy Explanation</t>
        </is>
      </c>
      <c r="X1" s="14" t="inlineStr">
        <is>
          <t>Romance Centrality Score</t>
        </is>
      </c>
      <c r="Y1" s="14" t="inlineStr">
        <is>
          <t>Relationship Health Score</t>
        </is>
      </c>
      <c r="Z1" s="14" t="inlineStr">
        <is>
          <t>Mutuality Score</t>
        </is>
      </c>
      <c r="AA1" s="14" t="inlineStr">
        <is>
          <t>Female Agency Score</t>
        </is>
      </c>
      <c r="AB1" s="14" t="inlineStr">
        <is>
          <t>Chemistry Score</t>
        </is>
      </c>
      <c r="AC1" s="13" t="inlineStr">
        <is>
          <t>Chemistry Explanation</t>
        </is>
      </c>
      <c r="AD1" s="12" t="inlineStr">
        <is>
          <t>Playful Banter</t>
        </is>
      </c>
      <c r="AE1" s="12" t="inlineStr">
        <is>
          <t>Serious Conflict</t>
        </is>
      </c>
      <c r="AF1" s="12" t="inlineStr">
        <is>
          <t>Jealousy or Possessiveness</t>
        </is>
      </c>
      <c r="AG1" s="12" t="inlineStr">
        <is>
          <t>Deception or Mistaken Identity</t>
        </is>
      </c>
      <c r="AH1" s="12" t="inlineStr">
        <is>
          <t>Separation or Estrangement</t>
        </is>
      </c>
      <c r="AI1" s="12" t="inlineStr">
        <is>
          <t>Sacrifice</t>
        </is>
      </c>
      <c r="AJ1" s="12" t="inlineStr">
        <is>
          <t>Couple Functions as Team</t>
        </is>
      </c>
      <c r="AK1" s="13" t="inlineStr">
        <is>
          <t>Romantic Transformation of Actor’s Character</t>
        </is>
      </c>
      <c r="AL1" s="13" t="inlineStr">
        <is>
          <t>Transformation of Female Character</t>
        </is>
      </c>
      <c r="AM1" s="12" t="inlineStr">
        <is>
          <t>Relationship Outcome</t>
        </is>
      </c>
      <c r="AN1" s="12" t="inlineStr">
        <is>
          <t>Marriage or Long-Term Union</t>
        </is>
      </c>
      <c r="AO1" s="12" t="inlineStr">
        <is>
          <t>Happy, Tragic or Unresolved Ending</t>
        </is>
      </c>
      <c r="AP1" s="12" t="inlineStr">
        <is>
          <t>Major Romantic Songs</t>
        </is>
      </c>
      <c r="AQ1" s="13" t="inlineStr">
        <is>
          <t>Relationship Analysis</t>
        </is>
      </c>
      <c r="AR1" s="13" t="inlineStr">
        <is>
          <t>Contemporary Critical Reading</t>
        </is>
      </c>
      <c r="AS1" s="12" t="inlineStr">
        <is>
          <t>Source IDs</t>
        </is>
      </c>
      <c r="AT1" s="12" t="inlineStr">
        <is>
          <t>Confidence Grade</t>
        </is>
      </c>
    </row>
    <row r="2" ht="124" customHeight="1">
      <c r="A2" s="15" t="inlineStr">
        <is>
          <t>PAIR-024</t>
        </is>
      </c>
      <c r="B2" s="18" t="inlineStr">
        <is>
          <t>FILM-002</t>
        </is>
      </c>
      <c r="C2" s="5" t="inlineStr">
        <is>
          <t>Mera Naam Joker</t>
        </is>
      </c>
      <c r="D2" s="17" t="n">
        <v>1970</v>
      </c>
      <c r="E2" s="5" t="inlineStr">
        <is>
          <t>Young Raju</t>
        </is>
      </c>
      <c r="F2" s="5" t="inlineStr">
        <is>
          <t>Simi Garewal</t>
        </is>
      </c>
      <c r="G2" s="5" t="inlineStr">
        <is>
          <t>Mary</t>
        </is>
      </c>
      <c r="H2" s="5" t="inlineStr">
        <is>
          <t>Female lead of the film's first chapter</t>
        </is>
      </c>
      <c r="I2" s="5" t="inlineStr">
        <is>
          <t>Partial</t>
        </is>
      </c>
      <c r="J2" s="19" t="inlineStr">
        <is>
          <t>Unrequited love</t>
        </is>
      </c>
      <c r="K2" s="5" t="inlineStr">
        <is>
          <t>Teacher and pupil</t>
        </is>
      </c>
      <c r="L2" s="5" t="inlineStr">
        <is>
          <t>Mary arrives as a new teacher at the Christian school where Raju is the poorest boy and the class clown, and encourages him to find an ambition.</t>
        </is>
      </c>
      <c r="M2" s="5" t="inlineStr">
        <is>
          <t>Raju, silently and entirely one-sidedly</t>
        </is>
      </c>
      <c r="N2" s="19" t="inlineStr">
        <is>
          <t>There is no courtship. A boy's first desire fixes on the one adult who is kind to him, expresses itself in a gift and a hidden drawing, and is never declared.</t>
        </is>
      </c>
      <c r="O2" s="19" t="inlineStr">
        <is>
          <t>Her warmth is teacherly and consistent; his is an overwhelming private longing she is not told about until it no longer matters.</t>
        </is>
      </c>
      <c r="P2" s="19" t="inlineStr">
        <is>
          <t>None between them. The obstacle is what he is: a schoolboy in love with a grown woman who is engaged.</t>
        </is>
      </c>
      <c r="Q2" s="20" t="n">
        <v>1</v>
      </c>
      <c r="R2" s="19" t="inlineStr">
        <is>
          <t>Mary is never unkind and Raju never presses a claim. When she finds him at confession insisting he is not a child, she simply tells him a child cannot have sinned; the film locates the pain in the asymmetry rather than in any quarrel.</t>
        </is>
      </c>
      <c r="S2" s="20" t="n">
        <v>7</v>
      </c>
      <c r="T2" s="5" t="inlineStr">
        <is>
          <t>Existing relationship; Other</t>
        </is>
      </c>
      <c r="U2" s="19" t="inlineStr">
        <is>
          <t>Mary has a companion, David, whom she marries; beyond that the barrier is structural, his age and her position as his teacher. David's suspicion, and his discovery of the paper with her picture ringed by a heart, is the only hostility directed at Raju, and even that ends with David handing the toy clown back.</t>
        </is>
      </c>
      <c r="V2" s="20" t="n">
        <v>6</v>
      </c>
      <c r="W2" s="19" t="inlineStr">
        <is>
          <t>Romance is the whole content of Kapoor's segment and the boy's devotion is total, but there is no courtship, no rivalry he can enter and no possibility of requital. It is the lover-boy temperament before the lover-boy role, which is why the film reads retrospectively as the overture to Bobby.</t>
        </is>
      </c>
      <c r="X2" s="20" t="n">
        <v>9</v>
      </c>
      <c r="Y2" s="20" t="n">
        <v>6</v>
      </c>
      <c r="Z2" s="20" t="n">
        <v>2</v>
      </c>
      <c r="AA2" s="20" t="n">
        <v>6</v>
      </c>
      <c r="AB2" s="20" t="n">
        <v>7</v>
      </c>
      <c r="AC2" s="19" t="inlineStr">
        <is>
          <t>Interpretive reading; no located review assesses this pairing. The scenes require Kapoor to play unguarded adolescent longing against an adult who must remain kind without encouraging it, and the restraint on her side is what keeps the chapter from becoming uncomfortable.</t>
        </is>
      </c>
      <c r="AD2" s="5" t="inlineStr">
        <is>
          <t>Partial</t>
        </is>
      </c>
      <c r="AE2" s="5" t="inlineStr">
        <is>
          <t>No</t>
        </is>
      </c>
      <c r="AF2" s="5" t="inlineStr">
        <is>
          <t>Partial</t>
        </is>
      </c>
      <c r="AG2" s="5" t="inlineStr">
        <is>
          <t>No</t>
        </is>
      </c>
      <c r="AH2" s="5" t="inlineStr">
        <is>
          <t>Yes</t>
        </is>
      </c>
      <c r="AI2" s="5" t="inlineStr">
        <is>
          <t>Partial</t>
        </is>
      </c>
      <c r="AJ2" s="5" t="inlineStr">
        <is>
          <t>No</t>
        </is>
      </c>
      <c r="AK2" s="19" t="inlineStr">
        <is>
          <t>The loss is the beginning of the clown: he learns that the laughter he performs will have to cover his own grief, which is the film's whole thesis about him.</t>
        </is>
      </c>
      <c r="AL2" s="19" t="inlineStr">
        <is>
          <t>None; Mary marries David and leaves, and the film does not suggest the episode changed her.</t>
        </is>
      </c>
      <c r="AM2" s="5" t="inlineStr">
        <is>
          <t>Mary marries David with Raju standing as best man; David returns the toy clown to him as they drive away.</t>
        </is>
      </c>
      <c r="AN2" s="5" t="inlineStr">
        <is>
          <t>No</t>
        </is>
      </c>
      <c r="AO2" s="5" t="inlineStr">
        <is>
          <t>Tragic</t>
        </is>
      </c>
      <c r="AP2" s="5" t="inlineStr">
        <is>
          <t>'Kehta Hai Joker Saara Zamana', 'Ae Bhai Zara Dekh Ke Chalo'</t>
        </is>
      </c>
      <c r="AQ2" s="19" t="inlineStr">
        <is>
          <t>The earliest romance in the filmography and the only one in which Kapoor plays a child in love with an adult. It establishes the shape everything after it repeats in adult form: friction between the lovers at almost zero, the obstacle entirely outside the pair, and the man's identity organised around a woman who may not be available. Mutuality is the lowest score in the early work because the feeling runs one way only.</t>
        </is>
      </c>
      <c r="AR2" s="19" t="inlineStr">
        <is>
          <t>The film treats a boy's desire for his teacher with unusual frankness for 1970, including his glimpse of her undressing and the nude image he then confesses to, and it is careful to put the moral weight on his confusion rather than on her conduct. Read now, the sequence is still defensible precisely because Mary never reciprocates and the film never asks us to wish she would; what dates is the length of time it lingers on her body to establish his awakening.</t>
        </is>
      </c>
      <c r="AS2" s="5" t="inlineStr">
        <is>
          <t>SOURCE-001; SOURCE-003</t>
        </is>
      </c>
      <c r="AT2" s="5" t="inlineStr">
        <is>
          <t>Medium</t>
        </is>
      </c>
    </row>
    <row r="3" ht="124" customHeight="1">
      <c r="A3" s="15" t="inlineStr">
        <is>
          <t>PAIR-001</t>
        </is>
      </c>
      <c r="B3" s="18" t="inlineStr">
        <is>
          <t>FILM-003</t>
        </is>
      </c>
      <c r="C3" s="5" t="inlineStr">
        <is>
          <t>Bobby</t>
        </is>
      </c>
      <c r="D3" s="17" t="n">
        <v>1973</v>
      </c>
      <c r="E3" s="5" t="inlineStr">
        <is>
          <t>Raj Nath "Raja"</t>
        </is>
      </c>
      <c r="F3" s="5" t="inlineStr">
        <is>
          <t>Dimple Kapadia</t>
        </is>
      </c>
      <c r="G3" s="5" t="inlineStr">
        <is>
          <t>Bobby Braganza</t>
        </is>
      </c>
      <c r="H3" s="5" t="inlineStr">
        <is>
          <t>Female lead</t>
        </is>
      </c>
      <c r="I3" s="5" t="inlineStr">
        <is>
          <t>Yes</t>
        </is>
      </c>
      <c r="J3" s="19" t="inlineStr">
        <is>
          <t>Forbidden love</t>
        </is>
      </c>
      <c r="K3" s="5" t="inlineStr">
        <is>
          <t>Strangers; she is the granddaughter of his former governess</t>
        </is>
      </c>
      <c r="L3" s="5" t="inlineStr">
        <is>
          <t>Mrs. Braganza brings a birthday present to the Nath house and is snubbed by Raj's mother. Raj opens the gift the next day, goes to thank her in person, and Bobby answers the door; the article calls it love at first sight for him.</t>
        </is>
      </c>
      <c r="M3" s="5" t="inlineStr">
        <is>
          <t>Raj, who engineers a second meeting at the library by deliberately mixing up their books</t>
        </is>
      </c>
      <c r="N3" s="19" t="inlineStr">
        <is>
          <t>Quick, teenage and almost entirely unsupervised: a contrived book exchange, an attempt at the cinema, a party, a jealous rupture and a pursuit to Kashmir, all before either family is consulted.</t>
        </is>
      </c>
      <c r="O3" s="19" t="inlineStr">
        <is>
          <t>Uncomplicated mutual infatuation, tested once by her jealousy and thereafter directed outward at the fathers.</t>
        </is>
      </c>
      <c r="P3" s="19" t="inlineStr">
        <is>
          <t>Only one, and it is brief: Bobby sees Raj talking privately with his mother's dance partner and assumes he loves her.</t>
        </is>
      </c>
      <c r="Q3" s="20" t="n">
        <v>2</v>
      </c>
      <c r="R3" s="19" t="inlineStr">
        <is>
          <t>The single misunderstanding over Nima is cleared as soon as Raj follows her to Kashmir. Nothing else divides them; from that point the couple is entirely united and every obstacle is external.</t>
        </is>
      </c>
      <c r="S3" s="20" t="n">
        <v>9</v>
      </c>
      <c r="T3" s="5" t="inlineStr">
        <is>
          <t>Family; Class; Religion</t>
        </is>
      </c>
      <c r="U3" s="19" t="inlineStr">
        <is>
          <t>Raj's rich Hindu father abhors the match, accuses Jack of using his daughter's looks to trap a fortune, and offers a cash bribe to end it; Jack, insulted, forbids Bobby to see Raj and sends her to Goa. Raj is then pushed towards a marriage of business convenience, and the film ends in flight and a near-drowning.</t>
        </is>
      </c>
      <c r="V3" s="20" t="n">
        <v>10</v>
      </c>
      <c r="W3" s="19" t="inlineStr">
        <is>
          <t>The defining pure lover-boy role of his career and the film that created the persona. Raj has no ambition, occupation or project other than Bobby; the whole of his screen time is courtship, defiance of his father and flight, and the songs are built around him as a romantic figure.</t>
        </is>
      </c>
      <c r="X3" s="20" t="n">
        <v>10</v>
      </c>
      <c r="Y3" s="20" t="n">
        <v>8</v>
      </c>
      <c r="Z3" s="20" t="n">
        <v>8</v>
      </c>
      <c r="AA3" s="20" t="n">
        <v>6</v>
      </c>
      <c r="AB3" s="20" t="n">
        <v>9</v>
      </c>
      <c r="AC3" s="19" t="inlineStr">
        <is>
          <t>The article cites a contemporary review crediting the film's commercial appeal to its two fresh-faced young leads and praising the pair for acting with natural ease and freshness. That freshness is the point: both were teenagers, she was making her debut, and the unforced quality of the playing is what the film sells.</t>
        </is>
      </c>
      <c r="AD3" s="5" t="inlineStr">
        <is>
          <t>Yes</t>
        </is>
      </c>
      <c r="AE3" s="5" t="inlineStr">
        <is>
          <t>No</t>
        </is>
      </c>
      <c r="AF3" s="5" t="inlineStr">
        <is>
          <t>Partial</t>
        </is>
      </c>
      <c r="AG3" s="5" t="inlineStr">
        <is>
          <t>No</t>
        </is>
      </c>
      <c r="AH3" s="5" t="inlineStr">
        <is>
          <t>Yes</t>
        </is>
      </c>
      <c r="AI3" s="5" t="inlineStr">
        <is>
          <t>Yes</t>
        </is>
      </c>
      <c r="AJ3" s="5" t="inlineStr">
        <is>
          <t>Yes</t>
        </is>
      </c>
      <c r="AK3" s="19" t="inlineStr">
        <is>
          <t>A neglected boy raised by servants finds the first person who wants him for himself, and becomes capable of defying the father he had never challenged.</t>
        </is>
      </c>
      <c r="AL3" s="19" t="inlineStr">
        <is>
          <t>Bobby moves from a sheltered girl to one who leaves home for him, though the decisive acts at the close are largely his.</t>
        </is>
      </c>
      <c r="AM3" s="5" t="inlineStr">
        <is>
          <t>Reunited after the elopement collapses, with both fathers giving way.</t>
        </is>
      </c>
      <c r="AN3" s="5" t="inlineStr">
        <is>
          <t>Yes</t>
        </is>
      </c>
      <c r="AO3" s="5" t="inlineStr">
        <is>
          <t>Happy</t>
        </is>
      </c>
      <c r="AP3" s="5" t="inlineStr">
        <is>
          <t>'Main Shayar To Nahin', 'Hum Tum Ek Kamre Mein Band Hon', 'Jhoot Bole Kauwa Kaate', 'Na Mangoon Sona Chandi'</t>
        </is>
      </c>
      <c r="AQ3" s="19" t="inlineStr">
        <is>
          <t>The template against which the rest of the filmography should be read. Friction between the lovers is deliberately near zero and almost every obstacle is imposed from outside, which is the structure Kapoor's romances return to for the next decade. The film also fuses three separate barriers, money, faith and parental will, into one wall, so that the couple's only available action is flight.</t>
        </is>
      </c>
      <c r="AR3" s="19" t="inlineStr">
        <is>
          <t>The film frames the fathers' objection as snobbery and treats the teenagers' certainty as self-evidently right, which still reads well. Less comfortable now is how little Bobby is given to do once the fathers take over: the confrontation, the bribe and the arranged counter-marriage are transacted between men, and her one decisive act, leaving with Raj, is taken at his prompting.</t>
        </is>
      </c>
      <c r="AS3" s="5" t="inlineStr">
        <is>
          <t>SOURCE-001; SOURCE-004</t>
        </is>
      </c>
      <c r="AT3" s="5" t="inlineStr">
        <is>
          <t>High</t>
        </is>
      </c>
    </row>
    <row r="4" ht="94" customHeight="1">
      <c r="A4" s="15" t="inlineStr">
        <is>
          <t>PAIR-002</t>
        </is>
      </c>
      <c r="B4" s="18" t="inlineStr">
        <is>
          <t>FILM-004</t>
        </is>
      </c>
      <c r="C4" s="5" t="inlineStr">
        <is>
          <t>Zehreela Insaan</t>
        </is>
      </c>
      <c r="D4" s="17" t="n">
        <v>1974</v>
      </c>
      <c r="E4" s="5" t="inlineStr">
        <is>
          <t>Arjun Singh</t>
        </is>
      </c>
      <c r="F4" s="5" t="inlineStr">
        <is>
          <t>Moushumi Chatterjee</t>
        </is>
      </c>
      <c r="G4" s="5" t="inlineStr">
        <is>
          <t>Aarti</t>
        </is>
      </c>
      <c r="H4" s="5" t="inlineStr">
        <is>
          <t>Female lead</t>
        </is>
      </c>
      <c r="I4" s="5" t="inlineStr">
        <is>
          <t>Yes</t>
        </is>
      </c>
      <c r="J4" s="19" t="inlineStr">
        <is>
          <t>Forbidden love</t>
        </is>
      </c>
      <c r="K4" s="5" t="inlineStr">
        <is>
          <t>Sweethearts before the film's main action</t>
        </is>
      </c>
      <c r="L4" s="5" t="inlineStr">
        <is>
          <t>Not documented; the article's summary begins with the attachment already formed and states only that Arjun loves Aarti and wants to marry her.</t>
        </is>
      </c>
      <c r="M4" s="5" t="inlineStr">
        <is>
          <t>Not documented</t>
        </is>
      </c>
      <c r="N4" s="19" t="inlineStr">
        <is>
          <t>Undocumented in detail; the relationship exists before the plot and is destroyed by her father's decision rather than developed on screen.</t>
        </is>
      </c>
      <c r="O4" s="19" t="inlineStr">
        <is>
          <t>Mutual attachment defeated early, and thereafter a source of bitterness rather than of hope.</t>
        </is>
      </c>
      <c r="P4" s="19" t="inlineStr">
        <is>
          <t>None between them; the rupture is entirely her father's doing.</t>
        </is>
      </c>
      <c r="Q4" s="20" t="n">
        <v>1</v>
      </c>
      <c r="R4" s="19" t="inlineStr">
        <is>
          <t>Nothing in the article suggests conflict between Arjun and Aarti. She is married off against the attachment, and his later discovery of what has become of her is presented as her degradation rather than as a quarrel.</t>
        </is>
      </c>
      <c r="S4" s="20" t="n">
        <v>9</v>
      </c>
      <c r="T4" s="5" t="inlineStr">
        <is>
          <t>Family</t>
        </is>
      </c>
      <c r="U4" s="19" t="inlineStr">
        <is>
          <t>Aarti's father opposes the match outright and forcibly marries her to a man of his own choosing. The consequence, that Arjun later finds her working as a high-society call girl in another city, is the film's harshest statement of what the refusal cost.</t>
        </is>
      </c>
      <c r="V4" s="20" t="n">
        <v>7</v>
      </c>
      <c r="W4" s="19" t="inlineStr">
        <is>
          <t>Arjun's romantic identity is central to the film but it is a wounded rather than a courting one. He is defined by being refused and by what the refusal turns him into, which is closer to the tragic-lover register than to Bobby's ardent pursuit.</t>
        </is>
      </c>
      <c r="X4" s="20" t="n">
        <v>9</v>
      </c>
      <c r="Y4" s="20" t="n">
        <v>4</v>
      </c>
      <c r="Z4" s="20" t="n">
        <v>5</v>
      </c>
      <c r="AA4" s="20" t="n">
        <v>2</v>
      </c>
      <c r="AB4" s="20" t="n">
        <v>5</v>
      </c>
      <c r="AC4" s="19" t="inlineStr">
        <is>
          <t>Interpretive reading; no located review discusses this pairing. The relationship is largely pre-history and aftermath rather than played out on screen, so there is little sustained interaction to assess, and its weight in the film comes from its absence.</t>
        </is>
      </c>
      <c r="AD4" s="5" t="inlineStr">
        <is>
          <t>Unclear</t>
        </is>
      </c>
      <c r="AE4" s="5" t="inlineStr">
        <is>
          <t>No</t>
        </is>
      </c>
      <c r="AF4" s="5" t="inlineStr">
        <is>
          <t>No</t>
        </is>
      </c>
      <c r="AG4" s="5" t="inlineStr">
        <is>
          <t>No</t>
        </is>
      </c>
      <c r="AH4" s="5" t="inlineStr">
        <is>
          <t>Yes</t>
        </is>
      </c>
      <c r="AI4" s="5" t="inlineStr">
        <is>
          <t>No</t>
        </is>
      </c>
      <c r="AJ4" s="5" t="inlineStr">
        <is>
          <t>No</t>
        </is>
      </c>
      <c r="AK4" s="19" t="inlineStr">
        <is>
          <t>The loss confirms the village's reading of him as a bad character and pushes him towards the second attachment that destroys him.</t>
        </is>
      </c>
      <c r="AL4" s="19" t="inlineStr">
        <is>
          <t>Married against her will and later found working as a call girl, a decline the film attributes directly to her father's decision.</t>
        </is>
      </c>
      <c r="AM4" s="5" t="inlineStr">
        <is>
          <t>Ended by her forced marriage; they do not reunite.</t>
        </is>
      </c>
      <c r="AN4" s="5" t="inlineStr">
        <is>
          <t>No</t>
        </is>
      </c>
      <c r="AO4" s="5" t="inlineStr">
        <is>
          <t>Tragic</t>
        </is>
      </c>
      <c r="AP4" s="5" t="n"/>
      <c r="AQ4" s="19" t="inlineStr">
        <is>
          <t>The first of the two romances that bracket Arjun's story, and the one that establishes the film's argument that the village destroys what it refuses to understand. It is scored as a romance rather than as backstory because the whole of Arjun's subsequent behaviour follows from it.</t>
        </is>
      </c>
      <c r="AR4" s="19" t="inlineStr">
        <is>
          <t>The film uses Aarti's fall into prostitution as evidence against her father rather than as anything belonging to her, and she is given no voice in either the marriage or what follows. Read now, the most striking absence is her own account of any of it.</t>
        </is>
      </c>
      <c r="AS4" s="5" t="inlineStr">
        <is>
          <t>SOURCE-001; SOURCE-005</t>
        </is>
      </c>
      <c r="AT4" s="5" t="inlineStr">
        <is>
          <t>Low</t>
        </is>
      </c>
    </row>
    <row r="5" ht="109" customHeight="1">
      <c r="A5" s="15" t="inlineStr">
        <is>
          <t>PAIR-003</t>
        </is>
      </c>
      <c r="B5" s="18" t="inlineStr">
        <is>
          <t>FILM-004</t>
        </is>
      </c>
      <c r="C5" s="5" t="inlineStr">
        <is>
          <t>Zehreela Insaan</t>
        </is>
      </c>
      <c r="D5" s="17" t="n">
        <v>1974</v>
      </c>
      <c r="E5" s="5" t="inlineStr">
        <is>
          <t>Arjun Singh</t>
        </is>
      </c>
      <c r="F5" s="5" t="inlineStr">
        <is>
          <t>Neetu Singh</t>
        </is>
      </c>
      <c r="G5" s="5" t="inlineStr">
        <is>
          <t>Margaret</t>
        </is>
      </c>
      <c r="H5" s="5" t="inlineStr">
        <is>
          <t>Second female lead</t>
        </is>
      </c>
      <c r="I5" s="5" t="inlineStr">
        <is>
          <t>Partial</t>
        </is>
      </c>
      <c r="J5" s="19" t="inlineStr">
        <is>
          <t>Tragic lovers</t>
        </is>
      </c>
      <c r="K5" s="5" t="inlineStr">
        <is>
          <t>College classmates</t>
        </is>
      </c>
      <c r="L5" s="5" t="inlineStr">
        <is>
          <t>As fellow students; the article describes Margaret as his Christian college mate, and the attachment forms after Aarti is married away.</t>
        </is>
      </c>
      <c r="M5" s="5" t="inlineStr">
        <is>
          <t>Not documented</t>
        </is>
      </c>
      <c r="N5" s="19" t="inlineStr">
        <is>
          <t>A second love taken up in the wake of a first one lost, moving quickly to a decision to run away together.</t>
        </is>
      </c>
      <c r="O5" s="19" t="inlineStr">
        <is>
          <t>Mutual and unusually equal at the end: she chooses to die with him rather than be left behind.</t>
        </is>
      </c>
      <c r="P5" s="19" t="inlineStr">
        <is>
          <t>None between them; the opposition is her family's and the catastrophe is Arjun's temper.</t>
        </is>
      </c>
      <c r="Q5" s="20" t="n">
        <v>1</v>
      </c>
      <c r="R5" s="19" t="inlineStr">
        <is>
          <t>The couple is united throughout. The only violence in the relationship's vicinity is directed at the schoolmaster, and it is accidental.</t>
        </is>
      </c>
      <c r="S5" s="20" t="n">
        <v>8</v>
      </c>
      <c r="T5" s="5" t="inlineStr">
        <is>
          <t>Family; Religion</t>
        </is>
      </c>
      <c r="U5" s="19" t="inlineStr">
        <is>
          <t>Margaret's uncle and mother are against her marrying Arjun, which drives the couple to flee to the hills. The pursuit that follows produces the accidental killing of the one man who defended him.</t>
        </is>
      </c>
      <c r="V5" s="20" t="n">
        <v>7</v>
      </c>
      <c r="W5" s="19" t="inlineStr">
        <is>
          <t>Romance is again his defining activity and he is willing to abandon everything for it, but the role's register is desperation rather than devotion, and the film ends in a joint suicide rather than in any romantic triumph.</t>
        </is>
      </c>
      <c r="X5" s="20" t="n">
        <v>9</v>
      </c>
      <c r="Y5" s="20" t="n">
        <v>5</v>
      </c>
      <c r="Z5" s="20" t="n">
        <v>7</v>
      </c>
      <c r="AA5" s="20" t="n">
        <v>5</v>
      </c>
      <c r="AB5" s="20" t="n">
        <v>6</v>
      </c>
      <c r="AC5" s="19" t="inlineStr">
        <is>
          <t>Interpretive reading; no located review assesses this pairing. This is the first of many Kapoor and Neetu Singh pairings, and the article gives too little of the relationship to judge beyond the fact that her final choice is played as shared rather than as his decision alone.</t>
        </is>
      </c>
      <c r="AD5" s="5" t="inlineStr">
        <is>
          <t>Unclear</t>
        </is>
      </c>
      <c r="AE5" s="5" t="inlineStr">
        <is>
          <t>No</t>
        </is>
      </c>
      <c r="AF5" s="5" t="inlineStr">
        <is>
          <t>No</t>
        </is>
      </c>
      <c r="AG5" s="5" t="inlineStr">
        <is>
          <t>No</t>
        </is>
      </c>
      <c r="AH5" s="5" t="inlineStr">
        <is>
          <t>No</t>
        </is>
      </c>
      <c r="AI5" s="5" t="inlineStr">
        <is>
          <t>Yes</t>
        </is>
      </c>
      <c r="AJ5" s="5" t="inlineStr">
        <is>
          <t>Yes</t>
        </is>
      </c>
      <c r="AK5" s="19" t="inlineStr">
        <is>
          <t>Finds a second attachment that briefly promises escape, then destroys it himself with a single unintended act.</t>
        </is>
      </c>
      <c r="AL5" s="19" t="inlineStr">
        <is>
          <t>Moves from a classmate to a woman who, asked whether she will come with him, jumps.</t>
        </is>
      </c>
      <c r="AM5" s="5" t="inlineStr">
        <is>
          <t>Both die by suicide after Arjun accidentally kills his teacher.</t>
        </is>
      </c>
      <c r="AN5" s="5" t="inlineStr">
        <is>
          <t>No</t>
        </is>
      </c>
      <c r="AO5" s="5" t="inlineStr">
        <is>
          <t>Tragic</t>
        </is>
      </c>
      <c r="AP5" s="5" t="n"/>
      <c r="AQ5" s="19" t="inlineStr">
        <is>
          <t>Unusual in the early filmography for ending in a shared death rather than a reunion, and for giving the woman the last consenting act. Placed against the Aarti thread, the film argues that Arjun is destroyed twice by other people's families, though the second time he supplies the fatal act himself.</t>
        </is>
      </c>
      <c r="AR5" s="19" t="inlineStr">
        <is>
          <t>A joint suicide framed as romantic transcendence is the reading the film wants; a modern one notes that Margaret is asked to die immediately after Arjun has killed a man, at the moment of his greatest distress, and that the film treats her assent as unproblematic.</t>
        </is>
      </c>
      <c r="AS5" s="5" t="inlineStr">
        <is>
          <t>SOURCE-001; SOURCE-005</t>
        </is>
      </c>
      <c r="AT5" s="5" t="inlineStr">
        <is>
          <t>Low</t>
        </is>
      </c>
    </row>
    <row r="6" ht="94" customHeight="1">
      <c r="A6" s="15" t="inlineStr">
        <is>
          <t>PAIR-004</t>
        </is>
      </c>
      <c r="B6" s="18" t="inlineStr">
        <is>
          <t>FILM-005</t>
        </is>
      </c>
      <c r="C6" s="5" t="inlineStr">
        <is>
          <t>Raaja</t>
        </is>
      </c>
      <c r="D6" s="17" t="n">
        <v>1975</v>
      </c>
      <c r="E6" s="5" t="inlineStr">
        <is>
          <t>Raaja</t>
        </is>
      </c>
      <c r="F6" s="5" t="inlineStr">
        <is>
          <t>Sulakshana Pandit</t>
        </is>
      </c>
      <c r="G6" s="5" t="inlineStr">
        <is>
          <t>Rani</t>
        </is>
      </c>
      <c r="H6" s="5" t="inlineStr">
        <is>
          <t>Female lead</t>
        </is>
      </c>
      <c r="I6" s="5" t="inlineStr">
        <is>
          <t>Yes</t>
        </is>
      </c>
      <c r="J6" s="19" t="inlineStr">
        <is>
          <t>Romance subordinate to another genre</t>
        </is>
      </c>
      <c r="K6" s="5" t="inlineStr">
        <is>
          <t>Strangers</t>
        </is>
      </c>
      <c r="L6" s="5" t="inlineStr">
        <is>
          <t>Not documented; the article records only that Raaja becomes enamoured of Rani.</t>
        </is>
      </c>
      <c r="M6" s="5" t="inlineStr">
        <is>
          <t>Raaja</t>
        </is>
      </c>
      <c r="N6" s="19" t="inlineStr">
        <is>
          <t>Comic and confused, because she cannot tell Raaja from his identical twin; Ram eventually grows a moustache so that she can identify the brother she loves.</t>
        </is>
      </c>
      <c r="O6" s="19" t="inlineStr">
        <is>
          <t>Light and affectionate, played for the comedy of mistaken identity rather than for intensity.</t>
        </is>
      </c>
      <c r="P6" s="19" t="inlineStr">
        <is>
          <t>Her inability to distinguish the twins, which is a practical difficulty rather than a disagreement.</t>
        </is>
      </c>
      <c r="Q6" s="20" t="n">
        <v>2</v>
      </c>
      <c r="R6" s="19" t="inlineStr">
        <is>
          <t>The only friction is the confusion between the brothers, and it is resolved cooperatively by Ram altering his appearance. Nothing divides Raaja and Rani themselves.</t>
        </is>
      </c>
      <c r="S6" s="20" t="n">
        <v>4</v>
      </c>
      <c r="T6" s="5" t="inlineStr">
        <is>
          <t>Villain; Family</t>
        </is>
      </c>
      <c r="U6" s="19" t="inlineStr">
        <is>
          <t>The bandit Sher Singh drives the plot and kills Ram, which suspends the romance, and Rani's father is present as a figure to be satisfied, but neither is directed specifically at the couple.</t>
        </is>
      </c>
      <c r="V6" s="20" t="n">
        <v>4</v>
      </c>
      <c r="W6" s="19" t="inlineStr">
        <is>
          <t>The courtship is genuine and produces a marriage, but Raaja's governing purpose is rescuing his sister and avenging his brother. Romance occupies the lighter half of a double role whose serious half is a revenge mission.</t>
        </is>
      </c>
      <c r="X6" s="20" t="n">
        <v>5</v>
      </c>
      <c r="Y6" s="20" t="n">
        <v>7</v>
      </c>
      <c r="Z6" s="20" t="n">
        <v>6</v>
      </c>
      <c r="AA6" s="20" t="n">
        <v>4</v>
      </c>
      <c r="AB6" s="20" t="n">
        <v>5</v>
      </c>
      <c r="AC6" s="19" t="inlineStr">
        <is>
          <t>Interpretive reading; no located review discusses this pairing. The article gives the relationship only as a plot mechanism, and the material that survives is the identity confusion rather than anything specific to the two performers.</t>
        </is>
      </c>
      <c r="AD6" s="5" t="inlineStr">
        <is>
          <t>Yes</t>
        </is>
      </c>
      <c r="AE6" s="5" t="inlineStr">
        <is>
          <t>No</t>
        </is>
      </c>
      <c r="AF6" s="5" t="inlineStr">
        <is>
          <t>No</t>
        </is>
      </c>
      <c r="AG6" s="5" t="inlineStr">
        <is>
          <t>Partial</t>
        </is>
      </c>
      <c r="AH6" s="5" t="inlineStr">
        <is>
          <t>Partial</t>
        </is>
      </c>
      <c r="AI6" s="5" t="inlineStr">
        <is>
          <t>No</t>
        </is>
      </c>
      <c r="AJ6" s="5" t="inlineStr">
        <is>
          <t>Partial</t>
        </is>
      </c>
      <c r="AK6" s="19" t="inlineStr">
        <is>
          <t>Little; the marriage is the reward at the end of the mission rather than a change in him.</t>
        </is>
      </c>
      <c r="AL6" s="19" t="inlineStr">
        <is>
          <t>Not documented.</t>
        </is>
      </c>
      <c r="AM6" s="5" t="inlineStr">
        <is>
          <t>They marry after the rescue, though the sister dies of her injuries.</t>
        </is>
      </c>
      <c r="AN6" s="5" t="inlineStr">
        <is>
          <t>Yes</t>
        </is>
      </c>
      <c r="AO6" s="5" t="inlineStr">
        <is>
          <t>Happy</t>
        </is>
      </c>
      <c r="AP6" s="5" t="n"/>
      <c r="AQ6" s="19" t="inlineStr">
        <is>
          <t>A slight romance attached to a revenge thriller, notable mainly because the double-role device is aimed at the heroine rather than at the villain: the joke is that she cannot tell which brother she loves, and the solution is cosmetic.</t>
        </is>
      </c>
      <c r="AR6" s="19" t="inlineStr">
        <is>
          <t>Rani exists to be courted, confused and married, with no goal of her own and no consequence to her choices. The mistaken-identity comedy also sits awkwardly now, since it turns on a woman's inability to identify her own partner and is resolved by the men rather than by her.</t>
        </is>
      </c>
      <c r="AS6" s="5" t="inlineStr">
        <is>
          <t>SOURCE-001; SOURCE-009</t>
        </is>
      </c>
      <c r="AT6" s="5" t="inlineStr">
        <is>
          <t>Low</t>
        </is>
      </c>
    </row>
    <row r="7" ht="109" customHeight="1">
      <c r="A7" s="15" t="inlineStr">
        <is>
          <t>PAIR-005</t>
        </is>
      </c>
      <c r="B7" s="18" t="inlineStr">
        <is>
          <t>FILM-006</t>
        </is>
      </c>
      <c r="C7" s="5" t="inlineStr">
        <is>
          <t>Khel Khel Mein</t>
        </is>
      </c>
      <c r="D7" s="17" t="n">
        <v>1975</v>
      </c>
      <c r="E7" s="5" t="inlineStr">
        <is>
          <t>Ajay Anand</t>
        </is>
      </c>
      <c r="F7" s="5" t="inlineStr">
        <is>
          <t>Neetu Singh</t>
        </is>
      </c>
      <c r="G7" s="5" t="inlineStr">
        <is>
          <t>Nisha</t>
        </is>
      </c>
      <c r="H7" s="5" t="inlineStr">
        <is>
          <t>Female lead</t>
        </is>
      </c>
      <c r="I7" s="5" t="inlineStr">
        <is>
          <t>Yes</t>
        </is>
      </c>
      <c r="J7" s="19" t="inlineStr">
        <is>
          <t>Friendship to love</t>
        </is>
      </c>
      <c r="K7" s="5" t="inlineStr">
        <is>
          <t>Fellow students; she is initially one of the two pranksters tormenting him</t>
        </is>
      </c>
      <c r="L7" s="5" t="inlineStr">
        <is>
          <t>At a Shimla college, where Ajay arrives as an easy target for Nisha and Vikram's pranks and becomes their friend after some initial hiccups.</t>
        </is>
      </c>
      <c r="M7" s="5" t="inlineStr">
        <is>
          <t>Neither distinctly; the attachment grows out of a three-way friendship</t>
        </is>
      </c>
      <c r="N7" s="19" t="inlineStr">
        <is>
          <t>Barely a courtship at all. The relationship forms through shared pranks and then through shared jeopardy once the two are suspects in a murder and have only each other to rely on.</t>
        </is>
      </c>
      <c r="O7" s="19" t="inlineStr">
        <is>
          <t>Companionable and practical, hardening into dependence as the danger closes in.</t>
        </is>
      </c>
      <c r="P7" s="19" t="inlineStr">
        <is>
          <t>None of substance; they disagree only over tactics, and both choose to go to the police.</t>
        </is>
      </c>
      <c r="Q7" s="20" t="n">
        <v>2</v>
      </c>
      <c r="R7" s="19" t="inlineStr">
        <is>
          <t>The teasing that opens the film is directed at Ajay before they are a couple and is never hostile. Once the murder plot begins they act in complete concert, and the film offers no interpersonal quarrel.</t>
        </is>
      </c>
      <c r="S7" s="20" t="n">
        <v>6</v>
      </c>
      <c r="T7" s="5" t="inlineStr">
        <is>
          <t>Crime; Villain</t>
        </is>
      </c>
      <c r="U7" s="19" t="inlineStr">
        <is>
          <t>Black Cobra kills their friend Vikram and the singer Sherie, steals the typewriter in order to frame them, and has them followed. The threat is sustained and lethal, though aimed at both of them rather than at the relationship as such.</t>
        </is>
      </c>
      <c r="V7" s="20" t="n">
        <v>4</v>
      </c>
      <c r="W7" s="19" t="inlineStr">
        <is>
          <t>Kapoor is the romantic lead of a college musical, but Ajay's function for most of the running time is to solve a murder he is accused of. The romance is assumed rather than pursued, and there is no courtship, rivalry or sacrifice for love.</t>
        </is>
      </c>
      <c r="X7" s="20" t="n">
        <v>5</v>
      </c>
      <c r="Y7" s="20" t="n">
        <v>8</v>
      </c>
      <c r="Z7" s="20" t="n">
        <v>8</v>
      </c>
      <c r="AA7" s="20" t="n">
        <v>7</v>
      </c>
      <c r="AB7" s="20" t="n">
        <v>8</v>
      </c>
      <c r="AC7" s="19" t="inlineStr">
        <is>
          <t>Interpretive reading; no located review assesses this pairing. The film is among the best remembered of the Kapoor and Neetu Singh comedies, and what carries it is an easy, unforced equality between the two rather than romantic charge; she is a full partner in both the pranks and the investigation.</t>
        </is>
      </c>
      <c r="AD7" s="5" t="inlineStr">
        <is>
          <t>Yes</t>
        </is>
      </c>
      <c r="AE7" s="5" t="inlineStr">
        <is>
          <t>No</t>
        </is>
      </c>
      <c r="AF7" s="5" t="inlineStr">
        <is>
          <t>No</t>
        </is>
      </c>
      <c r="AG7" s="5" t="inlineStr">
        <is>
          <t>No</t>
        </is>
      </c>
      <c r="AH7" s="5" t="inlineStr">
        <is>
          <t>No</t>
        </is>
      </c>
      <c r="AI7" s="5" t="inlineStr">
        <is>
          <t>No</t>
        </is>
      </c>
      <c r="AJ7" s="5" t="inlineStr">
        <is>
          <t>Yes</t>
        </is>
      </c>
      <c r="AK7" s="19" t="inlineStr">
        <is>
          <t>From the earnest outsider of the opening to one of a pair who depend on each other completely.</t>
        </is>
      </c>
      <c r="AL7" s="19" t="inlineStr">
        <is>
          <t>From a prankster with no stake in anything to a woman investigating a murder to save them both.</t>
        </is>
      </c>
      <c r="AM7" s="5" t="inlineStr">
        <is>
          <t>They clear themselves together and expose Black Cobra.</t>
        </is>
      </c>
      <c r="AN7" s="5" t="inlineStr">
        <is>
          <t>Unclear</t>
        </is>
      </c>
      <c r="AO7" s="5" t="inlineStr">
        <is>
          <t>Happy</t>
        </is>
      </c>
      <c r="AP7" s="5" t="inlineStr">
        <is>
          <t>'Khullam Khulla Pyar Karenge', 'Ek Main Aur Ek Tu'</t>
        </is>
      </c>
      <c r="AQ7" s="19" t="inlineStr">
        <is>
          <t>One of the clearest examples in the 1970s work of a romance built on partnership rather than pursuit, and a useful counterweight to Bobby. Female agency scores high because Nisha is a genuine co-investigator rather than a person to be rescued.</t>
        </is>
      </c>
      <c r="AR7" s="19" t="inlineStr">
        <is>
          <t>It has aged better than most of the decade's romances precisely because the courtship is so underplayed: there is no coercion, no stalking and no jealousy, and the woman is neither a prize nor a victim. The film's interest in the pair as a working team rather than as lovers is what keeps it watchable.</t>
        </is>
      </c>
      <c r="AS7" s="5" t="inlineStr">
        <is>
          <t>SOURCE-001; SOURCE-006</t>
        </is>
      </c>
      <c r="AT7" s="5" t="inlineStr">
        <is>
          <t>Medium</t>
        </is>
      </c>
    </row>
    <row r="8" ht="94" customHeight="1">
      <c r="A8" s="15" t="inlineStr">
        <is>
          <t>PAIR-006</t>
        </is>
      </c>
      <c r="B8" s="18" t="inlineStr">
        <is>
          <t>FILM-007</t>
        </is>
      </c>
      <c r="C8" s="5" t="inlineStr">
        <is>
          <t>Rafoo Chakkar</t>
        </is>
      </c>
      <c r="D8" s="17" t="n">
        <v>1975</v>
      </c>
      <c r="E8" s="5" t="inlineStr">
        <is>
          <t>Dev</t>
        </is>
      </c>
      <c r="F8" s="5" t="inlineStr">
        <is>
          <t>Neetu Singh</t>
        </is>
      </c>
      <c r="G8" s="5" t="inlineStr">
        <is>
          <t>Ritu</t>
        </is>
      </c>
      <c r="H8" s="5" t="inlineStr">
        <is>
          <t>Female lead</t>
        </is>
      </c>
      <c r="I8" s="5" t="inlineStr">
        <is>
          <t>Yes</t>
        </is>
      </c>
      <c r="J8" s="19" t="inlineStr">
        <is>
          <t>Playful conflict masking attraction</t>
        </is>
      </c>
      <c r="K8" s="5" t="inlineStr">
        <is>
          <t>Strangers; she believes him to be a woman in her band</t>
        </is>
      </c>
      <c r="L8" s="5" t="inlineStr">
        <is>
          <t>On a train to Kashmir, where Dev and his friend have joined a girls' singing band in drag to escape the gangsters who saw them witness a murder.</t>
        </is>
      </c>
      <c r="M8" s="5" t="inlineStr">
        <is>
          <t>Dev, in his second disguise as the oil tycoon Esso</t>
        </is>
      </c>
      <c r="N8" s="19" t="inlineStr">
        <is>
          <t>Conducted entirely through two simultaneous deceptions: he is beside her all day as the woman 'Devi' and courts her separately as a rich suitor called Esso, so every exchange is double.</t>
        </is>
      </c>
      <c r="O8" s="19" t="inlineStr">
        <is>
          <t>Comic and charged, with the charge coming from what she does not know rather than from anything between them.</t>
        </is>
      </c>
      <c r="P8" s="19" t="inlineStr">
        <is>
          <t>The deception itself; there is no quarrel, only the unexploded fact of who he is.</t>
        </is>
      </c>
      <c r="Q8" s="20" t="n">
        <v>3</v>
      </c>
      <c r="R8" s="19" t="inlineStr">
        <is>
          <t>No genuine antagonism, but the relationship is built on a lie that must eventually detonate. The friction is structural rather than emotional, and the unmasking is played for comedy rather than for a rupture.</t>
        </is>
      </c>
      <c r="S8" s="20" t="n">
        <v>5</v>
      </c>
      <c r="T8" s="5" t="inlineStr">
        <is>
          <t>Crime; Villain</t>
        </is>
      </c>
      <c r="U8" s="19" t="inlineStr">
        <is>
          <t>The gangsters hunting the two witnesses are the reason for the disguise and therefore the reason the courtship must be conducted falsely, but they are not aimed at the couple.</t>
        </is>
      </c>
      <c r="V8" s="20" t="n">
        <v>8</v>
      </c>
      <c r="W8" s="19" t="inlineStr">
        <is>
          <t>Courtship is the film's main activity and Kapoor plays it at full charm, inventing an entire wealthy persona to win her. It falls short of the top band because the romance is a comic engine rather than a devotion, and nothing is sacrificed for it.</t>
        </is>
      </c>
      <c r="X8" s="20" t="n">
        <v>8</v>
      </c>
      <c r="Y8" s="20" t="n">
        <v>6</v>
      </c>
      <c r="Z8" s="20" t="n">
        <v>6</v>
      </c>
      <c r="AA8" s="20" t="n">
        <v>5</v>
      </c>
      <c r="AB8" s="20" t="n">
        <v>8</v>
      </c>
      <c r="AC8" s="19" t="inlineStr">
        <is>
          <t>Interpretive reading; no located review discusses this pairing. Named in the main article among the films that fixed his romantic image, and the comedy depends on a light, quick rapport between the two that the drag premise would otherwise sink.</t>
        </is>
      </c>
      <c r="AD8" s="5" t="inlineStr">
        <is>
          <t>Yes</t>
        </is>
      </c>
      <c r="AE8" s="5" t="inlineStr">
        <is>
          <t>No</t>
        </is>
      </c>
      <c r="AF8" s="5" t="inlineStr">
        <is>
          <t>No</t>
        </is>
      </c>
      <c r="AG8" s="5" t="inlineStr">
        <is>
          <t>Yes</t>
        </is>
      </c>
      <c r="AH8" s="5" t="inlineStr">
        <is>
          <t>No</t>
        </is>
      </c>
      <c r="AI8" s="5" t="inlineStr">
        <is>
          <t>No</t>
        </is>
      </c>
      <c r="AJ8" s="5" t="inlineStr">
        <is>
          <t>Partial</t>
        </is>
      </c>
      <c r="AK8" s="19" t="inlineStr">
        <is>
          <t>From a man hiding inside two false identities to one accepted once both are stripped away.</t>
        </is>
      </c>
      <c r="AL8" s="19" t="inlineStr">
        <is>
          <t>Not documented; she discovers the deception rather than changing through it.</t>
        </is>
      </c>
      <c r="AM8" s="5" t="inlineStr">
        <is>
          <t>The disguises collapse and the article records that the romantic pairs remain intact.</t>
        </is>
      </c>
      <c r="AN8" s="5" t="inlineStr">
        <is>
          <t>Partial</t>
        </is>
      </c>
      <c r="AO8" s="5" t="inlineStr">
        <is>
          <t>Happy</t>
        </is>
      </c>
      <c r="AP8" s="5" t="n"/>
      <c r="AQ8" s="19" t="inlineStr">
        <is>
          <t>The clearest early instance of a Kapoor romance driven by performance and disguise rather than by obstacle. Deception is total but entirely self-protective, which is why relationship health is scored in the middle band rather than low.</t>
        </is>
      </c>
      <c r="AR8" s="19" t="inlineStr">
        <is>
          <t>The film is a direct adaptation of Some Like It Hot and inherits its central problem: a courtship in which the woman is the only party who does not know who she is talking to. The 1975 framing treats this as farce; a modern reading notes that Ritu's consent is given to a person who does not exist.</t>
        </is>
      </c>
      <c r="AS8" s="5" t="inlineStr">
        <is>
          <t>SOURCE-001; SOURCE-007</t>
        </is>
      </c>
      <c r="AT8" s="5" t="inlineStr">
        <is>
          <t>Medium</t>
        </is>
      </c>
    </row>
    <row r="9" ht="79" customHeight="1">
      <c r="A9" s="15" t="inlineStr">
        <is>
          <t>PAIR-007</t>
        </is>
      </c>
      <c r="B9" s="18" t="inlineStr">
        <is>
          <t>FILM-008</t>
        </is>
      </c>
      <c r="C9" s="5" t="inlineStr">
        <is>
          <t>Zinda Dil</t>
        </is>
      </c>
      <c r="D9" s="17" t="n">
        <v>1975</v>
      </c>
      <c r="E9" s="5" t="inlineStr">
        <is>
          <t>Arun Sharma</t>
        </is>
      </c>
      <c r="F9" s="5" t="inlineStr">
        <is>
          <t>Zaheera</t>
        </is>
      </c>
      <c r="G9" s="5" t="inlineStr">
        <is>
          <t>Rekha</t>
        </is>
      </c>
      <c r="H9" s="5" t="inlineStr">
        <is>
          <t>Supporting female lead</t>
        </is>
      </c>
      <c r="I9" s="5" t="inlineStr">
        <is>
          <t>No</t>
        </is>
      </c>
      <c r="J9" s="19" t="inlineStr">
        <is>
          <t>Forbidden love</t>
        </is>
      </c>
      <c r="K9" s="5" t="inlineStr">
        <is>
          <t>Sweethearts</t>
        </is>
      </c>
      <c r="L9" s="5" t="inlineStr">
        <is>
          <t>Not documented; the attachment exists when the film's conflict begins.</t>
        </is>
      </c>
      <c r="M9" s="5" t="inlineStr">
        <is>
          <t>Not documented</t>
        </is>
      </c>
      <c r="N9" s="19" t="inlineStr">
        <is>
          <t>Not developed on screen; the relationship functions as the last and largest of the sacrifices Arun's father demands of him.</t>
        </is>
      </c>
      <c r="O9" s="19" t="inlineStr">
        <is>
          <t>Undocumented beyond the fact that giving her up is what finally breaks him.</t>
        </is>
      </c>
      <c r="P9" s="19" t="inlineStr">
        <is>
          <t>None between them; the renunciation is imposed by his father.</t>
        </is>
      </c>
      <c r="Q9" s="20" t="n">
        <v>1</v>
      </c>
      <c r="R9" s="19" t="inlineStr">
        <is>
          <t>Nothing in the article indicates conflict between Arun and Rekha. The relationship ends because he is told to end it for his brother's benefit.</t>
        </is>
      </c>
      <c r="S9" s="20" t="n">
        <v>8</v>
      </c>
      <c r="T9" s="5" t="inlineStr">
        <is>
          <t>Family</t>
        </is>
      </c>
      <c r="U9" s="19" t="inlineStr">
        <is>
          <t>Major Hemraj Sharma openly favours the twin Kewal and requires Arun to make sacrifices for him, including giving up the woman he loves. The demand is the immediate cause of Arun leaving home.</t>
        </is>
      </c>
      <c r="V9" s="20" t="n">
        <v>3</v>
      </c>
      <c r="W9" s="19" t="inlineStr">
        <is>
          <t>The romance is something Arun loses rather than something he pursues. His defining activity is a struggle for a father's regard, and the renunciation registers as one more proof of favouritism rather than as romantic heroism.</t>
        </is>
      </c>
      <c r="X9" s="20" t="n">
        <v>4</v>
      </c>
      <c r="Y9" s="20" t="n">
        <v>4</v>
      </c>
      <c r="Z9" s="20" t="n">
        <v>4</v>
      </c>
      <c r="AA9" s="20" t="n">
        <v>2</v>
      </c>
      <c r="AB9" s="20" t="n">
        <v>4</v>
      </c>
      <c r="AC9" s="19" t="inlineStr">
        <is>
          <t>Interpretive reading; no located review discusses this pairing, and the article gives the relationship in a single clause. There is almost no interaction recorded on which to judge it.</t>
        </is>
      </c>
      <c r="AD9" s="5" t="inlineStr">
        <is>
          <t>Unclear</t>
        </is>
      </c>
      <c r="AE9" s="5" t="inlineStr">
        <is>
          <t>No</t>
        </is>
      </c>
      <c r="AF9" s="5" t="inlineStr">
        <is>
          <t>No</t>
        </is>
      </c>
      <c r="AG9" s="5" t="inlineStr">
        <is>
          <t>No</t>
        </is>
      </c>
      <c r="AH9" s="5" t="inlineStr">
        <is>
          <t>Yes</t>
        </is>
      </c>
      <c r="AI9" s="5" t="inlineStr">
        <is>
          <t>Yes</t>
        </is>
      </c>
      <c r="AJ9" s="5" t="inlineStr">
        <is>
          <t>No</t>
        </is>
      </c>
      <c r="AK9" s="19" t="inlineStr">
        <is>
          <t>Giving her up is the point at which obedience stops working for him and he leaves his father's house.</t>
        </is>
      </c>
      <c r="AL9" s="19" t="inlineStr">
        <is>
          <t>Not documented.</t>
        </is>
      </c>
      <c r="AM9" s="5" t="inlineStr">
        <is>
          <t>Ended by Arun's renunciation at his father's demand.</t>
        </is>
      </c>
      <c r="AN9" s="5" t="inlineStr">
        <is>
          <t>No</t>
        </is>
      </c>
      <c r="AO9" s="5" t="inlineStr">
        <is>
          <t>Unresolved</t>
        </is>
      </c>
      <c r="AP9" s="5" t="n"/>
      <c r="AQ9" s="19" t="inlineStr">
        <is>
          <t>Included because the renunciation is load-bearing for the character even though the relationship itself is barely dramatised. It is the clearest early case of a Kapoor romance destroyed by a father rather than by a rival.</t>
        </is>
      </c>
      <c r="AR9" s="19" t="inlineStr">
        <is>
          <t>Rekha is a possession transferred between brothers at a father's instruction and is given no say in the article's account. The film's sympathy is entirely with the son who loses her, not with her.</t>
        </is>
      </c>
      <c r="AS9" s="5" t="inlineStr">
        <is>
          <t>SOURCE-001; SOURCE-008</t>
        </is>
      </c>
      <c r="AT9" s="5" t="inlineStr">
        <is>
          <t>Low</t>
        </is>
      </c>
    </row>
    <row r="10" ht="94" customHeight="1">
      <c r="A10" s="15" t="inlineStr">
        <is>
          <t>PAIR-008</t>
        </is>
      </c>
      <c r="B10" s="18" t="inlineStr">
        <is>
          <t>FILM-008</t>
        </is>
      </c>
      <c r="C10" s="5" t="inlineStr">
        <is>
          <t>Zinda Dil</t>
        </is>
      </c>
      <c r="D10" s="17" t="n">
        <v>1975</v>
      </c>
      <c r="E10" s="5" t="inlineStr">
        <is>
          <t>Arun Sharma</t>
        </is>
      </c>
      <c r="F10" s="5" t="inlineStr">
        <is>
          <t>Neetu Singh</t>
        </is>
      </c>
      <c r="G10" s="5" t="inlineStr">
        <is>
          <t>Jyoti</t>
        </is>
      </c>
      <c r="H10" s="5" t="inlineStr">
        <is>
          <t>Female lead</t>
        </is>
      </c>
      <c r="I10" s="5" t="inlineStr">
        <is>
          <t>Yes</t>
        </is>
      </c>
      <c r="J10" s="19" t="inlineStr">
        <is>
          <t>Friendship to love</t>
        </is>
      </c>
      <c r="K10" s="5" t="inlineStr">
        <is>
          <t>Old acquaintances; he had once talked her out of suicide</t>
        </is>
      </c>
      <c r="L10" s="5" t="inlineStr">
        <is>
          <t>They meet again after Arun leaves home, having first met when he saved her from killing herself.</t>
        </is>
      </c>
      <c r="M10" s="5" t="inlineStr">
        <is>
          <t>Jyoti, who finds him work at her father's hotel</t>
        </is>
      </c>
      <c r="N10" s="19" t="inlineStr">
        <is>
          <t>Built on practical rescue in both directions: he saved her life once, and she gives him a livelihood when he has nothing.</t>
        </is>
      </c>
      <c r="O10" s="19" t="inlineStr">
        <is>
          <t>Warm and reciprocal, the one supportive relationship in a film about a withheld father's love.</t>
        </is>
      </c>
      <c r="P10" s="19" t="inlineStr">
        <is>
          <t>None documented.</t>
        </is>
      </c>
      <c r="Q10" s="20" t="n">
        <v>1</v>
      </c>
      <c r="R10" s="19" t="inlineStr">
        <is>
          <t>The article records no disagreement. The relationship functions as refuge from the family conflict rather than as a source of any of its own.</t>
        </is>
      </c>
      <c r="S10" s="20" t="n">
        <v>3</v>
      </c>
      <c r="T10" s="5" t="inlineStr">
        <is>
          <t>Family</t>
        </is>
      </c>
      <c r="U10" s="19" t="inlineStr">
        <is>
          <t>The obstacle is the father's hold over Arun's life rather than any objection to Jyoti; her own father employs him without difficulty.</t>
        </is>
      </c>
      <c r="V10" s="20" t="n">
        <v>4</v>
      </c>
      <c r="W10" s="19" t="inlineStr">
        <is>
          <t>A supportive attachment rather than a courtship. Arun's energies go to the confrontation with his father and the discovery that his mother is alive, and the relationship with Jyoti is the ground he stands on rather than the object of the film.</t>
        </is>
      </c>
      <c r="X10" s="20" t="n">
        <v>4</v>
      </c>
      <c r="Y10" s="20" t="n">
        <v>8</v>
      </c>
      <c r="Z10" s="20" t="n">
        <v>7</v>
      </c>
      <c r="AA10" s="20" t="n">
        <v>6</v>
      </c>
      <c r="AB10" s="20" t="n">
        <v>6</v>
      </c>
      <c r="AC10" s="19" t="inlineStr">
        <is>
          <t>Interpretive reading; no located review assesses this pairing. The mutual-rescue structure gives the relationship an equality unusual for the period, but the article carries too little of it to judge the playing.</t>
        </is>
      </c>
      <c r="AD10" s="5" t="inlineStr">
        <is>
          <t>Unclear</t>
        </is>
      </c>
      <c r="AE10" s="5" t="inlineStr">
        <is>
          <t>No</t>
        </is>
      </c>
      <c r="AF10" s="5" t="inlineStr">
        <is>
          <t>No</t>
        </is>
      </c>
      <c r="AG10" s="5" t="inlineStr">
        <is>
          <t>No</t>
        </is>
      </c>
      <c r="AH10" s="5" t="inlineStr">
        <is>
          <t>No</t>
        </is>
      </c>
      <c r="AI10" s="5" t="inlineStr">
        <is>
          <t>No</t>
        </is>
      </c>
      <c r="AJ10" s="5" t="inlineStr">
        <is>
          <t>Yes</t>
        </is>
      </c>
      <c r="AK10" s="19" t="inlineStr">
        <is>
          <t>Finds outside his family the regard his father withholds, which is what allows him to confront the man at all.</t>
        </is>
      </c>
      <c r="AL10" s="19" t="inlineStr">
        <is>
          <t>From a woman he talked off a ledge to the person keeping him afloat.</t>
        </is>
      </c>
      <c r="AM10" s="5" t="inlineStr">
        <is>
          <t>Not documented; the article ends on rhetorical questions about the father.</t>
        </is>
      </c>
      <c r="AN10" s="5" t="inlineStr">
        <is>
          <t>Unclear</t>
        </is>
      </c>
      <c r="AO10" s="5" t="inlineStr">
        <is>
          <t>Unresolved</t>
        </is>
      </c>
      <c r="AP10" s="5" t="n"/>
      <c r="AQ10" s="19" t="inlineStr">
        <is>
          <t>A romance defined by reciprocal obligation rather than by pursuit, and the second of two in a single film. Read together with the Rekha thread, the film gives Arun one love taken from him by his father and one acquired entirely outside his father's reach.</t>
        </is>
      </c>
      <c r="AR10" s="19" t="inlineStr">
        <is>
          <t>Jyoti is unusually well placed for a 1975 heroine: she has a job to give, a father with a business and a prior claim on the hero's gratitude. The article's framing still subordinates her entirely to the father-and-sons story.</t>
        </is>
      </c>
      <c r="AS10" s="5" t="inlineStr">
        <is>
          <t>SOURCE-001; SOURCE-008</t>
        </is>
      </c>
      <c r="AT10" s="5" t="inlineStr">
        <is>
          <t>Low</t>
        </is>
      </c>
    </row>
    <row r="11" ht="94" customHeight="1">
      <c r="A11" s="15" t="inlineStr">
        <is>
          <t>PAIR-009</t>
        </is>
      </c>
      <c r="B11" s="18" t="inlineStr">
        <is>
          <t>FILM-009</t>
        </is>
      </c>
      <c r="C11" s="5" t="inlineStr">
        <is>
          <t>Kabhie Kabhie</t>
        </is>
      </c>
      <c r="D11" s="17" t="n">
        <v>1976</v>
      </c>
      <c r="E11" s="5" t="inlineStr">
        <is>
          <t>Vikram Khanna "Vicky"</t>
        </is>
      </c>
      <c r="F11" s="5" t="inlineStr">
        <is>
          <t>Neetu Singh</t>
        </is>
      </c>
      <c r="G11" s="5" t="inlineStr">
        <is>
          <t>Pinky Kapoor</t>
        </is>
      </c>
      <c r="H11" s="5" t="inlineStr">
        <is>
          <t>Female lead of the younger generation</t>
        </is>
      </c>
      <c r="I11" s="5" t="inlineStr">
        <is>
          <t>Partial</t>
        </is>
      </c>
      <c r="J11" s="19" t="inlineStr">
        <is>
          <t>Romance subordinate to another genre</t>
        </is>
      </c>
      <c r="K11" s="5" t="inlineStr">
        <is>
          <t>College friends</t>
        </is>
      </c>
      <c r="L11" s="5" t="inlineStr">
        <is>
          <t>At college, where Pinky is his friend and the daughter of his father's doctor.</t>
        </is>
      </c>
      <c r="M11" s="5" t="inlineStr">
        <is>
          <t>Not documented; the attachment is established as mutual</t>
        </is>
      </c>
      <c r="N11" s="19" t="inlineStr">
        <is>
          <t>Settled and uncontested until it is interrupted, not by any obstacle of their own, but by the discovery of Pinky's parentage.</t>
        </is>
      </c>
      <c r="O11" s="19" t="inlineStr">
        <is>
          <t>Straightforward young love, used by the film as a bright counterpoint to the older couples' buried griefs.</t>
        </is>
      </c>
      <c r="P11" s="19" t="inlineStr">
        <is>
          <t>None between them; the crisis is Pinky's alone.</t>
        </is>
      </c>
      <c r="Q11" s="20" t="n">
        <v>2</v>
      </c>
      <c r="R11" s="19" t="inlineStr">
        <is>
          <t>The couple never quarrels. The marriage is suspended because Pinky learns she was adopted and leaves to find her birth mother, which is a crisis of identity rather than a conflict with Vicky.</t>
        </is>
      </c>
      <c r="S11" s="20" t="n">
        <v>5</v>
      </c>
      <c r="T11" s="5" t="inlineStr">
        <is>
          <t>Family; Fate</t>
        </is>
      </c>
      <c r="U11" s="19" t="inlineStr">
        <is>
          <t>The obstacle is the previous generation's concealed history: Pinky's illegitimate birth, her adoption, and the fact that her mother is the wife of the poet who once loved Vicky's mother. Nobody opposes the match directly.</t>
        </is>
      </c>
      <c r="V11" s="20" t="n">
        <v>5</v>
      </c>
      <c r="W11" s="19" t="inlineStr">
        <is>
          <t>Vicky is a romantic figure and the film is entirely about love, but he is fifth-billed in an ensemble and spends much of his thread waiting on someone else's discovery. Devotion is present; romantic heroism is not required of him.</t>
        </is>
      </c>
      <c r="X11" s="20" t="n">
        <v>9</v>
      </c>
      <c r="Y11" s="20" t="n">
        <v>8</v>
      </c>
      <c r="Z11" s="20" t="n">
        <v>6</v>
      </c>
      <c r="AA11" s="20" t="n">
        <v>7</v>
      </c>
      <c r="AB11" s="20" t="n">
        <v>7</v>
      </c>
      <c r="AC11" s="19" t="inlineStr">
        <is>
          <t>Interpretive reading; no located review discusses this pairing specifically. The Kapoor and Neetu Singh rapport is used here as the film's lighter register against the Bachchan and Raakhee melancholy, and it works largely on their established ease.</t>
        </is>
      </c>
      <c r="AD11" s="5" t="inlineStr">
        <is>
          <t>Yes</t>
        </is>
      </c>
      <c r="AE11" s="5" t="inlineStr">
        <is>
          <t>No</t>
        </is>
      </c>
      <c r="AF11" s="5" t="inlineStr">
        <is>
          <t>No</t>
        </is>
      </c>
      <c r="AG11" s="5" t="inlineStr">
        <is>
          <t>No</t>
        </is>
      </c>
      <c r="AH11" s="5" t="inlineStr">
        <is>
          <t>Yes</t>
        </is>
      </c>
      <c r="AI11" s="5" t="inlineStr">
        <is>
          <t>No</t>
        </is>
      </c>
      <c r="AJ11" s="5" t="inlineStr">
        <is>
          <t>Partial</t>
        </is>
      </c>
      <c r="AK11" s="19" t="inlineStr">
        <is>
          <t>Little; he is constant throughout, and the change belongs to Pinky.</t>
        </is>
      </c>
      <c r="AL11" s="19" t="inlineStr">
        <is>
          <t>From a confident young woman to one who severs ties with her adoptive parents and goes looking for the mother who gave her up.</t>
        </is>
      </c>
      <c r="AM11" s="5" t="inlineStr">
        <is>
          <t>Reunited once the older generation's secrets are resolved.</t>
        </is>
      </c>
      <c r="AN11" s="5" t="inlineStr">
        <is>
          <t>Yes</t>
        </is>
      </c>
      <c r="AO11" s="5" t="inlineStr">
        <is>
          <t>Happy</t>
        </is>
      </c>
      <c r="AP11" s="5" t="inlineStr">
        <is>
          <t>'Tere Chehre Se Nazar Nahin', 'Pyar Kar Liya To Kya'</t>
        </is>
      </c>
      <c r="AQ11" s="19" t="inlineStr">
        <is>
          <t>The junior romance in a two-generation film, and structurally the optimistic answer to the Amit and Pooja story: what the parents could not have, the children get. Vicky's own agency is limited, which is why lover-boy sits mid-scale despite a very high romance centrality for the film as a whole.</t>
        </is>
      </c>
      <c r="AR11" s="19" t="inlineStr">
        <is>
          <t>Pinky is given the film's most active younger-generation decision, to go and find her birth mother, and the film treats her illegitimacy with more sympathy than the period usually managed. Vicky's role in her crisis is mainly to wait, which reads now as a reasonable division rather than a failing.</t>
        </is>
      </c>
      <c r="AS11" s="5" t="inlineStr">
        <is>
          <t>SOURCE-001; SOURCE-010</t>
        </is>
      </c>
      <c r="AT11" s="5" t="inlineStr">
        <is>
          <t>Medium</t>
        </is>
      </c>
    </row>
    <row r="12" ht="94" customHeight="1">
      <c r="A12" s="15" t="inlineStr">
        <is>
          <t>PAIR-010</t>
        </is>
      </c>
      <c r="B12" s="18" t="inlineStr">
        <is>
          <t>FILM-010</t>
        </is>
      </c>
      <c r="C12" s="5" t="inlineStr">
        <is>
          <t>Barood</t>
        </is>
      </c>
      <c r="D12" s="17" t="n">
        <v>1976</v>
      </c>
      <c r="E12" s="5" t="inlineStr">
        <is>
          <t>Anup D. Saxena (Pappu)</t>
        </is>
      </c>
      <c r="F12" s="5" t="inlineStr">
        <is>
          <t>Shoma Anand</t>
        </is>
      </c>
      <c r="G12" s="5" t="inlineStr">
        <is>
          <t>Seema Bakshi</t>
        </is>
      </c>
      <c r="H12" s="5" t="inlineStr">
        <is>
          <t>Female lead</t>
        </is>
      </c>
      <c r="I12" s="5" t="inlineStr">
        <is>
          <t>Yes</t>
        </is>
      </c>
      <c r="J12" s="19" t="inlineStr">
        <is>
          <t>Romance subordinate to another genre</t>
        </is>
      </c>
      <c r="K12" s="5" t="inlineStr">
        <is>
          <t>Strangers; she is the daughter of the last man on his list</t>
        </is>
      </c>
      <c r="L12" s="5" t="inlineStr">
        <is>
          <t>In Madrid, where Bakshi runs a wine business; Anup begins falling for his daughter while hunting him.</t>
        </is>
      </c>
      <c r="M12" s="5" t="inlineStr">
        <is>
          <t>Anup</t>
        </is>
      </c>
      <c r="N12" s="19" t="inlineStr">
        <is>
          <t>Compromised from the start: he is drawn to her while pursuing her father, and the attachment ends with him kidnapping her to force Bakshi's hand.</t>
        </is>
      </c>
      <c r="O12" s="19" t="inlineStr">
        <is>
          <t>Genuine attraction running directly against the purpose that brought him there.</t>
        </is>
      </c>
      <c r="P12" s="19" t="inlineStr">
        <is>
          <t>He abducts her and uses her against her father, then abandons her.</t>
        </is>
      </c>
      <c r="Q12" s="20" t="n">
        <v>6</v>
      </c>
      <c r="R12" s="19" t="inlineStr">
        <is>
          <t>The relationship contains a kidnapping and an abandonment. Whatever feeling exists is subordinated to the revenge, and he leaves her stranded on the road rather than take her with him.</t>
        </is>
      </c>
      <c r="S12" s="20" t="n">
        <v>7</v>
      </c>
      <c r="T12" s="5" t="inlineStr">
        <is>
          <t>Family; Crime</t>
        </is>
      </c>
      <c r="U12" s="19" t="inlineStr">
        <is>
          <t>Her father is the mafia lord Anup has come to kill, and he dies in the car chase that follows. The opposition is not disapproval but the fact that the romance and the mission cannot both survive.</t>
        </is>
      </c>
      <c r="V12" s="20" t="n">
        <v>2</v>
      </c>
      <c r="W12" s="19" t="inlineStr">
        <is>
          <t>Anup is a revenge protagonist, not a lover. He woos Bakshi's assistant Sapna purely for information, uses Seema as leverage, and surrenders to the police rather than stay with her. Romance is incidental to a role organised entirely around killing four men.</t>
        </is>
      </c>
      <c r="X12" s="20" t="n">
        <v>3</v>
      </c>
      <c r="Y12" s="20" t="n">
        <v>3</v>
      </c>
      <c r="Z12" s="20" t="n">
        <v>4</v>
      </c>
      <c r="AA12" s="20" t="n">
        <v>3</v>
      </c>
      <c r="AB12" s="20" t="n">
        <v>5</v>
      </c>
      <c r="AC12" s="19" t="inlineStr">
        <is>
          <t>Interpretive reading; no located review assesses this pairing. The article gives the relationship almost entirely in plot terms, and what it describes is instrumental rather than romantic.</t>
        </is>
      </c>
      <c r="AD12" s="5" t="inlineStr">
        <is>
          <t>No</t>
        </is>
      </c>
      <c r="AE12" s="5" t="inlineStr">
        <is>
          <t>Yes</t>
        </is>
      </c>
      <c r="AF12" s="5" t="inlineStr">
        <is>
          <t>No</t>
        </is>
      </c>
      <c r="AG12" s="5" t="inlineStr">
        <is>
          <t>Yes</t>
        </is>
      </c>
      <c r="AH12" s="5" t="inlineStr">
        <is>
          <t>Yes</t>
        </is>
      </c>
      <c r="AI12" s="5" t="inlineStr">
        <is>
          <t>No</t>
        </is>
      </c>
      <c r="AJ12" s="5" t="inlineStr">
        <is>
          <t>No</t>
        </is>
      </c>
      <c r="AK12" s="19" t="inlineStr">
        <is>
          <t>None; he completes the revenge and surrenders, and the attachment changes nothing.</t>
        </is>
      </c>
      <c r="AL12" s="19" t="inlineStr">
        <is>
          <t>Loses her father to the man she wanted to leave with, and is abandoned on the road.</t>
        </is>
      </c>
      <c r="AM12" s="5" t="inlineStr">
        <is>
          <t>He leaves her stranded and hands himself to the police; the article gives no reunion.</t>
        </is>
      </c>
      <c r="AN12" s="5" t="inlineStr">
        <is>
          <t>No</t>
        </is>
      </c>
      <c r="AO12" s="5" t="inlineStr">
        <is>
          <t>Unresolved</t>
        </is>
      </c>
      <c r="AP12" s="5" t="n"/>
      <c r="AQ12" s="19" t="inlineStr">
        <is>
          <t>A useful outlier in the 1970s run: Kapoor in a revenge thriller where the romance is a tool and the hero walks away from it. The low lover-boy score against a high billing shows how far the persona could be set aside when the genre required it.</t>
        </is>
      </c>
      <c r="AR12" s="19" t="inlineStr">
        <is>
          <t>Two women are used instrumentally here, Sapna for information and Seema as a hostage, and the film treats neither as a wrong requiring redress. Read now, the hero's surrender is framed as moral resolution while the abduction of the woman who loved him goes unremarked.</t>
        </is>
      </c>
      <c r="AS12" s="5" t="inlineStr">
        <is>
          <t>SOURCE-001; SOURCE-014</t>
        </is>
      </c>
      <c r="AT12" s="5" t="inlineStr">
        <is>
          <t>Low</t>
        </is>
      </c>
    </row>
    <row r="13" ht="94" customHeight="1">
      <c r="A13" s="15" t="inlineStr">
        <is>
          <t>PAIR-011</t>
        </is>
      </c>
      <c r="B13" s="18" t="inlineStr">
        <is>
          <t>FILM-011</t>
        </is>
      </c>
      <c r="C13" s="5" t="inlineStr">
        <is>
          <t>Rangila Ratan</t>
        </is>
      </c>
      <c r="D13" s="17" t="n">
        <v>1976</v>
      </c>
      <c r="E13" s="5" t="inlineStr">
        <is>
          <t>Ratan</t>
        </is>
      </c>
      <c r="F13" s="5" t="inlineStr">
        <is>
          <t>Parveen Babi</t>
        </is>
      </c>
      <c r="G13" s="5" t="inlineStr">
        <is>
          <t>Madhu</t>
        </is>
      </c>
      <c r="H13" s="5" t="inlineStr">
        <is>
          <t>Female lead</t>
        </is>
      </c>
      <c r="I13" s="5" t="inlineStr">
        <is>
          <t>Yes</t>
        </is>
      </c>
      <c r="J13" s="19" t="inlineStr">
        <is>
          <t>Romance subordinate to another genre</t>
        </is>
      </c>
      <c r="K13" s="5" t="inlineStr">
        <is>
          <t>Not documented</t>
        </is>
      </c>
      <c r="L13" s="5" t="inlineStr">
        <is>
          <t>Not documented; the article refers to Madhu only as his love.</t>
        </is>
      </c>
      <c r="M13" s="5" t="inlineStr">
        <is>
          <t>Not documented</t>
        </is>
      </c>
      <c r="N13" s="19" t="inlineStr">
        <is>
          <t>Not documented; the relationship is named rather than dramatised in the article's summary.</t>
        </is>
      </c>
      <c r="O13" s="19" t="inlineStr">
        <is>
          <t>Not documented.</t>
        </is>
      </c>
      <c r="P13" s="19" t="inlineStr">
        <is>
          <t>Not documented; the pressure on the relationship comes from his concealed identity and his criminal foster-father.</t>
        </is>
      </c>
      <c r="Q13" s="20" t="n">
        <v>2</v>
      </c>
      <c r="R13" s="19" t="inlineStr">
        <is>
          <t>No conflict between them is recorded. The threat to the relationship is that he is living under a dead man's name while the man who raised him as a weapon hunts him.</t>
        </is>
      </c>
      <c r="S13" s="20" t="n">
        <v>7</v>
      </c>
      <c r="T13" s="5" t="inlineStr">
        <is>
          <t>Family; Crime</t>
        </is>
      </c>
      <c r="U13" s="19" t="inlineStr">
        <is>
          <t>Laxman Dada raised him from a kidnapped child specifically to destroy the father he does not know he has, and pursues him when he runs. Any life with Madhu depends on escaping that design.</t>
        </is>
      </c>
      <c r="V13" s="20" t="n">
        <v>4</v>
      </c>
      <c r="W13" s="19" t="inlineStr">
        <is>
          <t>The article poses the question of whether he will manage a new life with Madhu as one of the film's open questions, which places the romance among his stakes without making it his defining activity. The role is organised around identity and revenge.</t>
        </is>
      </c>
      <c r="X13" s="20" t="n">
        <v>5</v>
      </c>
      <c r="Y13" s="20" t="n">
        <v>5</v>
      </c>
      <c r="Z13" s="20" t="n">
        <v>5</v>
      </c>
      <c r="AA13" s="20" t="n">
        <v>4</v>
      </c>
      <c r="AB13" s="20" t="n">
        <v>5</v>
      </c>
      <c r="AC13" s="19" t="inlineStr">
        <is>
          <t>Interpretive reading; no located review discusses this pairing and the article gives the relationship in a single clause. There is not enough recorded interaction to judge it.</t>
        </is>
      </c>
      <c r="AD13" s="5" t="inlineStr">
        <is>
          <t>Unclear</t>
        </is>
      </c>
      <c r="AE13" s="5" t="inlineStr">
        <is>
          <t>Unclear</t>
        </is>
      </c>
      <c r="AF13" s="5" t="inlineStr">
        <is>
          <t>No</t>
        </is>
      </c>
      <c r="AG13" s="5" t="inlineStr">
        <is>
          <t>Yes</t>
        </is>
      </c>
      <c r="AH13" s="5" t="inlineStr">
        <is>
          <t>Unclear</t>
        </is>
      </c>
      <c r="AI13" s="5" t="inlineStr">
        <is>
          <t>Unclear</t>
        </is>
      </c>
      <c r="AJ13" s="5" t="inlineStr">
        <is>
          <t>Unclear</t>
        </is>
      </c>
      <c r="AK13" s="19" t="inlineStr">
        <is>
          <t>Not documented; the article's plot ends before any resolution.</t>
        </is>
      </c>
      <c r="AL13" s="19" t="inlineStr">
        <is>
          <t>Not documented.</t>
        </is>
      </c>
      <c r="AM13" s="5" t="inlineStr">
        <is>
          <t>Not documented; the article closes with the question of whether he will begin a new life with Madhu.</t>
        </is>
      </c>
      <c r="AN13" s="5" t="inlineStr">
        <is>
          <t>Unclear</t>
        </is>
      </c>
      <c r="AO13" s="5" t="inlineStr">
        <is>
          <t>Unresolved</t>
        </is>
      </c>
      <c r="AP13" s="5" t="n"/>
      <c r="AQ13" s="19" t="inlineStr">
        <is>
          <t>Scored thinly because the article's plot section ends in rhetorical questions rather than a resolution. The pairing is recorded because the relationship is explicitly one of the stakes the film sets up, but almost every field is undocumented.</t>
        </is>
      </c>
      <c r="AR13" s="19" t="inlineStr">
        <is>
          <t>Too little survives to read the film's framing of the relationship, beyond noting that Madhu is positioned as the reward for successful reform rather than as a participant in it.</t>
        </is>
      </c>
      <c r="AS13" s="5" t="inlineStr">
        <is>
          <t>SOURCE-001; SOURCE-012</t>
        </is>
      </c>
      <c r="AT13" s="5" t="inlineStr">
        <is>
          <t>Low</t>
        </is>
      </c>
    </row>
    <row r="14" ht="109" customHeight="1">
      <c r="A14" s="15" t="inlineStr">
        <is>
          <t>PAIR-012</t>
        </is>
      </c>
      <c r="B14" s="18" t="inlineStr">
        <is>
          <t>FILM-013</t>
        </is>
      </c>
      <c r="C14" s="5" t="inlineStr">
        <is>
          <t>Laila Majnu</t>
        </is>
      </c>
      <c r="D14" s="17" t="n">
        <v>1976</v>
      </c>
      <c r="E14" s="5" t="inlineStr">
        <is>
          <t>Qais Al-Amri</t>
        </is>
      </c>
      <c r="F14" s="5" t="inlineStr">
        <is>
          <t>Ranjeeta Kaur</t>
        </is>
      </c>
      <c r="G14" s="5" t="inlineStr">
        <is>
          <t>Laila</t>
        </is>
      </c>
      <c r="H14" s="5" t="inlineStr">
        <is>
          <t>Female lead</t>
        </is>
      </c>
      <c r="I14" s="5" t="inlineStr">
        <is>
          <t>Yes</t>
        </is>
      </c>
      <c r="J14" s="19" t="inlineStr">
        <is>
          <t>Tragic lovers</t>
        </is>
      </c>
      <c r="K14" s="5" t="inlineStr">
        <is>
          <t>Childhood sweethearts from feuding clans</t>
        </is>
      </c>
      <c r="L14" s="5" t="inlineStr">
        <is>
          <t>As children at the madarsa, where Qais writes Laila's name on his slate instead of God's; they meet again as adults in the marketplace of her town when he comes to buy camels.</t>
        </is>
      </c>
      <c r="M14" s="5" t="inlineStr">
        <is>
          <t>Neither; the bond is presented as pre-existing and supernatural</t>
        </is>
      </c>
      <c r="N14" s="19" t="inlineStr">
        <is>
          <t>Secret meetings in childhood, forcible separation, then secret meetings again as adults, until a killing ends any possibility of union.</t>
        </is>
      </c>
      <c r="O14" s="19" t="inlineStr">
        <is>
          <t>Absolute and mutual to the point of the physical: when one is hurt, the other bleeds.</t>
        </is>
      </c>
      <c r="P14" s="19" t="inlineStr">
        <is>
          <t>None whatever; the lovers are never divided from each other.</t>
        </is>
      </c>
      <c r="Q14" s="20" t="n">
        <v>0</v>
      </c>
      <c r="R14" s="19" t="inlineStr">
        <is>
          <t>There is no interpersonal conflict at any point. The film's entire dramatic pressure is external, and the pair's unanimity is the premise from which everything else follows.</t>
        </is>
      </c>
      <c r="S14" s="20" t="n">
        <v>10</v>
      </c>
      <c r="T14" s="5" t="inlineStr">
        <is>
          <t>Family; Community; Fate</t>
        </is>
      </c>
      <c r="U14" s="19" t="inlineStr">
        <is>
          <t>Two clans, the Amaris and Sharwaris, who cannot conceive of being joined by love rather than blood; a father who withdraws Laila from school to protect her reputation; her brother Tabrez, who kills Qais's father and is killed in turn; exile; and her marriage to Prince Bakhsh. The opposition is total and ends in death.</t>
        </is>
      </c>
      <c r="V14" s="20" t="n">
        <v>10</v>
      </c>
      <c r="W14" s="19" t="inlineStr">
        <is>
          <t>The definitive lover-boy role of the filmography alongside Bobby, and in some ways its purest form: Qais has no identity apart from loving Laila, loses his name to become Majnu, abandons society entirely and wanders the desert for a single sight of her. Nothing else remains of the character.</t>
        </is>
      </c>
      <c r="X14" s="20" t="n">
        <v>10</v>
      </c>
      <c r="Y14" s="20" t="n">
        <v>6</v>
      </c>
      <c r="Z14" s="20" t="n">
        <v>9</v>
      </c>
      <c r="AA14" s="20" t="n">
        <v>4</v>
      </c>
      <c r="AB14" s="20" t="n">
        <v>8</v>
      </c>
      <c r="AC14" s="19" t="inlineStr">
        <is>
          <t>Interpretive reading; no located review assesses the pairing. The film's power rests on the mutuality of the obsession being credible, and Madan Mohan and Jaidev's songs carry much of that work; the role remains the best-known screen Majnu of its generation.</t>
        </is>
      </c>
      <c r="AD14" s="5" t="inlineStr">
        <is>
          <t>No</t>
        </is>
      </c>
      <c r="AE14" s="5" t="inlineStr">
        <is>
          <t>No</t>
        </is>
      </c>
      <c r="AF14" s="5" t="inlineStr">
        <is>
          <t>No</t>
        </is>
      </c>
      <c r="AG14" s="5" t="inlineStr">
        <is>
          <t>No</t>
        </is>
      </c>
      <c r="AH14" s="5" t="inlineStr">
        <is>
          <t>Yes</t>
        </is>
      </c>
      <c r="AI14" s="5" t="inlineStr">
        <is>
          <t>Yes</t>
        </is>
      </c>
      <c r="AJ14" s="5" t="inlineStr">
        <is>
          <t>Partial</t>
        </is>
      </c>
      <c r="AK14" s="19" t="inlineStr">
        <is>
          <t>From a boy who cannot write God's name for thinking of her to a man who has dissolved entirely into the love, losing his name, his home and finally his reason.</t>
        </is>
      </c>
      <c r="AL14" s="19" t="inlineStr">
        <is>
          <t>Married to a prince who promises to keep his distance until he can replace Majnu in her heart, which he never does.</t>
        </is>
      </c>
      <c r="AM14" s="5" t="inlineStr">
        <is>
          <t>Death; the article records that when Bakhsh finally understands the nature of their love, it is too late.</t>
        </is>
      </c>
      <c r="AN14" s="5" t="inlineStr">
        <is>
          <t>No</t>
        </is>
      </c>
      <c r="AO14" s="5" t="inlineStr">
        <is>
          <t>Tragic</t>
        </is>
      </c>
      <c r="AP14" s="5" t="inlineStr">
        <is>
          <t>'Hussn Hazir Hai', 'Tere Dar Ko Chhod Chale', 'Likhe Jo Khat Tujhe'</t>
        </is>
      </c>
      <c r="AQ14" s="19" t="inlineStr">
        <is>
          <t>The extreme case of the pattern that runs through the whole early filmography: pair friction at zero, external opposition at maximum. Where Bobby resolves that structure happily, Laila Majnu carries it to its logical end, and the two films together define the range of Kapoor's romantic persona in the 1970s.</t>
        </is>
      </c>
      <c r="AR14" s="19" t="inlineStr">
        <is>
          <t>The film presents self-annihilating love as the highest value, which is the legend's own framing and is hard to argue with on its terms. A modern reading notices that Laila is married off, contained and largely static while Majnu's suffering is the spectacle, and that the prince who respects her refusal is treated as an obstacle rather than as the one man who asks her consent.</t>
        </is>
      </c>
      <c r="AS14" s="5" t="inlineStr">
        <is>
          <t>SOURCE-001; SOURCE-011</t>
        </is>
      </c>
      <c r="AT14" s="5" t="inlineStr">
        <is>
          <t>Medium</t>
        </is>
      </c>
    </row>
    <row r="15" ht="109" customHeight="1">
      <c r="A15" s="15" t="inlineStr">
        <is>
          <t>PAIR-013</t>
        </is>
      </c>
      <c r="B15" s="18" t="inlineStr">
        <is>
          <t>FILM-014</t>
        </is>
      </c>
      <c r="C15" s="5" t="inlineStr">
        <is>
          <t>Amar Akbar Anthony</t>
        </is>
      </c>
      <c r="D15" s="17" t="n">
        <v>1977</v>
      </c>
      <c r="E15" s="5" t="inlineStr">
        <is>
          <t>Akbar Illhabadi</t>
        </is>
      </c>
      <c r="F15" s="5" t="inlineStr">
        <is>
          <t>Neetu Singh</t>
        </is>
      </c>
      <c r="G15" s="5" t="inlineStr">
        <is>
          <t>Dr. Salma Ali</t>
        </is>
      </c>
      <c r="H15" s="5" t="inlineStr">
        <is>
          <t>Female lead opposite Kapoor; one of three heroines</t>
        </is>
      </c>
      <c r="I15" s="5" t="inlineStr">
        <is>
          <t>Partial</t>
        </is>
      </c>
      <c r="J15" s="19" t="inlineStr">
        <is>
          <t>Forbidden love</t>
        </is>
      </c>
      <c r="K15" s="5" t="inlineStr">
        <is>
          <t>Acquainted; he courts her at the hospital where she works</t>
        </is>
      </c>
      <c r="L15" s="5" t="inlineStr">
        <is>
          <t>At the hospital, where Akbar comes to romance Dr. Salma Ali; the article introduces them already attached, with her father the obstacle.</t>
        </is>
      </c>
      <c r="M15" s="5" t="inlineStr">
        <is>
          <t>Akbar, conspicuously and musically</t>
        </is>
      </c>
      <c r="N15" s="19" t="inlineStr">
        <is>
          <t>Public, performed and comic: he serenades her in qawwali, and the pursuit is conducted in songs rather than in private scenes.</t>
        </is>
      </c>
      <c r="O15" s="19" t="inlineStr">
        <is>
          <t>Light, teasing and mutual, played against her father's disapproval rather than against any doubt of hers.</t>
        </is>
      </c>
      <c r="P15" s="19" t="inlineStr">
        <is>
          <t>None of substance between them.</t>
        </is>
      </c>
      <c r="Q15" s="20" t="n">
        <v>2</v>
      </c>
      <c r="R15" s="19" t="inlineStr">
        <is>
          <t>The couple is aligned throughout. Such friction as exists is between Akbar and her father Taiyyab Ali, who is the target of the film's most famous comic number.</t>
        </is>
      </c>
      <c r="S15" s="20" t="n">
        <v>5</v>
      </c>
      <c r="T15" s="5" t="inlineStr">
        <is>
          <t>Family</t>
        </is>
      </c>
      <c r="U15" s="19" t="inlineStr">
        <is>
          <t>Salma's grumpy father Taiyyab Ali disapproves of Akbar and is the standing obstacle to the match, though the film treats him comically rather than as a real threat.</t>
        </is>
      </c>
      <c r="V15" s="20" t="n">
        <v>5</v>
      </c>
      <c r="W15" s="19" t="inlineStr">
        <is>
          <t>Akbar is the most romantic of the three brothers and carries the film's courtship songs, but he is one of three leads in a plot about a family's reunion, and the romance is a strand rather than the spine. Devotion is real; the film's demands on him lie elsewhere.</t>
        </is>
      </c>
      <c r="X15" s="20" t="n">
        <v>5</v>
      </c>
      <c r="Y15" s="20" t="n">
        <v>8</v>
      </c>
      <c r="Z15" s="20" t="n">
        <v>7</v>
      </c>
      <c r="AA15" s="20" t="n">
        <v>6</v>
      </c>
      <c r="AB15" s="20" t="n">
        <v>8</v>
      </c>
      <c r="AC15" s="19" t="inlineStr">
        <is>
          <t>Interpretive reading; no located review assesses the pairing. This is among the most enduring of the Kapoor and Neetu Singh pairings, and the qawwali sequences do most of the work, giving the courtship a performed, public charm that the film's other romances lack.</t>
        </is>
      </c>
      <c r="AD15" s="5" t="inlineStr">
        <is>
          <t>Yes</t>
        </is>
      </c>
      <c r="AE15" s="5" t="inlineStr">
        <is>
          <t>No</t>
        </is>
      </c>
      <c r="AF15" s="5" t="inlineStr">
        <is>
          <t>No</t>
        </is>
      </c>
      <c r="AG15" s="5" t="inlineStr">
        <is>
          <t>Partial</t>
        </is>
      </c>
      <c r="AH15" s="5" t="inlineStr">
        <is>
          <t>No</t>
        </is>
      </c>
      <c r="AI15" s="5" t="inlineStr">
        <is>
          <t>No</t>
        </is>
      </c>
      <c r="AJ15" s="5" t="inlineStr">
        <is>
          <t>Partial</t>
        </is>
      </c>
      <c r="AK15" s="19" t="inlineStr">
        <is>
          <t>Little; Akbar is constant, and the film's transformation is the family's restoration rather than his.</t>
        </is>
      </c>
      <c r="AL15" s="19" t="inlineStr">
        <is>
          <t>Moves from a daughter under her father's authority to a woman who marries against it.</t>
        </is>
      </c>
      <c r="AM15" s="5" t="inlineStr">
        <is>
          <t>They are united as the family is restored.</t>
        </is>
      </c>
      <c r="AN15" s="5" t="inlineStr">
        <is>
          <t>Yes</t>
        </is>
      </c>
      <c r="AO15" s="5" t="inlineStr">
        <is>
          <t>Happy</t>
        </is>
      </c>
      <c r="AP15" s="5" t="inlineStr">
        <is>
          <t>'Parda Hai Parda', 'Tayyab Ali Pyar Ka Dushman'</t>
        </is>
      </c>
      <c r="AQ15" s="19" t="inlineStr">
        <is>
          <t>The clearest example of a Kapoor romance conducted through music rather than through plot: the courtship exists almost entirely in two qawwalis, and the relationship's texture is public performance. Romance centrality is mid-scale because the film belongs to the three-brother structure, not to this pairing.</t>
        </is>
      </c>
      <c r="AR15" s="19" t="inlineStr">
        <is>
          <t>The courtship is consensual, mutual and good-humoured, which has aged well. 'Tayyab Ali Pyar Ka Dushman' is a public humiliation of the heroine's father staged as a crowd-pleaser, and it is the one element that reads more uncomfortably now than it did.</t>
        </is>
      </c>
      <c r="AS15" s="5" t="inlineStr">
        <is>
          <t>SOURCE-001; SOURCE-015</t>
        </is>
      </c>
      <c r="AT15" s="5" t="inlineStr">
        <is>
          <t>Medium</t>
        </is>
      </c>
    </row>
    <row r="16" ht="94" customHeight="1">
      <c r="A16" s="15" t="inlineStr">
        <is>
          <t>PAIR-014</t>
        </is>
      </c>
      <c r="B16" s="18" t="inlineStr">
        <is>
          <t>FILM-015</t>
        </is>
      </c>
      <c r="C16" s="5" t="inlineStr">
        <is>
          <t>Hum Kisise Kum Naheen</t>
        </is>
      </c>
      <c r="D16" s="17" t="n">
        <v>1977</v>
      </c>
      <c r="E16" s="5" t="inlineStr">
        <is>
          <t>Rajesh</t>
        </is>
      </c>
      <c r="F16" s="5" t="inlineStr">
        <is>
          <t>Kaajal Kiran</t>
        </is>
      </c>
      <c r="G16" s="5" t="inlineStr">
        <is>
          <t>Kajal Kisharina</t>
        </is>
      </c>
      <c r="H16" s="5" t="inlineStr">
        <is>
          <t>Female lead</t>
        </is>
      </c>
      <c r="I16" s="5" t="inlineStr">
        <is>
          <t>Yes</t>
        </is>
      </c>
      <c r="J16" s="19" t="inlineStr">
        <is>
          <t>Relationship manipulated by outsiders</t>
        </is>
      </c>
      <c r="K16" s="5" t="inlineStr">
        <is>
          <t>Strangers; she is the daughter of the man he believes has wronged him</t>
        </is>
      </c>
      <c r="L16" s="5" t="inlineStr">
        <is>
          <t>Rajesh approaches Kajal deliberately, having been told a false story that her father Kishorilal kidnapped a man's son, and pretends to love her in order to extort the diamonds.</t>
        </is>
      </c>
      <c r="M16" s="5" t="inlineStr">
        <is>
          <t>Rajesh, as a calculated tactic</t>
        </is>
      </c>
      <c r="N16" s="19" t="inlineStr">
        <is>
          <t>A sequence of engineered meetings conducted under a false pretence, complicated by Kajal's existing attachment to her childhood love Sanjay and by a rival scheme running alongside his.</t>
        </is>
      </c>
      <c r="O16" s="19" t="inlineStr">
        <is>
          <t>Asymmetric and dishonest at the outset: her feeling is real, his is a manoeuvre.</t>
        </is>
      </c>
      <c r="P16" s="19" t="inlineStr">
        <is>
          <t>The courtship is a deception, and she is attached to another man throughout.</t>
        </is>
      </c>
      <c r="Q16" s="20" t="n">
        <v>5</v>
      </c>
      <c r="R16" s="19" t="inlineStr">
        <is>
          <t>There is no open hostility, but the relationship rests on a lie and on a prior claim: Kajal loves Sanjay, and Rajesh's approach is a scheme. The friction is built into the premise rather than expressed in quarrels.</t>
        </is>
      </c>
      <c r="S16" s="20" t="n">
        <v>6</v>
      </c>
      <c r="T16" s="5" t="inlineStr">
        <is>
          <t>Villain; Existing relationship</t>
        </is>
      </c>
      <c r="U16" s="19" t="inlineStr">
        <is>
          <t>Saudagar Singh's false story is what sets the courtship in motion, and he later uses Kajal directly to get the diamonds. Her attachment to Sanjay is the other standing obstacle.</t>
        </is>
      </c>
      <c r="V16" s="20" t="n">
        <v>4</v>
      </c>
      <c r="W16" s="19" t="inlineStr">
        <is>
          <t>Kapoor is the top-billed romantic star of a musical, but the character courts as a means to an end and is not the man Kajal ends with. The lover-boy apparatus, songs and charm, is fully deployed in the service of a fraud.</t>
        </is>
      </c>
      <c r="X16" s="20" t="n">
        <v>7</v>
      </c>
      <c r="Y16" s="20" t="n">
        <v>3</v>
      </c>
      <c r="Z16" s="20" t="n">
        <v>4</v>
      </c>
      <c r="AA16" s="20" t="n">
        <v>4</v>
      </c>
      <c r="AB16" s="20" t="n">
        <v>6</v>
      </c>
      <c r="AC16" s="19" t="inlineStr">
        <is>
          <t>Interpretive reading; no located review assesses this pairing. The film's reputation rests on its Nasir Hussain musical surface and on R. D. Burman's score rather than on this relationship, which the plot keeps deliberately insincere.</t>
        </is>
      </c>
      <c r="AD16" s="5" t="inlineStr">
        <is>
          <t>Yes</t>
        </is>
      </c>
      <c r="AE16" s="5" t="inlineStr">
        <is>
          <t>Partial</t>
        </is>
      </c>
      <c r="AF16" s="5" t="inlineStr">
        <is>
          <t>Partial</t>
        </is>
      </c>
      <c r="AG16" s="5" t="inlineStr">
        <is>
          <t>Yes</t>
        </is>
      </c>
      <c r="AH16" s="5" t="inlineStr">
        <is>
          <t>Yes</t>
        </is>
      </c>
      <c r="AI16" s="5" t="inlineStr">
        <is>
          <t>Partial</t>
        </is>
      </c>
      <c r="AJ16" s="5" t="inlineStr">
        <is>
          <t>Partial</t>
        </is>
      </c>
      <c r="AK16" s="19" t="inlineStr">
        <is>
          <t>Abandons the scheme and helps rescue her, which is the film's correction of his opening position.</t>
        </is>
      </c>
      <c r="AL16" s="19" t="inlineStr">
        <is>
          <t>Not documented beyond being rescued and paired with Sanjay.</t>
        </is>
      </c>
      <c r="AM16" s="5" t="inlineStr">
        <is>
          <t>The deception collapses; the article states that Sanjay and Kajal become a couple while also pairing Rajesh off, and does not reconcile the two statements.</t>
        </is>
      </c>
      <c r="AN16" s="5" t="inlineStr">
        <is>
          <t>No</t>
        </is>
      </c>
      <c r="AO16" s="5" t="inlineStr">
        <is>
          <t>Unresolved</t>
        </is>
      </c>
      <c r="AP16" s="5" t="inlineStr">
        <is>
          <t>'Kya Hua Tera Vaada', 'Bachna Ae Haseeno', 'Hai Agar Dushman'</t>
        </is>
      </c>
      <c r="AQ16" s="19" t="inlineStr">
        <is>
          <t>One of the few 1970s Kapoor romances in which he is the deceiver rather than the wronged party, and in which the heroine ends with another man. The article's own confusion about the final pairings is preserved rather than resolved.</t>
        </is>
      </c>
      <c r="AR16" s="19" t="inlineStr">
        <is>
          <t>A courtship begun as a plan to abduct and extort is treated by the film as a forgivable misunderstanding once the hero changes his mind, and Kajal is never shown learning what he originally intended. 'Bachna Ae Haseeno' has outlived the film, which makes the framing easy to forget.</t>
        </is>
      </c>
      <c r="AS16" s="5" t="inlineStr">
        <is>
          <t>SOURCE-001; SOURCE-016</t>
        </is>
      </c>
      <c r="AT16" s="5" t="inlineStr">
        <is>
          <t>Low</t>
        </is>
      </c>
    </row>
    <row r="17" ht="94" customHeight="1">
      <c r="A17" s="15" t="inlineStr">
        <is>
          <t>PAIR-015</t>
        </is>
      </c>
      <c r="B17" s="18" t="inlineStr">
        <is>
          <t>FILM-016</t>
        </is>
      </c>
      <c r="C17" s="5" t="inlineStr">
        <is>
          <t>Doosra Aadmi</t>
        </is>
      </c>
      <c r="D17" s="17" t="n">
        <v>1977</v>
      </c>
      <c r="E17" s="5" t="inlineStr">
        <is>
          <t>Karan Saxena</t>
        </is>
      </c>
      <c r="F17" s="5" t="inlineStr">
        <is>
          <t>Raakhee</t>
        </is>
      </c>
      <c r="G17" s="5" t="inlineStr">
        <is>
          <t>Nisha</t>
        </is>
      </c>
      <c r="H17" s="5" t="inlineStr">
        <is>
          <t>Top-billed female lead</t>
        </is>
      </c>
      <c r="I17" s="5" t="inlineStr">
        <is>
          <t>Yes</t>
        </is>
      </c>
      <c r="J17" s="19" t="inlineStr">
        <is>
          <t>Relationship damaged by mistrust</t>
        </is>
      </c>
      <c r="K17" s="5" t="inlineStr">
        <is>
          <t>Employer and employee; he hires her into his advertising agency</t>
        </is>
      </c>
      <c r="L17" s="5" t="inlineStr">
        <is>
          <t>Karan offers Nisha, a gifted advertising woman who became a recluse after her lover Shashi died, a job at his agency, and she accepts.</t>
        </is>
      </c>
      <c r="M17" s="5" t="inlineStr">
        <is>
          <t>Karan professionally; Nisha emotionally, because he resembles the man she lost</t>
        </is>
      </c>
      <c r="N17" s="19" t="inlineStr">
        <is>
          <t>Not a courtship but a drift, conducted inside a workplace and against his recent marriage, with the older woman's attachment resting on a resemblance rather than on him.</t>
        </is>
      </c>
      <c r="O17" s="19" t="inlineStr">
        <is>
          <t>Unequal and displaced: she is attached to a dead man's likeness, and he to an attention his marriage does not give him.</t>
        </is>
      </c>
      <c r="P17" s="19" t="inlineStr">
        <is>
          <t>He is newly married, and she wants him for what he resembles rather than for who he is.</t>
        </is>
      </c>
      <c r="Q17" s="20" t="n">
        <v>5</v>
      </c>
      <c r="R17" s="19" t="inlineStr">
        <is>
          <t>The relationship is founded on a substitution neither can acknowledge, and on a marriage it violates. The article stops before any confrontation, so the friction is latent rather than dramatised.</t>
        </is>
      </c>
      <c r="S17" s="20" t="n">
        <v>4</v>
      </c>
      <c r="T17" s="5" t="inlineStr">
        <is>
          <t>Existing relationship</t>
        </is>
      </c>
      <c r="U17" s="19" t="inlineStr">
        <is>
          <t>The obstacle is internal to the triangle: Karan's wife Timsy. There is no family or social force ranged against them.</t>
        </is>
      </c>
      <c r="V17" s="20" t="n">
        <v>3</v>
      </c>
      <c r="W17" s="19" t="inlineStr">
        <is>
          <t>Karan is the object of an older woman's transferred devotion rather than a pursuer, and the film is interested in what he represents to her. There is no courtship, no rebellion and no sacrifice for love.</t>
        </is>
      </c>
      <c r="X17" s="20" t="n">
        <v>9</v>
      </c>
      <c r="Y17" s="20" t="n">
        <v>3</v>
      </c>
      <c r="Z17" s="20" t="n">
        <v>4</v>
      </c>
      <c r="AA17" s="20" t="n">
        <v>7</v>
      </c>
      <c r="AB17" s="20" t="n">
        <v>6</v>
      </c>
      <c r="AC17" s="19" t="inlineStr">
        <is>
          <t>Interpretive reading; no located review assesses this pairing. The premise requires Kapoor to be credible as a revenant of Shashi Kapoor's character, which the casting arranges neatly, but the article's four-sentence summary leaves the playing undocumented.</t>
        </is>
      </c>
      <c r="AD17" s="5" t="inlineStr">
        <is>
          <t>No</t>
        </is>
      </c>
      <c r="AE17" s="5" t="inlineStr">
        <is>
          <t>Partial</t>
        </is>
      </c>
      <c r="AF17" s="5" t="inlineStr">
        <is>
          <t>Partial</t>
        </is>
      </c>
      <c r="AG17" s="5" t="inlineStr">
        <is>
          <t>Partial</t>
        </is>
      </c>
      <c r="AH17" s="5" t="inlineStr">
        <is>
          <t>Unclear</t>
        </is>
      </c>
      <c r="AI17" s="5" t="inlineStr">
        <is>
          <t>Unclear</t>
        </is>
      </c>
      <c r="AJ17" s="5" t="inlineStr">
        <is>
          <t>No</t>
        </is>
      </c>
      <c r="AK17" s="19" t="inlineStr">
        <is>
          <t>Not documented; the article's summary ends once the triangle is established.</t>
        </is>
      </c>
      <c r="AL17" s="19" t="inlineStr">
        <is>
          <t>Emerges from reclusion into a workplace and an attachment, though to a substitute.</t>
        </is>
      </c>
      <c r="AM17" s="5" t="inlineStr">
        <is>
          <t>Not documented.</t>
        </is>
      </c>
      <c r="AN17" s="5" t="inlineStr">
        <is>
          <t>No</t>
        </is>
      </c>
      <c r="AO17" s="5" t="inlineStr">
        <is>
          <t>Unresolved</t>
        </is>
      </c>
      <c r="AP17" s="5" t="n"/>
      <c r="AQ17" s="19" t="inlineStr">
        <is>
          <t>The most psychologically unusual romance of Kapoor's 1970s work, and the only one in which he is cast as a living reminder of someone dead. Notable also as one of several films in which he and Shashi Kapoor appear together; Shashi's own workbook records this film as a cameo with a Tragic lovers pairing, the other side of the same triangle.</t>
        </is>
      </c>
      <c r="AR17" s="19" t="inlineStr">
        <is>
          <t>The film's interest in a woman's grief and in an older woman's desire was unusual for 1977 and gives Nisha real interiority. What is undocumented is whether the film ultimately punishes her for it, since the article carries no account of the ending.</t>
        </is>
      </c>
      <c r="AS17" s="5" t="inlineStr">
        <is>
          <t>SOURCE-001; SOURCE-017</t>
        </is>
      </c>
      <c r="AT17" s="5" t="inlineStr">
        <is>
          <t>Low</t>
        </is>
      </c>
    </row>
    <row r="18" ht="94" customHeight="1">
      <c r="A18" s="15" t="inlineStr">
        <is>
          <t>PAIR-016</t>
        </is>
      </c>
      <c r="B18" s="18" t="inlineStr">
        <is>
          <t>FILM-016</t>
        </is>
      </c>
      <c r="C18" s="5" t="inlineStr">
        <is>
          <t>Doosra Aadmi</t>
        </is>
      </c>
      <c r="D18" s="17" t="n">
        <v>1977</v>
      </c>
      <c r="E18" s="5" t="inlineStr">
        <is>
          <t>Karan Saxena</t>
        </is>
      </c>
      <c r="F18" s="5" t="inlineStr">
        <is>
          <t>Neetu Singh</t>
        </is>
      </c>
      <c r="G18" s="5" t="inlineStr">
        <is>
          <t>Timsy Saxena</t>
        </is>
      </c>
      <c r="H18" s="5" t="inlineStr">
        <is>
          <t>Second female lead</t>
        </is>
      </c>
      <c r="I18" s="5" t="inlineStr">
        <is>
          <t>No</t>
        </is>
      </c>
      <c r="J18" s="19" t="inlineStr">
        <is>
          <t>Marriage under strain</t>
        </is>
      </c>
      <c r="K18" s="5" t="inlineStr">
        <is>
          <t>Recently married</t>
        </is>
      </c>
      <c r="L18" s="5" t="inlineStr">
        <is>
          <t>Not documented; the marriage is established when the film opens.</t>
        </is>
      </c>
      <c r="M18" s="5" t="inlineStr">
        <is>
          <t>Not applicable</t>
        </is>
      </c>
      <c r="N18" s="19" t="inlineStr">
        <is>
          <t>None shown; the film begins after the wedding and is concerned with what happens to the marriage rather than how it was made.</t>
        </is>
      </c>
      <c r="O18" s="19" t="inlineStr">
        <is>
          <t>A young marriage with a third party inside it almost immediately.</t>
        </is>
      </c>
      <c r="P18" s="19" t="inlineStr">
        <is>
          <t>His growing attachment to Nisha.</t>
        </is>
      </c>
      <c r="Q18" s="20" t="n">
        <v>5</v>
      </c>
      <c r="R18" s="19" t="inlineStr">
        <is>
          <t>The strain is entirely the husband's attachment elsewhere. The article does not record open quarrels, so this is scored on the situation rather than on dramatised conflict.</t>
        </is>
      </c>
      <c r="S18" s="20" t="n">
        <v>3</v>
      </c>
      <c r="T18" s="5" t="inlineStr">
        <is>
          <t>Existing relationship</t>
        </is>
      </c>
      <c r="U18" s="19" t="inlineStr">
        <is>
          <t>The pressure comes from inside the triangle rather than from families or society; nobody opposes the marriage itself.</t>
        </is>
      </c>
      <c r="V18" s="20" t="n">
        <v>2</v>
      </c>
      <c r="W18" s="19" t="inlineStr">
        <is>
          <t>In this relationship Kapoor plays a husband whose attention is elsewhere, which is the opposite of the lover-boy function. There is no courtship and no devotion on display.</t>
        </is>
      </c>
      <c r="X18" s="20" t="n">
        <v>9</v>
      </c>
      <c r="Y18" s="20" t="n">
        <v>4</v>
      </c>
      <c r="Z18" s="20" t="n">
        <v>4</v>
      </c>
      <c r="AA18" s="20" t="n">
        <v>4</v>
      </c>
      <c r="AB18" s="20" t="n">
        <v>6</v>
      </c>
      <c r="AC18" s="19" t="inlineStr">
        <is>
          <t>Interpretive reading; no located review assesses this pairing. The casting relies on the audience's familiarity with Kapoor and Neetu Singh as a couple, which the film then uses as the settled marriage being threatened.</t>
        </is>
      </c>
      <c r="AD18" s="5" t="inlineStr">
        <is>
          <t>Partial</t>
        </is>
      </c>
      <c r="AE18" s="5" t="inlineStr">
        <is>
          <t>Partial</t>
        </is>
      </c>
      <c r="AF18" s="5" t="inlineStr">
        <is>
          <t>Yes</t>
        </is>
      </c>
      <c r="AG18" s="5" t="inlineStr">
        <is>
          <t>Partial</t>
        </is>
      </c>
      <c r="AH18" s="5" t="inlineStr">
        <is>
          <t>Unclear</t>
        </is>
      </c>
      <c r="AI18" s="5" t="inlineStr">
        <is>
          <t>Unclear</t>
        </is>
      </c>
      <c r="AJ18" s="5" t="inlineStr">
        <is>
          <t>No</t>
        </is>
      </c>
      <c r="AK18" s="19" t="inlineStr">
        <is>
          <t>Not documented.</t>
        </is>
      </c>
      <c r="AL18" s="19" t="inlineStr">
        <is>
          <t>Not documented; the article's summary does not follow Timsy past the setup.</t>
        </is>
      </c>
      <c r="AM18" s="5" t="inlineStr">
        <is>
          <t>Not documented.</t>
        </is>
      </c>
      <c r="AN18" s="5" t="inlineStr">
        <is>
          <t>Yes</t>
        </is>
      </c>
      <c r="AO18" s="5" t="inlineStr">
        <is>
          <t>Unresolved</t>
        </is>
      </c>
      <c r="AP18" s="5" t="n"/>
      <c r="AQ18" s="19" t="inlineStr">
        <is>
          <t>Recorded as a separate pairing because the marriage is the thing the film puts at risk, and because it inverts the usual Kapoor and Neetu Singh dynamic: here their established warmth is the status quo rather than the goal.</t>
        </is>
      </c>
      <c r="AR18" s="19" t="inlineStr">
        <is>
          <t>Timsy is positioned as the injured party without being given much to do about it, at least within the article's account. The film's sympathy appears to lie with the two people in the affair rather than with the wife.</t>
        </is>
      </c>
      <c r="AS18" s="5" t="inlineStr">
        <is>
          <t>SOURCE-001; SOURCE-017</t>
        </is>
      </c>
      <c r="AT18" s="5" t="inlineStr">
        <is>
          <t>Low</t>
        </is>
      </c>
    </row>
    <row r="19" ht="109" customHeight="1">
      <c r="A19" s="15" t="inlineStr">
        <is>
          <t>PAIR-017</t>
        </is>
      </c>
      <c r="B19" s="18" t="inlineStr">
        <is>
          <t>FILM-022</t>
        </is>
      </c>
      <c r="C19" s="5" t="inlineStr">
        <is>
          <t>Badaltey Rishtey</t>
        </is>
      </c>
      <c r="D19" s="17" t="n">
        <v>1978</v>
      </c>
      <c r="E19" s="5" t="inlineStr">
        <is>
          <t>Manohar Dhani</t>
        </is>
      </c>
      <c r="F19" s="5" t="inlineStr">
        <is>
          <t>Reena Roy</t>
        </is>
      </c>
      <c r="G19" s="5" t="inlineStr">
        <is>
          <t>Savitri Thakur</t>
        </is>
      </c>
      <c r="H19" s="5" t="inlineStr">
        <is>
          <t>Female lead</t>
        </is>
      </c>
      <c r="I19" s="5" t="inlineStr">
        <is>
          <t>Yes</t>
        </is>
      </c>
      <c r="J19" s="19" t="inlineStr">
        <is>
          <t>Obsessive pursuit</t>
        </is>
      </c>
      <c r="K19" s="5" t="inlineStr">
        <is>
          <t>Strangers</t>
        </is>
      </c>
      <c r="L19" s="5" t="inlineStr">
        <is>
          <t>Manohar, a tourist guide, meets Savitri while she is teaching music, falls for her at the first meeting, and follows her home on the pretext of selling her eggs.</t>
        </is>
      </c>
      <c r="M19" s="5" t="inlineStr">
        <is>
          <t>Manohar, entirely</t>
        </is>
      </c>
      <c r="N19" s="19" t="inlineStr">
        <is>
          <t>Begins as ingratiating comedy, with a fake egg-selling pretext she sees through immediately, and turns after her marriage into a campaign of proximity and threat.</t>
        </is>
      </c>
      <c r="O19" s="19" t="inlineStr">
        <is>
          <t>Initially mutual and warm; after the marriage it curdles into her open hatred of him.</t>
        </is>
      </c>
      <c r="P19" s="19" t="inlineStr">
        <is>
          <t>He offers to kill her husband, reasoning that the astrologer has given the man forty days anyway, and then befriends the husband to demonstrate that he could.</t>
        </is>
      </c>
      <c r="Q19" s="20" t="n">
        <v>8</v>
      </c>
      <c r="R19" s="19" t="inlineStr">
        <is>
          <t>The article states plainly that his offer to kill Sagar begins her hatred of him, that she tells him to stay out of it, and that he responds by entering the household to show he could act at any time. This is sustained coercion directed at her, not an external obstacle.</t>
        </is>
      </c>
      <c r="S19" s="20" t="n">
        <v>7</v>
      </c>
      <c r="T19" s="5" t="inlineStr">
        <is>
          <t>Family; Fate</t>
        </is>
      </c>
      <c r="U19" s="19" t="inlineStr">
        <is>
          <t>Savitri marries Sagar at her critically ill mother's insistence, and the astrologer's prediction that her husband will die within forty days hangs over everything. Sagar's wealth and his family's proposal are what take her out of Manohar's reach.</t>
        </is>
      </c>
      <c r="V19" s="20" t="n">
        <v>6</v>
      </c>
      <c r="W19" s="19" t="inlineStr">
        <is>
          <t>Romance is the whole of Manohar's function and he pursues with the full lover-boy apparatus, but the pursuit turns coercive, which is the opposite of the archetype's devotion. Scored mid-scale to record that the romantic identity is total while the conduct disqualifies it from the upper band.</t>
        </is>
      </c>
      <c r="X19" s="20" t="n">
        <v>8</v>
      </c>
      <c r="Y19" s="20" t="n">
        <v>2</v>
      </c>
      <c r="Z19" s="20" t="n">
        <v>4</v>
      </c>
      <c r="AA19" s="20" t="n">
        <v>7</v>
      </c>
      <c r="AB19" s="20" t="n">
        <v>6</v>
      </c>
      <c r="AC19" s="19" t="inlineStr">
        <is>
          <t>Interpretive reading; no located review assesses this pairing. The early egg-selling courtship is played as charm and the later scenes as menace, and the interest of the pairing is that the same performer supplies both.</t>
        </is>
      </c>
      <c r="AD19" s="5" t="inlineStr">
        <is>
          <t>Yes</t>
        </is>
      </c>
      <c r="AE19" s="5" t="inlineStr">
        <is>
          <t>Yes</t>
        </is>
      </c>
      <c r="AF19" s="5" t="inlineStr">
        <is>
          <t>Yes</t>
        </is>
      </c>
      <c r="AG19" s="5" t="inlineStr">
        <is>
          <t>Yes</t>
        </is>
      </c>
      <c r="AH19" s="5" t="inlineStr">
        <is>
          <t>Yes</t>
        </is>
      </c>
      <c r="AI19" s="5" t="inlineStr">
        <is>
          <t>No</t>
        </is>
      </c>
      <c r="AJ19" s="5" t="inlineStr">
        <is>
          <t>No</t>
        </is>
      </c>
      <c r="AK19" s="19" t="inlineStr">
        <is>
          <t>From an engaging suitor into a standing threat against the woman he claims to love.</t>
        </is>
      </c>
      <c r="AL19" s="19" t="inlineStr">
        <is>
          <t>From a woman falling in love with him to one who protects her husband from him and finally exposes him.</t>
        </is>
      </c>
      <c r="AM19" s="5" t="inlineStr">
        <is>
          <t>Not documented; the article's summary breaks off during Sagar's confrontation with Manohar.</t>
        </is>
      </c>
      <c r="AN19" s="5" t="inlineStr">
        <is>
          <t>No</t>
        </is>
      </c>
      <c r="AO19" s="5" t="inlineStr">
        <is>
          <t>Unresolved</t>
        </is>
      </c>
      <c r="AP19" s="5" t="n"/>
      <c r="AQ19" s="19" t="inlineStr">
        <is>
          <t>The most important corrective in the early filmography to the lover-boy reading. Where Bobby and Laila Majnu score zero to two on pair friction with maximal external opposition, this film puts the friction inside the relationship and makes the Kapoor character its source. It is the first clear instance of the persona being turned against itself.</t>
        </is>
      </c>
      <c r="AR19" s="19" t="inlineStr">
        <is>
          <t>The film's own framing keeps Manohar sympathetic as a thwarted lover, but the plot it describes is a man who proposes murdering a woman's husband and then moves into their house to remind her he could. Savitri's response, refusing, protecting Sagar and finally telling him, is the most decisive female action in the batch, and the film gives her the moral position throughout.</t>
        </is>
      </c>
      <c r="AS19" s="5" t="inlineStr">
        <is>
          <t>SOURCE-001; SOURCE-020</t>
        </is>
      </c>
      <c r="AT19" s="5" t="inlineStr">
        <is>
          <t>Medium</t>
        </is>
      </c>
    </row>
    <row r="20" ht="109" customHeight="1">
      <c r="A20" s="15" t="inlineStr">
        <is>
          <t>PAIR-018</t>
        </is>
      </c>
      <c r="B20" s="18" t="inlineStr">
        <is>
          <t>FILM-023</t>
        </is>
      </c>
      <c r="C20" s="5" t="inlineStr">
        <is>
          <t>Sargam</t>
        </is>
      </c>
      <c r="D20" s="17" t="n">
        <v>1979</v>
      </c>
      <c r="E20" s="5" t="inlineStr">
        <is>
          <t>Raju</t>
        </is>
      </c>
      <c r="F20" s="5" t="inlineStr">
        <is>
          <t>Jaya Prada</t>
        </is>
      </c>
      <c r="G20" s="5" t="inlineStr">
        <is>
          <t>Hema Pradhan</t>
        </is>
      </c>
      <c r="H20" s="5" t="inlineStr">
        <is>
          <t>Female lead</t>
        </is>
      </c>
      <c r="I20" s="5" t="inlineStr">
        <is>
          <t>Yes</t>
        </is>
      </c>
      <c r="J20" s="19" t="inlineStr">
        <is>
          <t>United couple versus external world</t>
        </is>
      </c>
      <c r="K20" s="5" t="inlineStr">
        <is>
          <t>Acquaintances; he is her father's former pupil</t>
        </is>
      </c>
      <c r="L20" s="5" t="inlineStr">
        <is>
          <t>Raju, an old student of the schoolmaster Chintamani Pradhan, visits the house and takes to cheering up his mute daughter Hema.</t>
        </is>
      </c>
      <c r="M20" s="5" t="inlineStr">
        <is>
          <t>Raju, through attention and music rather than declaration</t>
        </is>
      </c>
      <c r="N20" s="19" t="inlineStr">
        <is>
          <t>Almost wordless on her side. He plays the dafli, she dances, and the relationship is conducted through music and protection rather than through speech or conventional courtship.</t>
        </is>
      </c>
      <c r="O20" s="19" t="inlineStr">
        <is>
          <t>Tender and protective, with a marked imbalance of power that the film treats as devotion rather than as control.</t>
        </is>
      </c>
      <c r="P20" s="19" t="inlineStr">
        <is>
          <t>None; they are aligned against the stepmother from the start.</t>
        </is>
      </c>
      <c r="Q20" s="20" t="n">
        <v>1</v>
      </c>
      <c r="R20" s="19" t="inlineStr">
        <is>
          <t>No conflict arises between them at any point. The film's entire opposition is the stepmother Savitri and later the vengeful Prakash.</t>
        </is>
      </c>
      <c r="S20" s="20" t="n">
        <v>8</v>
      </c>
      <c r="T20" s="5" t="inlineStr">
        <is>
          <t>Family; Villain</t>
        </is>
      </c>
      <c r="U20" s="19" t="inlineStr">
        <is>
          <t>Savitri forbids Hema to dance, resents her talent in favour of her own daughter, and throws her out of the house on her father's death. Prakash, who holds a grudge against Raju, attacks him near the end.</t>
        </is>
      </c>
      <c r="V20" s="20" t="n">
        <v>8</v>
      </c>
      <c r="W20" s="19" t="inlineStr">
        <is>
          <t>Raju's whole purpose is Hema's welfare: he cheers her, takes her away when she is evicted, supports her and restores the dancing she was forbidden. It is devotion in the strongest sense, falling short of the top band only because the film is also a musical about her talent rather than purely about the romance.</t>
        </is>
      </c>
      <c r="X20" s="20" t="n">
        <v>8</v>
      </c>
      <c r="Y20" s="20" t="n">
        <v>7</v>
      </c>
      <c r="Z20" s="20" t="n">
        <v>6</v>
      </c>
      <c r="AA20" s="20" t="n">
        <v>4</v>
      </c>
      <c r="AB20" s="20" t="n">
        <v>7</v>
      </c>
      <c r="AC20" s="19" t="inlineStr">
        <is>
          <t>Interpretive reading; no located review assesses this pairing. The relationship has to be carried almost entirely without the heroine's speech, which throws the weight onto the musical sequences; the film is named in the main article among those that fixed Kapoor's romantic-star image.</t>
        </is>
      </c>
      <c r="AD20" s="5" t="inlineStr">
        <is>
          <t>Partial</t>
        </is>
      </c>
      <c r="AE20" s="5" t="inlineStr">
        <is>
          <t>No</t>
        </is>
      </c>
      <c r="AF20" s="5" t="inlineStr">
        <is>
          <t>No</t>
        </is>
      </c>
      <c r="AG20" s="5" t="inlineStr">
        <is>
          <t>No</t>
        </is>
      </c>
      <c r="AH20" s="5" t="inlineStr">
        <is>
          <t>No</t>
        </is>
      </c>
      <c r="AI20" s="5" t="inlineStr">
        <is>
          <t>Yes</t>
        </is>
      </c>
      <c r="AJ20" s="5" t="inlineStr">
        <is>
          <t>Yes</t>
        </is>
      </c>
      <c r="AK20" s="19" t="inlineStr">
        <is>
          <t>From a cheerful visitor to the person her survival depends on.</t>
        </is>
      </c>
      <c r="AL20" s="19" t="inlineStr">
        <is>
          <t>From a girl forbidden to dance and evicted from her home to one restored to both her art and her family.</t>
        </is>
      </c>
      <c r="AM20" s="5" t="inlineStr">
        <is>
          <t>Reunited, with the stepmother reconciled and accepting Hema as a daughter.</t>
        </is>
      </c>
      <c r="AN20" s="5" t="inlineStr">
        <is>
          <t>Yes</t>
        </is>
      </c>
      <c r="AO20" s="5" t="inlineStr">
        <is>
          <t>Happy</t>
        </is>
      </c>
      <c r="AP20" s="5" t="inlineStr">
        <is>
          <t>'Dafliwale Dafli Baja', 'Koyal Boli Duniya Doli', 'Parbat Ke Peechhe'</t>
        </is>
      </c>
      <c r="AQ20" s="19" t="inlineStr">
        <is>
          <t>A romance of protection rather than pursuit, and the clearest case in the batch of the Kapoor hero as a woman's advocate against her own family. Mutuality and female agency sit below the film's warmth because Hema is largely acted upon, by her stepmother, by Raju and by the plot.</t>
        </is>
      </c>
      <c r="AR20" s="19" t="inlineStr">
        <is>
          <t>The film's treatment of a mute heroine is sympathetic and gives her a genuine talent to defend, but it also makes her wholly dependent on a man to voice and rescue her. The framing is protective in a way that reads as benevolent in 1979 and more constraining now.</t>
        </is>
      </c>
      <c r="AS20" s="5" t="inlineStr">
        <is>
          <t>SOURCE-001; SOURCE-024</t>
        </is>
      </c>
      <c r="AT20" s="5" t="inlineStr">
        <is>
          <t>Medium</t>
        </is>
      </c>
    </row>
    <row r="21" ht="94" customHeight="1">
      <c r="A21" s="15" t="inlineStr">
        <is>
          <t>PAIR-019</t>
        </is>
      </c>
      <c r="B21" s="18" t="inlineStr">
        <is>
          <t>FILM-025</t>
        </is>
      </c>
      <c r="C21" s="5" t="inlineStr">
        <is>
          <t>Jhoota Kahin Ka</t>
        </is>
      </c>
      <c r="D21" s="17" t="n">
        <v>1979</v>
      </c>
      <c r="E21" s="5" t="inlineStr">
        <is>
          <t>Ajay Rai</t>
        </is>
      </c>
      <c r="F21" s="5" t="inlineStr">
        <is>
          <t>Neetu Singh</t>
        </is>
      </c>
      <c r="G21" s="5" t="inlineStr">
        <is>
          <t>Sheetal Khanna</t>
        </is>
      </c>
      <c r="H21" s="5" t="inlineStr">
        <is>
          <t>Female lead</t>
        </is>
      </c>
      <c r="I21" s="5" t="inlineStr">
        <is>
          <t>Yes</t>
        </is>
      </c>
      <c r="J21" s="19" t="inlineStr">
        <is>
          <t>Relationship damaged by mistrust</t>
        </is>
      </c>
      <c r="K21" s="5" t="inlineStr">
        <is>
          <t>Strangers; she is the wealthy woman he sets out to win</t>
        </is>
      </c>
      <c r="L21" s="5" t="inlineStr">
        <is>
          <t>Not documented in detail; Ajay, a mechanic leading a double life as a conman, sets his sights on the wealthy Sheetal Khanna.</t>
        </is>
      </c>
      <c r="M21" s="5" t="inlineStr">
        <is>
          <t>Ajay, as part of his ambition to marry money</t>
        </is>
      </c>
      <c r="N21" s="19" t="inlineStr">
        <is>
          <t>Conducted under a false self throughout, by a man the film describes as a lying conman and Casanova, and complicated by his own brother competing for the same woman under another name.</t>
        </is>
      </c>
      <c r="O21" s="19" t="inlineStr">
        <is>
          <t>Built on invention, and undermined by the fact that nothing he says about himself is reliable.</t>
        </is>
      </c>
      <c r="P21" s="19" t="inlineStr">
        <is>
          <t>His lying, which is also what allows him to be framed for murder.</t>
        </is>
      </c>
      <c r="Q21" s="20" t="n">
        <v>5</v>
      </c>
      <c r="R21" s="19" t="inlineStr">
        <is>
          <t>The relationship's problem is his own unreliability rather than any hostility between them. When the frame-up comes, his established dishonesty leaves him with no credible defence, which damages the relationship structurally.</t>
        </is>
      </c>
      <c r="S21" s="20" t="n">
        <v>6</v>
      </c>
      <c r="T21" s="5" t="inlineStr">
        <is>
          <t>Existing relationship; Crime</t>
        </is>
      </c>
      <c r="U21" s="19" t="inlineStr">
        <is>
          <t>Vikram, who is secretly Ajay's brother, works for Sheetal and hopes to marry her himself, and he and Prem conspire to frame Ajay for Mala's murder when they learn she might marry him.</t>
        </is>
      </c>
      <c r="V21" s="20" t="n">
        <v>4</v>
      </c>
      <c r="W21" s="19" t="inlineStr">
        <is>
          <t>The romantic pursuit is constant but mercenary in origin: he dreams of making it big with a wealthy woman. Kapoor plays the charm at full strength, and the film is explicit that it is a performance.</t>
        </is>
      </c>
      <c r="X21" s="20" t="n">
        <v>7</v>
      </c>
      <c r="Y21" s="20" t="n">
        <v>4</v>
      </c>
      <c r="Z21" s="20" t="n">
        <v>5</v>
      </c>
      <c r="AA21" s="20" t="n">
        <v>5</v>
      </c>
      <c r="AB21" s="20" t="n">
        <v>7</v>
      </c>
      <c r="AC21" s="19" t="inlineStr">
        <is>
          <t>Interpretive reading; no located review assesses this pairing. The comedy depends on the established Kapoor and Neetu Singh rapport being used for a courtship the audience knows to be fraudulent.</t>
        </is>
      </c>
      <c r="AD21" s="5" t="inlineStr">
        <is>
          <t>Yes</t>
        </is>
      </c>
      <c r="AE21" s="5" t="inlineStr">
        <is>
          <t>Partial</t>
        </is>
      </c>
      <c r="AF21" s="5" t="inlineStr">
        <is>
          <t>Partial</t>
        </is>
      </c>
      <c r="AG21" s="5" t="inlineStr">
        <is>
          <t>Yes</t>
        </is>
      </c>
      <c r="AH21" s="5" t="inlineStr">
        <is>
          <t>Unclear</t>
        </is>
      </c>
      <c r="AI21" s="5" t="inlineStr">
        <is>
          <t>No</t>
        </is>
      </c>
      <c r="AJ21" s="5" t="inlineStr">
        <is>
          <t>Partial</t>
        </is>
      </c>
      <c r="AK21" s="19" t="inlineStr">
        <is>
          <t>Not documented; the article's plot ends at the framing.</t>
        </is>
      </c>
      <c r="AL21" s="19" t="inlineStr">
        <is>
          <t>Not documented.</t>
        </is>
      </c>
      <c r="AM21" s="5" t="inlineStr">
        <is>
          <t>Not documented; the article stops once Vikram and Prem move against him.</t>
        </is>
      </c>
      <c r="AN21" s="5" t="inlineStr">
        <is>
          <t>Unclear</t>
        </is>
      </c>
      <c r="AO21" s="5" t="inlineStr">
        <is>
          <t>Unresolved</t>
        </is>
      </c>
      <c r="AP21" s="5" t="n"/>
      <c r="AQ21" s="19" t="inlineStr">
        <is>
          <t>A second instance in three years, after Rafoo Chakkar and Hum Kisise Kum Naheen, of a Kapoor courtship conducted under a false identity, here without the earlier films' excuse of self-protection. The cast list complicates the identity structure further by crediting Neetu Singh as Anita Verma / Sheetal Khanna while a separate actress is also credited as Anita Verma.</t>
        </is>
      </c>
      <c r="AR21" s="19" t="inlineStr">
        <is>
          <t>The film treats habitual lying as a comic trait and its consequence, an unprovable innocence, as the punishment, which is a neat moral structure. What it never addresses is that the woman is courted throughout by someone who does not exist.</t>
        </is>
      </c>
      <c r="AS21" s="5" t="inlineStr">
        <is>
          <t>SOURCE-001; SOURCE-025</t>
        </is>
      </c>
      <c r="AT21" s="5" t="inlineStr">
        <is>
          <t>Low</t>
        </is>
      </c>
    </row>
    <row r="22" ht="79" customHeight="1">
      <c r="A22" s="15" t="inlineStr">
        <is>
          <t>PAIR-020</t>
        </is>
      </c>
      <c r="B22" s="18" t="inlineStr">
        <is>
          <t>FILM-026</t>
        </is>
      </c>
      <c r="C22" s="5" t="inlineStr">
        <is>
          <t>Duniya Meri Jeb Mein</t>
        </is>
      </c>
      <c r="D22" s="17" t="n">
        <v>1979</v>
      </c>
      <c r="E22" s="5" t="inlineStr">
        <is>
          <t>Vishal Khanna</t>
        </is>
      </c>
      <c r="F22" s="5" t="inlineStr">
        <is>
          <t>Neetu Singh</t>
        </is>
      </c>
      <c r="G22" s="5" t="inlineStr">
        <is>
          <t>Neeta</t>
        </is>
      </c>
      <c r="H22" s="5" t="inlineStr">
        <is>
          <t>Female lead</t>
        </is>
      </c>
      <c r="I22" s="5" t="inlineStr">
        <is>
          <t>Yes</t>
        </is>
      </c>
      <c r="J22" s="19" t="inlineStr">
        <is>
          <t>Romance subordinate to another genre</t>
        </is>
      </c>
      <c r="K22" s="5" t="inlineStr">
        <is>
          <t>Strangers</t>
        </is>
      </c>
      <c r="L22" s="5" t="inlineStr">
        <is>
          <t>At college, where Vishal, believing himself wealthy, meets Neeta, the only daughter of the rich widower Gulabchand.</t>
        </is>
      </c>
      <c r="M22" s="5" t="inlineStr">
        <is>
          <t>Vishal</t>
        </is>
      </c>
      <c r="N22" s="19" t="inlineStr">
        <is>
          <t>Brief and conventional, reaching a settled engagement early: Gulabchand and Vishal's brother Karan meet and finalise the marriage before the plot turns.</t>
        </is>
      </c>
      <c r="O22" s="19" t="inlineStr">
        <is>
          <t>Untroubled while it lasts, then suspended by catastrophe.</t>
        </is>
      </c>
      <c r="P22" s="19" t="inlineStr">
        <is>
          <t>None between them.</t>
        </is>
      </c>
      <c r="Q22" s="20" t="n">
        <v>2</v>
      </c>
      <c r="R22" s="19" t="inlineStr">
        <is>
          <t>No disagreement is recorded. The relationship is disrupted by the murder of her father, the crippling of his brother and the discovery that Karan's life was a fiction, none of which involves the couple quarrelling.</t>
        </is>
      </c>
      <c r="S22" s="20" t="n">
        <v>6</v>
      </c>
      <c r="T22" s="5" t="inlineStr">
        <is>
          <t>Family; Crime</t>
        </is>
      </c>
      <c r="U22" s="19" t="inlineStr">
        <is>
          <t>Neeta's father is murdered and Vishal's brother is revealed as a circus trapeze artist and a suspect in that murder and a robbery, which places the engagement in an impossible position.</t>
        </is>
      </c>
      <c r="V22" s="20" t="n">
        <v>4</v>
      </c>
      <c r="W22" s="19" t="inlineStr">
        <is>
          <t>A conventional romantic lead in a film that turns into a crime drama about a brother's concealed life. The courtship is settled early and the second half belongs to the investigation.</t>
        </is>
      </c>
      <c r="X22" s="20" t="n">
        <v>5</v>
      </c>
      <c r="Y22" s="20" t="n">
        <v>7</v>
      </c>
      <c r="Z22" s="20" t="n">
        <v>6</v>
      </c>
      <c r="AA22" s="20" t="n">
        <v>4</v>
      </c>
      <c r="AB22" s="20" t="n">
        <v>6</v>
      </c>
      <c r="AC22" s="19" t="inlineStr">
        <is>
          <t>Interpretive reading; no located review assesses this pairing. Another of the many Kapoor and Neetu Singh pairings of the decade, with too little recorded here to distinguish it from the others.</t>
        </is>
      </c>
      <c r="AD22" s="5" t="inlineStr">
        <is>
          <t>Yes</t>
        </is>
      </c>
      <c r="AE22" s="5" t="inlineStr">
        <is>
          <t>No</t>
        </is>
      </c>
      <c r="AF22" s="5" t="inlineStr">
        <is>
          <t>No</t>
        </is>
      </c>
      <c r="AG22" s="5" t="inlineStr">
        <is>
          <t>Partial</t>
        </is>
      </c>
      <c r="AH22" s="5" t="inlineStr">
        <is>
          <t>Partial</t>
        </is>
      </c>
      <c r="AI22" s="5" t="inlineStr">
        <is>
          <t>No</t>
        </is>
      </c>
      <c r="AJ22" s="5" t="inlineStr">
        <is>
          <t>Partial</t>
        </is>
      </c>
      <c r="AK22" s="19" t="inlineStr">
        <is>
          <t>From a young man living on a comfortable fiction to one nursing a crippled brother and facing a police accusation.</t>
        </is>
      </c>
      <c r="AL22" s="19" t="inlineStr">
        <is>
          <t>Loses her father; the article does not follow her further.</t>
        </is>
      </c>
      <c r="AM22" s="5" t="inlineStr">
        <is>
          <t>Not documented; the article ends with Inspector Yadav's revelation.</t>
        </is>
      </c>
      <c r="AN22" s="5" t="inlineStr">
        <is>
          <t>Unclear</t>
        </is>
      </c>
      <c r="AO22" s="5" t="inlineStr">
        <is>
          <t>Unresolved</t>
        </is>
      </c>
      <c r="AP22" s="5" t="n"/>
      <c r="AQ22" s="19" t="inlineStr">
        <is>
          <t>A slight romance in a film that reorganises itself around a brother's secret. Included because the engagement is a formal plot element with families on both sides, but the article gives the relationship no development after the disaster.</t>
        </is>
      </c>
      <c r="AR22" s="19" t="inlineStr">
        <is>
          <t>Neeta is defined by her father's wealth and then by his death, with no independent bearing on the plot. The film's interest is entirely in the two brothers.</t>
        </is>
      </c>
      <c r="AS22" s="5" t="inlineStr">
        <is>
          <t>SOURCE-001; SOURCE-026</t>
        </is>
      </c>
      <c r="AT22" s="5" t="inlineStr">
        <is>
          <t>Low</t>
        </is>
      </c>
    </row>
    <row r="23" ht="94" customHeight="1">
      <c r="A23" s="15" t="inlineStr">
        <is>
          <t>PAIR-021</t>
        </is>
      </c>
      <c r="B23" s="18" t="inlineStr">
        <is>
          <t>FILM-028</t>
        </is>
      </c>
      <c r="C23" s="5" t="inlineStr">
        <is>
          <t>Do Premee</t>
        </is>
      </c>
      <c r="D23" s="17" t="n">
        <v>1980</v>
      </c>
      <c r="E23" s="5" t="inlineStr">
        <is>
          <t>Chetan Prakash</t>
        </is>
      </c>
      <c r="F23" s="5" t="inlineStr">
        <is>
          <t>Moushumi Chatterjee</t>
        </is>
      </c>
      <c r="G23" s="5" t="inlineStr">
        <is>
          <t>Payal</t>
        </is>
      </c>
      <c r="H23" s="5" t="inlineStr">
        <is>
          <t>Female lead</t>
        </is>
      </c>
      <c r="I23" s="5" t="inlineStr">
        <is>
          <t>Yes</t>
        </is>
      </c>
      <c r="J23" s="19" t="inlineStr">
        <is>
          <t>United couple versus external world</t>
        </is>
      </c>
      <c r="K23" s="5" t="inlineStr">
        <is>
          <t>In love before the film's action</t>
        </is>
      </c>
      <c r="L23" s="5" t="inlineStr">
        <is>
          <t>Not documented; the article opens with the attachment established and the couple going to their fathers for consent.</t>
        </is>
      </c>
      <c r="M23" s="5" t="inlineStr">
        <is>
          <t>Neither; the relationship is mutual from the outset</t>
        </is>
      </c>
      <c r="N23" s="19" t="inlineStr">
        <is>
          <t>Skipped almost entirely. The film begins where most of Kapoor's romances end, with the request for permission, and spends its length on the marriage that follows the refusal.</t>
        </is>
      </c>
      <c r="O23" s="19" t="inlineStr">
        <is>
          <t>Steady and equal, tested by poverty and danger rather than by doubt.</t>
        </is>
      </c>
      <c r="P23" s="19" t="inlineStr">
        <is>
          <t>None; the couple is united throughout.</t>
        </is>
      </c>
      <c r="Q23" s="20" t="n">
        <v>1</v>
      </c>
      <c r="R23" s="19" t="inlineStr">
        <is>
          <t>No conflict between them is recorded at any point. They elope together, work as driver and maid together, and face the employer's secret together.</t>
        </is>
      </c>
      <c r="S23" s="20" t="n">
        <v>8</v>
      </c>
      <c r="T23" s="5" t="inlineStr">
        <is>
          <t>Family; Crime</t>
        </is>
      </c>
      <c r="U23" s="19" t="inlineStr">
        <is>
          <t>Both fathers refuse and have other matches in mind; Bhagwant Singh advertises a reward for information on his daughter's whereabouts, which makes the marriage a fugitive one. A dangerous employer's secret then threatens their lives.</t>
        </is>
      </c>
      <c r="V23" s="20" t="n">
        <v>8</v>
      </c>
      <c r="W23" s="19" t="inlineStr">
        <is>
          <t>Chetan gives up his family and his standing to marry Payal and takes work as a driver to keep the marriage going. The devotion is complete and materially costly, falling short of the top band only because the film's second half turns on a thriller plot rather than on the romance.</t>
        </is>
      </c>
      <c r="X23" s="20" t="n">
        <v>9</v>
      </c>
      <c r="Y23" s="20" t="n">
        <v>8</v>
      </c>
      <c r="Z23" s="20" t="n">
        <v>9</v>
      </c>
      <c r="AA23" s="20" t="n">
        <v>6</v>
      </c>
      <c r="AB23" s="20" t="n">
        <v>7</v>
      </c>
      <c r="AC23" s="19" t="inlineStr">
        <is>
          <t>Interpretive reading; no located review assesses this pairing. Their second film together after Zehreela Insaan, and the structure asks for partnership rather than charge, which suits the register both play.</t>
        </is>
      </c>
      <c r="AD23" s="5" t="inlineStr">
        <is>
          <t>Partial</t>
        </is>
      </c>
      <c r="AE23" s="5" t="inlineStr">
        <is>
          <t>No</t>
        </is>
      </c>
      <c r="AF23" s="5" t="inlineStr">
        <is>
          <t>No</t>
        </is>
      </c>
      <c r="AG23" s="5" t="inlineStr">
        <is>
          <t>No</t>
        </is>
      </c>
      <c r="AH23" s="5" t="inlineStr">
        <is>
          <t>No</t>
        </is>
      </c>
      <c r="AI23" s="5" t="inlineStr">
        <is>
          <t>Yes</t>
        </is>
      </c>
      <c r="AJ23" s="5" t="inlineStr">
        <is>
          <t>Yes</t>
        </is>
      </c>
      <c r="AK23" s="19" t="inlineStr">
        <is>
          <t>From a son seeking permission to a husband earning a living as a driver, with his wife in service beside him.</t>
        </is>
      </c>
      <c r="AL23" s="19" t="inlineStr">
        <is>
          <t>From a daughter under her father's authority to a woman working as a maid to keep her chosen marriage.</t>
        </is>
      </c>
      <c r="AM23" s="5" t="inlineStr">
        <is>
          <t>Not documented; the article's plot ends with the couple in danger from their employer.</t>
        </is>
      </c>
      <c r="AN23" s="5" t="inlineStr">
        <is>
          <t>Yes</t>
        </is>
      </c>
      <c r="AO23" s="5" t="inlineStr">
        <is>
          <t>Unresolved</t>
        </is>
      </c>
      <c r="AP23" s="5" t="n"/>
      <c r="AQ23" s="19" t="inlineStr">
        <is>
          <t>Structurally the most interesting romance of the batch after Badaltey Rishtey, because the marriage happens early and the film is about surviving it rather than achieving it. Mutuality scores at the top of the batch: both partners lose the same things and take equivalent work.</t>
        </is>
      </c>
      <c r="AR23" s="19" t="inlineStr">
        <is>
          <t>The film's sympathies are entirely with the couple against two equally obstinate fathers, and it is unusually willing to show what elopement actually costs in work and status. Payal's descent into domestic service is presented as shared hardship rather than as her disgrace, which reads well.</t>
        </is>
      </c>
      <c r="AS23" s="5" t="inlineStr">
        <is>
          <t>SOURCE-001; SOURCE-028</t>
        </is>
      </c>
      <c r="AT23" s="5" t="inlineStr">
        <is>
          <t>Medium</t>
        </is>
      </c>
    </row>
    <row r="24" ht="94" customHeight="1">
      <c r="A24" s="15" t="inlineStr">
        <is>
          <t>PAIR-022</t>
        </is>
      </c>
      <c r="B24" s="18" t="inlineStr">
        <is>
          <t>FILM-029</t>
        </is>
      </c>
      <c r="C24" s="5" t="inlineStr">
        <is>
          <t>Dhan Daulat</t>
        </is>
      </c>
      <c r="D24" s="17" t="n">
        <v>1980</v>
      </c>
      <c r="E24" s="5" t="inlineStr">
        <is>
          <t>Lucky R. Saxena</t>
        </is>
      </c>
      <c r="F24" s="5" t="inlineStr">
        <is>
          <t>Neetu Singh</t>
        </is>
      </c>
      <c r="G24" s="5" t="inlineStr">
        <is>
          <t>Shanti</t>
        </is>
      </c>
      <c r="H24" s="5" t="inlineStr">
        <is>
          <t>Female lead</t>
        </is>
      </c>
      <c r="I24" s="5" t="inlineStr">
        <is>
          <t>Yes</t>
        </is>
      </c>
      <c r="J24" s="19" t="inlineStr">
        <is>
          <t>Forbidden love</t>
        </is>
      </c>
      <c r="K24" s="5" t="inlineStr">
        <is>
          <t>Strangers; neighbours across a window</t>
        </is>
      </c>
      <c r="L24" s="5" t="inlineStr">
        <is>
          <t>Locked in his room after being expelled from college, Lucky meets Shanti through the window.</t>
        </is>
      </c>
      <c r="M24" s="5" t="inlineStr">
        <is>
          <t>Lucky</t>
        </is>
      </c>
      <c r="N24" s="19" t="inlineStr">
        <is>
          <t>Comic and improvised: he steals Sujit Chopra's prize horse to impress her while working as a tangewala, and the courtship is a series of attempts to appear more than he is.</t>
        </is>
      </c>
      <c r="O24" s="19" t="inlineStr">
        <is>
          <t>Affectionate and light, with the pressure coming from her father's estimate of him rather than from anything between them.</t>
        </is>
      </c>
      <c r="P24" s="19" t="inlineStr">
        <is>
          <t>None directly; he withdraws himself under a promise to her father.</t>
        </is>
      </c>
      <c r="Q24" s="20" t="n">
        <v>2</v>
      </c>
      <c r="R24" s="19" t="inlineStr">
        <is>
          <t>No quarrel between them is recorded. The separation is self-imposed: he promises Shanti's father to keep away until he can find out who his real parents are.</t>
        </is>
      </c>
      <c r="S24" s="20" t="n">
        <v>7</v>
      </c>
      <c r="T24" s="5" t="inlineStr">
        <is>
          <t>Family; Class</t>
        </is>
      </c>
      <c r="U24" s="19" t="inlineStr">
        <is>
          <t>Shanti's father Pukhraj disapproves of Lucky as ill-mannered and without familial background. The objection is specifically to his unknown parentage, which the discovery that he was found abandoned in a truck makes worse.</t>
        </is>
      </c>
      <c r="V24" s="20" t="n">
        <v>5</v>
      </c>
      <c r="W24" s="19" t="inlineStr">
        <is>
          <t>The courtship is energetic and drives several set pieces, and he accepts a painful condition to satisfy her father. But the film's second half turns on his adoption, his business and his fall into Sujit's orbit, and the romance recedes.</t>
        </is>
      </c>
      <c r="X24" s="20" t="n">
        <v>5</v>
      </c>
      <c r="Y24" s="20" t="n">
        <v>6</v>
      </c>
      <c r="Z24" s="20" t="n">
        <v>6</v>
      </c>
      <c r="AA24" s="20" t="n">
        <v>4</v>
      </c>
      <c r="AB24" s="20" t="n">
        <v>7</v>
      </c>
      <c r="AC24" s="19" t="inlineStr">
        <is>
          <t>Interpretive reading; no located review assesses this pairing. One of the last of the run of Kapoor and Neetu Singh comedies that began in the mid-1970s, working on the familiar easy rapport rather than on anything specific to this film.</t>
        </is>
      </c>
      <c r="AD24" s="5" t="inlineStr">
        <is>
          <t>Yes</t>
        </is>
      </c>
      <c r="AE24" s="5" t="inlineStr">
        <is>
          <t>No</t>
        </is>
      </c>
      <c r="AF24" s="5" t="inlineStr">
        <is>
          <t>No</t>
        </is>
      </c>
      <c r="AG24" s="5" t="inlineStr">
        <is>
          <t>Partial</t>
        </is>
      </c>
      <c r="AH24" s="5" t="inlineStr">
        <is>
          <t>Yes</t>
        </is>
      </c>
      <c r="AI24" s="5" t="inlineStr">
        <is>
          <t>Yes</t>
        </is>
      </c>
      <c r="AJ24" s="5" t="inlineStr">
        <is>
          <t>Partial</t>
        </is>
      </c>
      <c r="AK24" s="19" t="inlineStr">
        <is>
          <t>The promise to her father sends him looking for his parentage, which begins the collapse into drink and Sujit's illegal business.</t>
        </is>
      </c>
      <c r="AL24" s="19" t="inlineStr">
        <is>
          <t>Not documented.</t>
        </is>
      </c>
      <c r="AM24" s="5" t="inlineStr">
        <is>
          <t>Not documented; the article's summary breaks off at the revelation of his parents' identity.</t>
        </is>
      </c>
      <c r="AN24" s="5" t="inlineStr">
        <is>
          <t>Unclear</t>
        </is>
      </c>
      <c r="AO24" s="5" t="inlineStr">
        <is>
          <t>Unresolved</t>
        </is>
      </c>
      <c r="AP24" s="5" t="n"/>
      <c r="AQ24" s="19" t="inlineStr">
        <is>
          <t>A romance whose obstacle is parentage rather than money, which distinguishes it from the usual class-barrier plot: Shanti's father objects not to Lucky's poverty but to his having no known family at all. That objection is what sets the rest of the film in motion.</t>
        </is>
      </c>
      <c r="AR24" s="19" t="inlineStr">
        <is>
          <t>The demand that a man produce acceptable parents before he may court a woman is presented as a reasonable paternal concern, and Lucky accepts it without protest. Shanti herself is absent from the bargain struck over her.</t>
        </is>
      </c>
      <c r="AS24" s="5" t="inlineStr">
        <is>
          <t>SOURCE-001; SOURCE-029</t>
        </is>
      </c>
      <c r="AT24" s="5" t="inlineStr">
        <is>
          <t>Low</t>
        </is>
      </c>
    </row>
    <row r="25" ht="79" customHeight="1">
      <c r="A25" s="15" t="inlineStr">
        <is>
          <t>PAIR-023</t>
        </is>
      </c>
      <c r="B25" s="18" t="inlineStr">
        <is>
          <t>FILM-030</t>
        </is>
      </c>
      <c r="C25" s="5" t="inlineStr">
        <is>
          <t>Aap Ke Deewane</t>
        </is>
      </c>
      <c r="D25" s="17" t="n">
        <v>1980</v>
      </c>
      <c r="E25" s="5" t="inlineStr">
        <is>
          <t>Ram</t>
        </is>
      </c>
      <c r="F25" s="5" t="inlineStr">
        <is>
          <t>Tina Munim</t>
        </is>
      </c>
      <c r="G25" s="5" t="inlineStr">
        <is>
          <t>Sameera</t>
        </is>
      </c>
      <c r="H25" s="5" t="inlineStr">
        <is>
          <t>Female lead</t>
        </is>
      </c>
      <c r="I25" s="5" t="inlineStr">
        <is>
          <t>Yes</t>
        </is>
      </c>
      <c r="J25" s="19" t="inlineStr">
        <is>
          <t>Love triangle</t>
        </is>
      </c>
      <c r="K25" s="5" t="inlineStr">
        <is>
          <t>Employer's ward and tutor; she believes he is half of a married couple</t>
        </is>
      </c>
      <c r="L25" s="5" t="inlineStr">
        <is>
          <t>Ram and Rahim are hired as tutors to Sameera, the adopted daughter of two wealthy men, having assumed the identity of a married couple to get the position.</t>
        </is>
      </c>
      <c r="M25" s="5" t="inlineStr">
        <is>
          <t>Both friends independently, which is the film's premise</t>
        </is>
      </c>
      <c r="N25" s="19" t="inlineStr">
        <is>
          <t>Two friends courting the same woman from inside the same household and the same disguise, with the resolution left to her.</t>
        </is>
      </c>
      <c r="O25" s="19" t="inlineStr">
        <is>
          <t>A three-way affection in which the friendship is as much at stake as the romance.</t>
        </is>
      </c>
      <c r="P25" s="19" t="inlineStr">
        <is>
          <t>Not between Ram and Sameera; the conflict is between the two friends, and is handled by deferring to her.</t>
        </is>
      </c>
      <c r="Q25" s="20" t="n">
        <v>3</v>
      </c>
      <c r="R25" s="19" t="inlineStr">
        <is>
          <t>Nothing divides Ram and Sameera directly. The tension is the presence of Rahim and the false identity under which both men entered the house, so the friction is triangular rather than between the pair.</t>
        </is>
      </c>
      <c r="S25" s="20" t="n">
        <v>5</v>
      </c>
      <c r="T25" s="5" t="inlineStr">
        <is>
          <t>Other; Existing relationship</t>
        </is>
      </c>
      <c r="U25" s="19" t="inlineStr">
        <is>
          <t>The false molestation charge engineered by Kundan is what drives them into the household under an assumed identity, and the standing obstacle thereafter is the rival claim of his closest friend.</t>
        </is>
      </c>
      <c r="V25" s="20" t="n">
        <v>6</v>
      </c>
      <c r="W25" s="19" t="inlineStr">
        <is>
          <t>Romance is the film's business and Ram courts in earnest, but he shares the function equally with Rahim and the resolution is surrendered to Sameera rather than won. The role is romantic without being the film's sole romantic centre.</t>
        </is>
      </c>
      <c r="X25" s="20" t="n">
        <v>8</v>
      </c>
      <c r="Y25" s="20" t="n">
        <v>6</v>
      </c>
      <c r="Z25" s="20" t="n">
        <v>5</v>
      </c>
      <c r="AA25" s="20" t="n">
        <v>7</v>
      </c>
      <c r="AB25" s="20" t="n">
        <v>6</v>
      </c>
      <c r="AC25" s="19" t="inlineStr">
        <is>
          <t>Interpretive reading; no located review assesses this pairing. The film's structure keeps the heroine's preference deliberately unresolved, so the playing has to hold two possible pairings open at once.</t>
        </is>
      </c>
      <c r="AD25" s="5" t="inlineStr">
        <is>
          <t>Yes</t>
        </is>
      </c>
      <c r="AE25" s="5" t="inlineStr">
        <is>
          <t>No</t>
        </is>
      </c>
      <c r="AF25" s="5" t="inlineStr">
        <is>
          <t>Partial</t>
        </is>
      </c>
      <c r="AG25" s="5" t="inlineStr">
        <is>
          <t>Yes</t>
        </is>
      </c>
      <c r="AH25" s="5" t="inlineStr">
        <is>
          <t>No</t>
        </is>
      </c>
      <c r="AI25" s="5" t="inlineStr">
        <is>
          <t>Partial</t>
        </is>
      </c>
      <c r="AJ25" s="5" t="inlineStr">
        <is>
          <t>Partial</t>
        </is>
      </c>
      <c r="AK25" s="19" t="inlineStr">
        <is>
          <t>From a disgraced student in disguise to one of two friends waiting on a woman's decision.</t>
        </is>
      </c>
      <c r="AL25" s="19" t="inlineStr">
        <is>
          <t>Moves from a ward being tutored to the person holding the film's only real decision.</t>
        </is>
      </c>
      <c r="AM25" s="5" t="inlineStr">
        <is>
          <t>Not documented; the article states that the choice is Sameera's and does not say how she chooses.</t>
        </is>
      </c>
      <c r="AN25" s="5" t="inlineStr">
        <is>
          <t>Unclear</t>
        </is>
      </c>
      <c r="AO25" s="5" t="inlineStr">
        <is>
          <t>Unresolved</t>
        </is>
      </c>
      <c r="AP25" s="5" t="n"/>
      <c r="AQ25" s="19" t="inlineStr">
        <is>
          <t>Notable for giving the heroine the deciding act, which is rare in this batch: the article's last word on the plot is that it is up to Sameera to choose her prospective life partner. Female agency is scored accordingly, even though almost nothing else about her is developed.</t>
        </is>
      </c>
      <c r="AR25" s="19" t="inlineStr">
        <is>
          <t>Both men enter her household under a false identity and court her from inside it, which the film treats as farce. Against that, the decision is genuinely hers and the friendship is never allowed to override her preference, which is more than most triangles of the period conceded.</t>
        </is>
      </c>
      <c r="AS25" s="5" t="inlineStr">
        <is>
          <t>SOURCE-001; SOURCE-030</t>
        </is>
      </c>
      <c r="AT25" s="5" t="inlineStr">
        <is>
          <t>Low</t>
        </is>
      </c>
    </row>
    <row r="26" ht="94" customHeight="1">
      <c r="A26" s="15" t="inlineStr">
        <is>
          <t>PAIR-025</t>
        </is>
      </c>
      <c r="B26" s="18" t="inlineStr">
        <is>
          <t>FILM-031</t>
        </is>
      </c>
      <c r="C26" s="5" t="inlineStr">
        <is>
          <t>Karz</t>
        </is>
      </c>
      <c r="D26" s="17" t="n">
        <v>1980</v>
      </c>
      <c r="E26" s="5" t="inlineStr">
        <is>
          <t>Monty Oberoi</t>
        </is>
      </c>
      <c r="F26" s="5" t="inlineStr">
        <is>
          <t>Tina Munim</t>
        </is>
      </c>
      <c r="G26" s="5" t="inlineStr">
        <is>
          <t>Tina</t>
        </is>
      </c>
      <c r="H26" s="5" t="inlineStr">
        <is>
          <t>Female lead</t>
        </is>
      </c>
      <c r="I26" s="5" t="inlineStr">
        <is>
          <t>Yes</t>
        </is>
      </c>
      <c r="J26" s="19" t="inlineStr">
        <is>
          <t>Romance subordinate to another genre</t>
        </is>
      </c>
      <c r="K26" s="5" t="inlineStr">
        <is>
          <t>Strangers</t>
        </is>
      </c>
      <c r="L26" s="5" t="inlineStr">
        <is>
          <t>Monty travels to Ooty on his doctors' advice to rest, and meets Tina, who lives there; the article records simply that they fall in love.</t>
        </is>
      </c>
      <c r="M26" s="5" t="inlineStr">
        <is>
          <t>Monty</t>
        </is>
      </c>
      <c r="N26" s="19" t="inlineStr">
        <is>
          <t>Quick and undramatised. The film is not interested in the courtship but in what Monty learns through Tina's household, which turns out to be the house his previous life was murdered for.</t>
        </is>
      </c>
      <c r="O26" s="19" t="inlineStr">
        <is>
          <t>Affectionate and largely untroubled, overtaken by the reincarnation plot as soon as it is established.</t>
        </is>
      </c>
      <c r="P26" s="19" t="inlineStr">
        <is>
          <t>None between them; the horror is that her guardian is his murderer.</t>
        </is>
      </c>
      <c r="Q26" s="20" t="n">
        <v>2</v>
      </c>
      <c r="R26" s="19" t="inlineStr">
        <is>
          <t>No conflict between Monty and Tina is recorded. What destabilises the relationship is external and concealed: the woman Tina calls Rani Sahiba is the Kamini who drove Ravi Verma off a cliff.</t>
        </is>
      </c>
      <c r="S26" s="20" t="n">
        <v>7</v>
      </c>
      <c r="T26" s="5" t="inlineStr">
        <is>
          <t>Villain; Family</t>
        </is>
      </c>
      <c r="U26" s="19" t="inlineStr">
        <is>
          <t>Kamini raised Tina, controls her, had her father killed by her own brother, and murdered Monty in his previous life. She is simultaneously the guardian standing between them and the target of the film's revenge.</t>
        </is>
      </c>
      <c r="V26" s="20" t="n">
        <v>5</v>
      </c>
      <c r="W26" s="19" t="inlineStr">
        <is>
          <t>Monty is a singer and a romantic figure and the courtship is genuine, but his governing drive is the recovery of a murdered life. The songs that define the role, above all 'Ek Hasina Thi', are instruments of memory and revenge rather than of courtship.</t>
        </is>
      </c>
      <c r="X26" s="20" t="n">
        <v>5</v>
      </c>
      <c r="Y26" s="20" t="n">
        <v>7</v>
      </c>
      <c r="Z26" s="20" t="n">
        <v>6</v>
      </c>
      <c r="AA26" s="20" t="n">
        <v>4</v>
      </c>
      <c r="AB26" s="20" t="n">
        <v>6</v>
      </c>
      <c r="AC26" s="19" t="inlineStr">
        <is>
          <t>Interpretive reading; no located review assesses this pairing. The film's charge is in the performance sequences rather than between the couple, and Tina functions largely as Monty's route into the Verma house.</t>
        </is>
      </c>
      <c r="AD26" s="5" t="inlineStr">
        <is>
          <t>Yes</t>
        </is>
      </c>
      <c r="AE26" s="5" t="inlineStr">
        <is>
          <t>No</t>
        </is>
      </c>
      <c r="AF26" s="5" t="inlineStr">
        <is>
          <t>No</t>
        </is>
      </c>
      <c r="AG26" s="5" t="inlineStr">
        <is>
          <t>Partial</t>
        </is>
      </c>
      <c r="AH26" s="5" t="inlineStr">
        <is>
          <t>No</t>
        </is>
      </c>
      <c r="AI26" s="5" t="inlineStr">
        <is>
          <t>No</t>
        </is>
      </c>
      <c r="AJ26" s="5" t="inlineStr">
        <is>
          <t>Partial</t>
        </is>
      </c>
      <c r="AK26" s="19" t="inlineStr">
        <is>
          <t>Not through the romance; Monty is changed by recovering Ravi's memory, and Tina is the occasion rather than the cause.</t>
        </is>
      </c>
      <c r="AL26" s="19" t="inlineStr">
        <is>
          <t>Learns that the woman who raised her had her father killed; the article does not follow the consequence.</t>
        </is>
      </c>
      <c r="AM26" s="5" t="inlineStr">
        <is>
          <t>Not documented; the article's plot breaks off before the resolution.</t>
        </is>
      </c>
      <c r="AN26" s="5" t="inlineStr">
        <is>
          <t>Unclear</t>
        </is>
      </c>
      <c r="AO26" s="5" t="inlineStr">
        <is>
          <t>Unresolved</t>
        </is>
      </c>
      <c r="AP26" s="5" t="inlineStr">
        <is>
          <t>'Dard-e-Dil', 'Om Shanti Om', 'Ek Hasina Thi'</t>
        </is>
      </c>
      <c r="AQ26" s="19" t="inlineStr">
        <is>
          <t>A slight romance inside a reincarnation thriller, worth recording because Tina is the mechanism by which Monty reaches Kamini. The pairing marks the start of a run of four films with Tina Munim across 1980 to 1983, more than any actress other than Neetu Singh and Padmini Kolhapure in this stretch of the career.</t>
        </is>
      </c>
      <c r="AR26" s="19" t="inlineStr">
        <is>
          <t>Tina has no project of her own and exists to be loved and to be endangered by her guardian, which is standard for the genre. The film's real interest, a man avenging a murder committed against a body he no longer has, leaves the romance as decoration.</t>
        </is>
      </c>
      <c r="AS26" s="5" t="inlineStr">
        <is>
          <t>SOURCE-001; SOURCE-031</t>
        </is>
      </c>
      <c r="AT26" s="5" t="inlineStr">
        <is>
          <t>Low</t>
        </is>
      </c>
    </row>
    <row r="27" ht="79" customHeight="1">
      <c r="A27" s="15" t="inlineStr">
        <is>
          <t>PAIR-026</t>
        </is>
      </c>
      <c r="B27" s="18" t="inlineStr">
        <is>
          <t>FILM-032</t>
        </is>
      </c>
      <c r="C27" s="5" t="inlineStr">
        <is>
          <t>Naseeb</t>
        </is>
      </c>
      <c r="D27" s="17" t="n">
        <v>1981</v>
      </c>
      <c r="E27" s="5" t="inlineStr">
        <is>
          <t>Sunny</t>
        </is>
      </c>
      <c r="F27" s="5" t="inlineStr">
        <is>
          <t>Kim</t>
        </is>
      </c>
      <c r="G27" s="5" t="inlineStr">
        <is>
          <t>Kim</t>
        </is>
      </c>
      <c r="H27" s="5" t="inlineStr">
        <is>
          <t>Supporting female lead</t>
        </is>
      </c>
      <c r="I27" s="5" t="inlineStr">
        <is>
          <t>No</t>
        </is>
      </c>
      <c r="J27" s="19" t="inlineStr">
        <is>
          <t>Romance subordinate to another genre</t>
        </is>
      </c>
      <c r="K27" s="5" t="inlineStr">
        <is>
          <t>Strangers</t>
        </is>
      </c>
      <c r="L27" s="5" t="inlineStr">
        <is>
          <t>Not documented; the article records that Sunny has fallen for Asha's younger sister Kim while the older generation's plot unfolds.</t>
        </is>
      </c>
      <c r="M27" s="5" t="inlineStr">
        <is>
          <t>Sunny</t>
        </is>
      </c>
      <c r="N27" s="19" t="inlineStr">
        <is>
          <t>Undramatised. It runs as the youngest and lightest of the film's three romantic threads, beneath Johnny's and Vicky's claims on Asha.</t>
        </is>
      </c>
      <c r="O27" s="19" t="inlineStr">
        <is>
          <t>Uncomplicated young attachment, used for songs and relief rather than for conflict.</t>
        </is>
      </c>
      <c r="P27" s="19" t="inlineStr">
        <is>
          <t>None between them.</t>
        </is>
      </c>
      <c r="Q27" s="20" t="n">
        <v>2</v>
      </c>
      <c r="R27" s="19" t="inlineStr">
        <is>
          <t>The article records no disagreement. The couple is never the site of the film's conflict, which belongs to the lottery ticket and the fathers.</t>
        </is>
      </c>
      <c r="S27" s="20" t="n">
        <v>6</v>
      </c>
      <c r="T27" s="5" t="inlineStr">
        <is>
          <t>Family; Crime</t>
        </is>
      </c>
      <c r="U27" s="19" t="inlineStr">
        <is>
          <t>Kim and Asha are the daughters of Jaggi, the man Sunny's father Namdev is believed to have murdered, so the two families are joined by an unresolved killing. The conspirators who framed Namdev remain a live threat to both households.</t>
        </is>
      </c>
      <c r="V27" s="20" t="n">
        <v>5</v>
      </c>
      <c r="W27" s="19" t="inlineStr">
        <is>
          <t>A romantic supporting turn in a film whose weight is carried elsewhere. The courtship is sincere but Sunny neither pursues against opposition nor sacrifices anything for it; his function is to be the younger brother.</t>
        </is>
      </c>
      <c r="X27" s="20" t="n">
        <v>5</v>
      </c>
      <c r="Y27" s="20" t="n">
        <v>8</v>
      </c>
      <c r="Z27" s="20" t="n">
        <v>7</v>
      </c>
      <c r="AA27" s="20" t="n">
        <v>4</v>
      </c>
      <c r="AB27" s="20" t="n">
        <v>6</v>
      </c>
      <c r="AC27" s="19" t="inlineStr">
        <is>
          <t>Interpretive reading; no located review assesses this pairing. Kim Yashpal's role is small and the article gives the relationship in a single clause, leaving little to judge.</t>
        </is>
      </c>
      <c r="AD27" s="5" t="inlineStr">
        <is>
          <t>Yes</t>
        </is>
      </c>
      <c r="AE27" s="5" t="inlineStr">
        <is>
          <t>No</t>
        </is>
      </c>
      <c r="AF27" s="5" t="inlineStr">
        <is>
          <t>No</t>
        </is>
      </c>
      <c r="AG27" s="5" t="inlineStr">
        <is>
          <t>No</t>
        </is>
      </c>
      <c r="AH27" s="5" t="inlineStr">
        <is>
          <t>No</t>
        </is>
      </c>
      <c r="AI27" s="5" t="inlineStr">
        <is>
          <t>No</t>
        </is>
      </c>
      <c r="AJ27" s="5" t="inlineStr">
        <is>
          <t>Partial</t>
        </is>
      </c>
      <c r="AK27" s="19" t="inlineStr">
        <is>
          <t>None recorded.</t>
        </is>
      </c>
      <c r="AL27" s="19" t="inlineStr">
        <is>
          <t>Not documented.</t>
        </is>
      </c>
      <c r="AM27" s="5" t="inlineStr">
        <is>
          <t>Resolved with the family's reunion and the exposure of the conspirators.</t>
        </is>
      </c>
      <c r="AN27" s="5" t="inlineStr">
        <is>
          <t>Yes</t>
        </is>
      </c>
      <c r="AO27" s="5" t="inlineStr">
        <is>
          <t>Happy</t>
        </is>
      </c>
      <c r="AP27" s="5" t="inlineStr">
        <is>
          <t>'Chal Mere Bhai' is a brothers' number; the article does not identify romantic songs for this pairing.</t>
        </is>
      </c>
      <c r="AQ27" s="19" t="inlineStr">
        <is>
          <t>The lightest of three parallel romances in a Manmohan Desai multi-starrer, and a clear illustration of how Kapoor's romantic function contracts when he is third-billed behind Amitabh Bachchan. It is recorded because the sisters' parentage ties the romance directly to the film's central crime.</t>
        </is>
      </c>
      <c r="AR27" s="19" t="inlineStr">
        <is>
          <t>Kim exists as the younger sister and the junior romantic pairing, with no independent stake in the lottery plot that defines both families. The film is not interested in her beyond the symmetry she provides.</t>
        </is>
      </c>
      <c r="AS27" s="5" t="inlineStr">
        <is>
          <t>SOURCE-001; SOURCE-032</t>
        </is>
      </c>
      <c r="AT27" s="5" t="inlineStr">
        <is>
          <t>Low</t>
        </is>
      </c>
    </row>
    <row r="28" ht="109" customHeight="1">
      <c r="A28" s="15" t="inlineStr">
        <is>
          <t>PAIR-027</t>
        </is>
      </c>
      <c r="B28" s="18" t="inlineStr">
        <is>
          <t>FILM-035</t>
        </is>
      </c>
      <c r="C28" s="5" t="inlineStr">
        <is>
          <t>Zamaane Ko Dikhana Hai</t>
        </is>
      </c>
      <c r="D28" s="17" t="n">
        <v>1982</v>
      </c>
      <c r="E28" s="5" t="inlineStr">
        <is>
          <t>Ravi Nanda</t>
        </is>
      </c>
      <c r="F28" s="5" t="inlineStr">
        <is>
          <t>Padmini Kolhapure</t>
        </is>
      </c>
      <c r="G28" s="5" t="inlineStr">
        <is>
          <t>Kanchan</t>
        </is>
      </c>
      <c r="H28" s="5" t="inlineStr">
        <is>
          <t>Female lead</t>
        </is>
      </c>
      <c r="I28" s="5" t="inlineStr">
        <is>
          <t>Yes</t>
        </is>
      </c>
      <c r="J28" s="19" t="inlineStr">
        <is>
          <t>Forbidden love</t>
        </is>
      </c>
      <c r="K28" s="5" t="inlineStr">
        <is>
          <t>Strangers; she is raising his dead brother's child</t>
        </is>
      </c>
      <c r="L28" s="5" t="inlineStr">
        <is>
          <t>Ravi, searching for the brother his father disowned, finds that Ramesh and Seema are dead and that Seema's sister Kanchan is raising their son; he meets her in the course of that search.</t>
        </is>
      </c>
      <c r="M28" s="5" t="inlineStr">
        <is>
          <t>Both; the article records that they fall in love with each other</t>
        </is>
      </c>
      <c r="N28" s="19" t="inlineStr">
        <is>
          <t>Begins in mutual ignorance of who he is and collapses the moment she learns, so the courtship runs forwards and then sharply into reverse.</t>
        </is>
      </c>
      <c r="O28" s="19" t="inlineStr">
        <is>
          <t>Genuinely mutual until her anger displaces it; thereafter she is defending herself against a repetition rather than responding to him.</t>
        </is>
      </c>
      <c r="P28" s="19" t="inlineStr">
        <is>
          <t>Kanchan refuses him outright on learning he is Nanda's son, certain she will be rejected for her poverty exactly as her sister was.</t>
        </is>
      </c>
      <c r="Q28" s="20" t="n">
        <v>5</v>
      </c>
      <c r="R28" s="19" t="inlineStr">
        <is>
          <t>The rupture is between them and is hers: she is angry with Ravi and will have nothing to do with him. Its cause is external, his father's record, but the refusal itself is an interpersonal break rather than a barrier imposed on a united couple.</t>
        </is>
      </c>
      <c r="S28" s="20" t="n">
        <v>8</v>
      </c>
      <c r="T28" s="5" t="inlineStr">
        <is>
          <t>Family; Class</t>
        </is>
      </c>
      <c r="U28" s="19" t="inlineStr">
        <is>
          <t>Nanda disinherited his elder son for marrying a poor woman and both that son and his wife are now dead. He is not opposing this match openly; he is pursuing the child by any means. The opposition operates as precedent, and it is powerful enough that the heroine enforces it herself.</t>
        </is>
      </c>
      <c r="V28" s="20" t="n">
        <v>8</v>
      </c>
      <c r="W28" s="19" t="inlineStr">
        <is>
          <t>Ravi's activity in the film is almost entirely relational: finding his brother, reconciling his father, and then courting a woman who has good reason to refuse him. He persists against a refusal grounded in his own family's cruelty, which is the archetype's central move.</t>
        </is>
      </c>
      <c r="X28" s="20" t="n">
        <v>8</v>
      </c>
      <c r="Y28" s="20" t="n">
        <v>6</v>
      </c>
      <c r="Z28" s="20" t="n">
        <v>6</v>
      </c>
      <c r="AA28" s="20" t="n">
        <v>7</v>
      </c>
      <c r="AB28" s="20" t="n">
        <v>7</v>
      </c>
      <c r="AC28" s="19" t="inlineStr">
        <is>
          <t>Interpretive reading; no located review assesses this pairing. The first of six films with Padmini Kolhapure, and the relationship asks her to carry the film's moral position rather than merely be courted, which gives the pairing more friction than the usual Nasir Hussain romance.</t>
        </is>
      </c>
      <c r="AD28" s="5" t="inlineStr">
        <is>
          <t>Yes</t>
        </is>
      </c>
      <c r="AE28" s="5" t="inlineStr">
        <is>
          <t>Yes</t>
        </is>
      </c>
      <c r="AF28" s="5" t="inlineStr">
        <is>
          <t>No</t>
        </is>
      </c>
      <c r="AG28" s="5" t="inlineStr">
        <is>
          <t>Partial</t>
        </is>
      </c>
      <c r="AH28" s="5" t="inlineStr">
        <is>
          <t>Yes</t>
        </is>
      </c>
      <c r="AI28" s="5" t="inlineStr">
        <is>
          <t>Partial</t>
        </is>
      </c>
      <c r="AJ28" s="5" t="inlineStr">
        <is>
          <t>Partial</t>
        </is>
      </c>
      <c r="AK28" s="19" t="inlineStr">
        <is>
          <t>From a son who assumes his father can be talked round to a man courting against the documented consequences of his father's snobbery.</t>
        </is>
      </c>
      <c r="AL28" s="19" t="inlineStr">
        <is>
          <t>From a woman raising her sister's orphan to one refusing, on her sister's evidence, to repeat the marriage that destroyed her.</t>
        </is>
      </c>
      <c r="AM28" s="5" t="inlineStr">
        <is>
          <t>Not documented; the article's plot ends with Nanda's plan to take the child by hook or by crook.</t>
        </is>
      </c>
      <c r="AN28" s="5" t="inlineStr">
        <is>
          <t>Unclear</t>
        </is>
      </c>
      <c r="AO28" s="5" t="inlineStr">
        <is>
          <t>Unresolved</t>
        </is>
      </c>
      <c r="AP28" s="5" t="inlineStr">
        <is>
          <t>'Hoga Tumse Pyara Kaun', 'Poocho Na Yaar Kya Hua'</t>
        </is>
      </c>
      <c r="AQ28" s="19" t="inlineStr">
        <is>
          <t>Structurally the most interesting romance of the early 1980s work because the external opposition is internalised by the heroine: Nanda never has to forbid this match, since Kanchan forbids it herself on the evidence of what he did to her sister. Female agency scores high for a Nasir Hussain musical for exactly that reason.</t>
        </is>
      </c>
      <c r="AR28" s="19" t="inlineStr">
        <is>
          <t>The film gives Kanchan a rational, evidence-based refusal and then requires the hero to overcome it, which means her judgement must ultimately be shown to be wrong. Read now, her position is the more defensible one, and the plot's demand that she set it aside is the weaker half of the film.</t>
        </is>
      </c>
      <c r="AS28" s="5" t="inlineStr">
        <is>
          <t>SOURCE-001; SOURCE-036</t>
        </is>
      </c>
      <c r="AT28" s="5" t="inlineStr">
        <is>
          <t>Medium</t>
        </is>
      </c>
    </row>
    <row r="29" ht="124" customHeight="1">
      <c r="A29" s="15" t="inlineStr">
        <is>
          <t>PAIR-028</t>
        </is>
      </c>
      <c r="B29" s="18" t="inlineStr">
        <is>
          <t>FILM-036</t>
        </is>
      </c>
      <c r="C29" s="5" t="inlineStr">
        <is>
          <t>Yeh Vaada Raha</t>
        </is>
      </c>
      <c r="D29" s="17" t="n">
        <v>1982</v>
      </c>
      <c r="E29" s="5" t="inlineStr">
        <is>
          <t>Vikram Rai Bahadur</t>
        </is>
      </c>
      <c r="F29" s="5" t="inlineStr">
        <is>
          <t>Poonam Dhillon; Tina Munim</t>
        </is>
      </c>
      <c r="G29" s="5" t="inlineStr">
        <is>
          <t>Sunita Sikkan, later Kusum Mehra</t>
        </is>
      </c>
      <c r="H29" s="5" t="inlineStr">
        <is>
          <t>Female lead, played by two actresses before and after reconstructive surgery</t>
        </is>
      </c>
      <c r="I29" s="5" t="inlineStr">
        <is>
          <t>Yes</t>
        </is>
      </c>
      <c r="J29" s="19" t="inlineStr">
        <is>
          <t>Relationship manipulated by outsiders</t>
        </is>
      </c>
      <c r="K29" s="5" t="inlineStr">
        <is>
          <t>Strangers</t>
        </is>
      </c>
      <c r="L29" s="5" t="inlineStr">
        <is>
          <t>Vikram meets the singer Sunita while holidaying in Srinagar, and at the temple where they first meet the two vow never to part.</t>
        </is>
      </c>
      <c r="M29" s="5" t="inlineStr">
        <is>
          <t>Vikram</t>
        </is>
      </c>
      <c r="N29" s="19" t="inlineStr">
        <is>
          <t>A rapid, song-driven courtship sealed by a temple vow, then a decade-long second courtship conducted by a man who does not know he is repeating himself.</t>
        </is>
      </c>
      <c r="O29" s="19" t="inlineStr">
        <is>
          <t>Ardent and mutual, then sustained on his side by mourning and on hers by a silence she is manipulated into keeping.</t>
        </is>
      </c>
      <c r="P29" s="19" t="inlineStr">
        <is>
          <t>None of their own making. Every division is manufactured by his mother.</t>
        </is>
      </c>
      <c r="Q29" s="20" t="n">
        <v>3</v>
      </c>
      <c r="R29" s="19" t="inlineStr">
        <is>
          <t>The couple never quarrels. Such friction as the second half contains, her anger at his songs about love and her flight when he recognises her, comes from the lies she has been told, not from anything between them.</t>
        </is>
      </c>
      <c r="S29" s="20" t="n">
        <v>9</v>
      </c>
      <c r="T29" s="5" t="inlineStr">
        <is>
          <t>Family; Fate</t>
        </is>
      </c>
      <c r="U29" s="19" t="inlineStr">
        <is>
          <t>Sharda opposes the marriage because Sunita is penniless, and after the crash she tells Sunita that Vikram could never love her disfigured and tells Vikram that Sunita is dead. She refuses to reunite them even when Dr. Mehra begs her. The car crash, the coma and the disfigurement supply the rest.</t>
        </is>
      </c>
      <c r="V29" s="20" t="n">
        <v>9</v>
      </c>
      <c r="W29" s="19" t="inlineStr">
        <is>
          <t>Among the purest lover-boy constructions in the filmography. Vikram's entire adult life is organised around a vow to a woman he believes dead: he performs on stage to raise money for an orphanage in her memory, and recognises her finally by her mannerisms rather than her face. Devotion is the character's only content.</t>
        </is>
      </c>
      <c r="X29" s="20" t="n">
        <v>10</v>
      </c>
      <c r="Y29" s="20" t="n">
        <v>7</v>
      </c>
      <c r="Z29" s="20" t="n">
        <v>8</v>
      </c>
      <c r="AA29" s="20" t="n">
        <v>5</v>
      </c>
      <c r="AB29" s="20" t="n">
        <v>7</v>
      </c>
      <c r="AC29" s="19" t="inlineStr">
        <is>
          <t>Interpretive reading; no located review assesses this pairing. The premise splits the relationship across two actresses and asks Kapoor to play the same love twice without recognition, which works better in the songs than in the recognition scenes; Jaya Bachchan supplies Sunita's singing voice, adding a third performer to one character.</t>
        </is>
      </c>
      <c r="AD29" s="5" t="inlineStr">
        <is>
          <t>Partial</t>
        </is>
      </c>
      <c r="AE29" s="5" t="inlineStr">
        <is>
          <t>No</t>
        </is>
      </c>
      <c r="AF29" s="5" t="inlineStr">
        <is>
          <t>No</t>
        </is>
      </c>
      <c r="AG29" s="5" t="inlineStr">
        <is>
          <t>Yes</t>
        </is>
      </c>
      <c r="AH29" s="5" t="inlineStr">
        <is>
          <t>Yes</t>
        </is>
      </c>
      <c r="AI29" s="5" t="inlineStr">
        <is>
          <t>Yes</t>
        </is>
      </c>
      <c r="AJ29" s="5" t="inlineStr">
        <is>
          <t>Partial</t>
        </is>
      </c>
      <c r="AK29" s="19" t="inlineStr">
        <is>
          <t>From an ardent young lover to a man in permanent mourning who keeps a vow to a ghost, and finally to one who trusts a recognition everyone has told him is impossible.</t>
        </is>
      </c>
      <c r="AL29" s="19" t="inlineStr">
        <is>
          <t>From a penniless singer to a disfigured woman told she is unlovable, then to a surgically remade Kusum Mehra building a second life on a lie she did not choose.</t>
        </is>
      </c>
      <c r="AM29" s="5" t="inlineStr">
        <is>
          <t>Reunited at the temple where they first exchanged vows, and the promises are renewed.</t>
        </is>
      </c>
      <c r="AN29" s="5" t="inlineStr">
        <is>
          <t>Yes</t>
        </is>
      </c>
      <c r="AO29" s="5" t="inlineStr">
        <is>
          <t>Happy</t>
        </is>
      </c>
      <c r="AP29" s="5" t="inlineStr">
        <is>
          <t>'Yeh Vaada Raha', 'Tu Tu Hai Wahi', 'Mera Pyar Tera Pyar'</t>
        </is>
      </c>
      <c r="AQ29" s="19" t="inlineStr">
        <is>
          <t>The clearest case in the filmography of a romance broken and sustained entirely from outside the couple: pair friction at three against external opposition at nine. One pairing row is used rather than two, because Poonam Dhillon and Tina Munim play one continuous character and one continuous relationship. The article records this as the first Hindi film to split a female lead between two actresses.</t>
        </is>
      </c>
      <c r="AR29" s="19" t="inlineStr">
        <is>
          <t>The film's engine is a mother persuading a disfigured woman that she is no longer lovable, and it is candid that this is a cruelty rather than a kindness. What it never questions is the remedy: Sunita becomes acceptable again only after surgery makes her beautiful, so the resolution quietly endorses the premise Sharda used against her.</t>
        </is>
      </c>
      <c r="AS29" s="5" t="inlineStr">
        <is>
          <t>SOURCE-001; SOURCE-034</t>
        </is>
      </c>
      <c r="AT29" s="5" t="inlineStr">
        <is>
          <t>Medium</t>
        </is>
      </c>
    </row>
    <row r="30" ht="124" customHeight="1">
      <c r="A30" s="15" t="inlineStr">
        <is>
          <t>PAIR-029</t>
        </is>
      </c>
      <c r="B30" s="18" t="inlineStr">
        <is>
          <t>FILM-037</t>
        </is>
      </c>
      <c r="C30" s="5" t="inlineStr">
        <is>
          <t>Prem Rog</t>
        </is>
      </c>
      <c r="D30" s="17" t="n">
        <v>1982</v>
      </c>
      <c r="E30" s="5" t="inlineStr">
        <is>
          <t>Devdhar (Dev)</t>
        </is>
      </c>
      <c r="F30" s="5" t="inlineStr">
        <is>
          <t>Padmini Kolhapure</t>
        </is>
      </c>
      <c r="G30" s="5" t="inlineStr">
        <is>
          <t>Manorama Singh, called Rama</t>
        </is>
      </c>
      <c r="H30" s="5" t="inlineStr">
        <is>
          <t>Female lead</t>
        </is>
      </c>
      <c r="I30" s="5" t="inlineStr">
        <is>
          <t>Yes</t>
        </is>
      </c>
      <c r="J30" s="19" t="inlineStr">
        <is>
          <t>Forbidden love</t>
        </is>
      </c>
      <c r="K30" s="5" t="inlineStr">
        <is>
          <t>Childhood friends across an absolute class barrier</t>
        </is>
      </c>
      <c r="L30" s="5" t="inlineStr">
        <is>
          <t>They grew up together in the village, he the penniless orphan nephew of the priest and she the niece of the Bade Thakur, whose charity paid for his education in the city; he returns eight years later to find her grown.</t>
        </is>
      </c>
      <c r="M30" s="5" t="inlineStr">
        <is>
          <t>Devdhar, and then only inwardly; he never declares himself while she is marriageable</t>
        </is>
      </c>
      <c r="N30" s="19" t="inlineStr">
        <is>
          <t>There is no courtship in the first half at all. He intends to ask for her hand, meets the prince she is infatuated with, and says nothing. The relationship becomes real only after she is widowed and violated, and is then conducted as care rather than as wooing.</t>
        </is>
      </c>
      <c r="O30" s="19" t="inlineStr">
        <is>
          <t>One-sided and silent, then protective, and finally mutual on ground neither would have chosen.</t>
        </is>
      </c>
      <c r="P30" s="19" t="inlineStr">
        <is>
          <t>She does not reciprocate at first and is infatuated with another man; after her widowhood the difficulty is her own shame rather than any quarrel.</t>
        </is>
      </c>
      <c r="Q30" s="20" t="n">
        <v>3</v>
      </c>
      <c r="R30" s="19" t="inlineStr">
        <is>
          <t>Dev never presses and Rama never rejects him unkindly; the early asymmetry is unspoken and the later relationship is unopposed between them. The friction belongs to her condition, not to the pair.</t>
        </is>
      </c>
      <c r="S30" s="20" t="n">
        <v>10</v>
      </c>
      <c r="T30" s="5" t="inlineStr">
        <is>
          <t>Family; Caste; Community</t>
        </is>
      </c>
      <c r="U30" s="19" t="inlineStr">
        <is>
          <t>The whole social order stands against it: she is an aristocrat and he has no standing; she is being prepared to have her head shaved as a widow; she is raped by her own brother-in-law, the Raja; and her father and that brother-in-law swear to kill Dev and force her back to her marital home. The film ends in open violence in the village.</t>
        </is>
      </c>
      <c r="V30" s="20" t="n">
        <v>9</v>
      </c>
      <c r="W30" s="19" t="inlineStr">
        <is>
          <t>Devotion at its most costly. Dev's declared purpose is to rebuild Manorama's life and restore her faith in living, and he pursues it against custom, caste and armed men who intend to kill him. He courts a widow in a society that forbids it, which is rebellion for love in the strongest sense the period allowed.</t>
        </is>
      </c>
      <c r="X30" s="20" t="n">
        <v>10</v>
      </c>
      <c r="Y30" s="20" t="n">
        <v>8</v>
      </c>
      <c r="Z30" s="20" t="n">
        <v>6</v>
      </c>
      <c r="AA30" s="20" t="n">
        <v>5</v>
      </c>
      <c r="AB30" s="20" t="n">
        <v>8</v>
      </c>
      <c r="AC30" s="19" t="inlineStr">
        <is>
          <t>Interpretive reading; no located review assesses this pairing. The film asks the two to play tenderness without courtship for most of its length, and the weight of Kapoor's performance sits in restraint rather than ardour; it is among the most substantial acting the filmography offers him.</t>
        </is>
      </c>
      <c r="AD30" s="5" t="inlineStr">
        <is>
          <t>No</t>
        </is>
      </c>
      <c r="AE30" s="5" t="inlineStr">
        <is>
          <t>No</t>
        </is>
      </c>
      <c r="AF30" s="5" t="inlineStr">
        <is>
          <t>No</t>
        </is>
      </c>
      <c r="AG30" s="5" t="inlineStr">
        <is>
          <t>No</t>
        </is>
      </c>
      <c r="AH30" s="5" t="inlineStr">
        <is>
          <t>Yes</t>
        </is>
      </c>
      <c r="AI30" s="5" t="inlineStr">
        <is>
          <t>Yes</t>
        </is>
      </c>
      <c r="AJ30" s="5" t="inlineStr">
        <is>
          <t>Yes</t>
        </is>
      </c>
      <c r="AK30" s="19" t="inlineStr">
        <is>
          <t>From a man who swallows his love out of gratitude to his patrons into one who confronts the entire order those patrons represent.</t>
        </is>
      </c>
      <c r="AL30" s="19" t="inlineStr">
        <is>
          <t>From an aristocratic girl infatuated with a prince to a widow stripped of everything, raped by her husband's brother, and then rebuilt into a woman who will accept a second life.</t>
        </is>
      </c>
      <c r="AM30" s="5" t="inlineStr">
        <is>
          <t>The article records that the young people are reunited after the fight in the village.</t>
        </is>
      </c>
      <c r="AN30" s="5" t="inlineStr">
        <is>
          <t>Yes</t>
        </is>
      </c>
      <c r="AO30" s="5" t="inlineStr">
        <is>
          <t>Happy</t>
        </is>
      </c>
      <c r="AP30" s="5" t="inlineStr">
        <is>
          <t>'Meri Kismat Mein Tu Nahin Shayad', 'Bhavre Ne Khilaya Phool', 'Yeh Galiyan Yeh Chaubara'</t>
        </is>
      </c>
      <c r="AQ30" s="19" t="inlineStr">
        <is>
          <t>The most important romance in the filmography after Bobby and Laila Majnu, and the one that puts the lover-boy persona to the most serious use. The pattern is the same as in the 1970s films, friction near zero and opposition at maximum, but here the opposition is an explicit social prohibition rather than a father's preference, so the persona is made to carry an argument. Set against Ek Chadar Maili Si four years later, in which Kapoor plays a man who abuses the widow he is made to marry, it shows the full range the period allowed him.</t>
        </is>
      </c>
      <c r="AR30" s="19" t="inlineStr">
        <is>
          <t>The film is genuinely progressive in its subject, taking the side of widow remarriage against custom and refusing to treat Rama's violation as her disgrace. It is less comfortable in its method: the rape is a plot device that clears the way for the hero's project, and Rama's recovery is largely something done for her rather than by her. The film gives her the confession scene with her mother and little else of her own.</t>
        </is>
      </c>
      <c r="AS30" s="5" t="inlineStr">
        <is>
          <t>SOURCE-001; SOURCE-037</t>
        </is>
      </c>
      <c r="AT30" s="5" t="inlineStr">
        <is>
          <t>High</t>
        </is>
      </c>
    </row>
    <row r="31" ht="109" customHeight="1">
      <c r="A31" s="15" t="inlineStr">
        <is>
          <t>PAIR-030</t>
        </is>
      </c>
      <c r="B31" s="18" t="inlineStr">
        <is>
          <t>FILM-038</t>
        </is>
      </c>
      <c r="C31" s="5" t="inlineStr">
        <is>
          <t>Deedar-E-Yaar</t>
        </is>
      </c>
      <c r="D31" s="17" t="n">
        <v>1982</v>
      </c>
      <c r="E31" s="5" t="inlineStr">
        <is>
          <t>Javed Sayeed Ali Khan</t>
        </is>
      </c>
      <c r="F31" s="5" t="inlineStr">
        <is>
          <t>Tina Munim</t>
        </is>
      </c>
      <c r="G31" s="5" t="inlineStr">
        <is>
          <t>Firdous Changezi</t>
        </is>
      </c>
      <c r="H31" s="5" t="inlineStr">
        <is>
          <t>Female lead</t>
        </is>
      </c>
      <c r="I31" s="5" t="inlineStr">
        <is>
          <t>Yes</t>
        </is>
      </c>
      <c r="J31" s="19" t="inlineStr">
        <is>
          <t>Love triangle</t>
        </is>
      </c>
      <c r="K31" s="5" t="inlineStr">
        <is>
          <t>Strangers in Lucknow's nawabi society</t>
        </is>
      </c>
      <c r="L31" s="5" t="inlineStr">
        <is>
          <t>Javed loves Firdous from a distance and hands his love letter to a man who turns out to be her brother Sikander; warned off, he enters the house disguised as a servant, and she recognises him as he leaves.</t>
        </is>
      </c>
      <c r="M31" s="5" t="inlineStr">
        <is>
          <t>Javed, persistently and by subterfuge</t>
        </is>
      </c>
      <c r="N31" s="19" t="inlineStr">
        <is>
          <t>Conducted by trespass and by exchanged photographs: he infiltrates her household as a servant, takes her picture, and she comes to his house to retrieve it, at which point the attachment becomes mutual.</t>
        </is>
      </c>
      <c r="O31" s="19" t="inlineStr">
        <is>
          <t>Ardent and reciprocated, then suspended while two friends who love the same woman try to be generous to each other.</t>
        </is>
      </c>
      <c r="P31" s="19" t="inlineStr">
        <is>
          <t>Nothing between them; the obstruction is her father's verdict and then Akhtar's claim.</t>
        </is>
      </c>
      <c r="Q31" s="20" t="n">
        <v>3</v>
      </c>
      <c r="R31" s="19" t="inlineStr">
        <is>
          <t>Javed and Firdous are never at odds. The relationship is interrupted by her father's refusal on grounds of family and then by the marriage Akhtar contracts on Javed's behalf, neither of which divides the couple from each other.</t>
        </is>
      </c>
      <c r="S31" s="20" t="n">
        <v>8</v>
      </c>
      <c r="T31" s="5" t="inlineStr">
        <is>
          <t>Family; Class; Existing relationship</t>
        </is>
      </c>
      <c r="U31" s="19" t="inlineStr">
        <is>
          <t>Her brother warns him off, and Nawab Mirza Changezi tells Javed outright that he cannot marry Firdous because of his family. Akhtar then marries her, intending to divorce her so Javed can have her, and on discovering she is his own beloved refuses to let her go.</t>
        </is>
      </c>
      <c r="V31" s="20" t="n">
        <v>8</v>
      </c>
      <c r="W31" s="19" t="inlineStr">
        <is>
          <t>Javed's entire function is to love Firdous and to keep trying: the letter, the disguise, the photograph, the decision to marry her against her father. What holds the score below the top band is that the film's resolution is taken out of his hands entirely and placed in Akhtar's.</t>
        </is>
      </c>
      <c r="X31" s="20" t="n">
        <v>9</v>
      </c>
      <c r="Y31" s="20" t="n">
        <v>6</v>
      </c>
      <c r="Z31" s="20" t="n">
        <v>7</v>
      </c>
      <c r="AA31" s="20" t="n">
        <v>3</v>
      </c>
      <c r="AB31" s="20" t="n">
        <v>6</v>
      </c>
      <c r="AC31" s="19" t="inlineStr">
        <is>
          <t>Interpretive reading; no located review assesses this pairing, and the article notes the film was a box-office failure. The nawabi setting asks for a courtly register the plot keeps interrupting, and the triangle gives Jeetendra's Akhtar the more active half of the story.</t>
        </is>
      </c>
      <c r="AD31" s="5" t="inlineStr">
        <is>
          <t>Partial</t>
        </is>
      </c>
      <c r="AE31" s="5" t="inlineStr">
        <is>
          <t>No</t>
        </is>
      </c>
      <c r="AF31" s="5" t="inlineStr">
        <is>
          <t>Partial</t>
        </is>
      </c>
      <c r="AG31" s="5" t="inlineStr">
        <is>
          <t>Yes</t>
        </is>
      </c>
      <c r="AH31" s="5" t="inlineStr">
        <is>
          <t>Yes</t>
        </is>
      </c>
      <c r="AI31" s="5" t="inlineStr">
        <is>
          <t>Yes</t>
        </is>
      </c>
      <c r="AJ31" s="5" t="inlineStr">
        <is>
          <t>Partial</t>
        </is>
      </c>
      <c r="AK31" s="19" t="inlineStr">
        <is>
          <t>From a confident suitor to a man whose friend's act of generosity has become the obstacle in his way.</t>
        </is>
      </c>
      <c r="AL31" s="19" t="inlineStr">
        <is>
          <t>Married to one man in order to be given to another, without being consulted by either.</t>
        </is>
      </c>
      <c r="AM31" s="5" t="inlineStr">
        <is>
          <t>Not documented; the article's plot ends on open questions about whether Javed gets Firdous and whether Akhtar will divorce her.</t>
        </is>
      </c>
      <c r="AN31" s="5" t="inlineStr">
        <is>
          <t>No</t>
        </is>
      </c>
      <c r="AO31" s="5" t="inlineStr">
        <is>
          <t>Unresolved</t>
        </is>
      </c>
      <c r="AP31" s="5" t="inlineStr">
        <is>
          <t>'Meri Zindagi Mein Aaye', 'Deedar-E-Yaar'</t>
        </is>
      </c>
      <c r="AQ31" s="19" t="inlineStr">
        <is>
          <t>A period triangle in which the two men's friendship, not the woman's preference, organises the plot. The device, marrying a woman in order to divorce her and hand her on, is unusual even for the era and produces the film's one genuinely dramatic reversal.</t>
        </is>
      </c>
      <c r="AR31" s="19" t="inlineStr">
        <is>
          <t>Firdous is contracted, married and withheld entirely between men who both claim to love her, and the article's account gives her no voice in any of it; the film's closing questions are all about what the men will do. Female agency is the lowest score in this batch for that reason.</t>
        </is>
      </c>
      <c r="AS31" s="5" t="inlineStr">
        <is>
          <t>SOURCE-001; SOURCE-038</t>
        </is>
      </c>
      <c r="AT31" s="5" t="inlineStr">
        <is>
          <t>Low</t>
        </is>
      </c>
    </row>
    <row r="32" ht="109" customHeight="1">
      <c r="A32" s="15" t="inlineStr">
        <is>
          <t>PAIR-031</t>
        </is>
      </c>
      <c r="B32" s="18" t="inlineStr">
        <is>
          <t>FILM-040</t>
        </is>
      </c>
      <c r="C32" s="5" t="inlineStr">
        <is>
          <t>Bade Dilwala</t>
        </is>
      </c>
      <c r="D32" s="17" t="n">
        <v>1983</v>
      </c>
      <c r="E32" s="5" t="inlineStr">
        <is>
          <t>Amrit Kumar Saxena</t>
        </is>
      </c>
      <c r="F32" s="5" t="inlineStr">
        <is>
          <t>Tina Munim</t>
        </is>
      </c>
      <c r="G32" s="5" t="inlineStr">
        <is>
          <t>Rashmi Sinha</t>
        </is>
      </c>
      <c r="H32" s="5" t="inlineStr">
        <is>
          <t>Female lead</t>
        </is>
      </c>
      <c r="I32" s="5" t="inlineStr">
        <is>
          <t>Yes</t>
        </is>
      </c>
      <c r="J32" s="19" t="inlineStr">
        <is>
          <t>Relationship damaged by mistrust</t>
        </is>
      </c>
      <c r="K32" s="5" t="inlineStr">
        <is>
          <t>Strangers; she believes him to be her dead sister's husband</t>
        </is>
      </c>
      <c r="L32" s="5" t="inlineStr">
        <is>
          <t>Rashmi returns home to find that her father has installed a man he believes to be Vijay, her lost sister's husband, as head of the business and heir to the estate.</t>
        </is>
      </c>
      <c r="M32" s="5" t="inlineStr">
        <is>
          <t>Rashmi, who moves from suspicion to attachment</t>
        </is>
      </c>
      <c r="N32" s="19" t="inlineStr">
        <is>
          <t>Inverted: she begins apprehensive of him and warms, so the courtship is her revision of an accurate first instinct rather than his pursuit.</t>
        </is>
      </c>
      <c r="O32" s="19" t="inlineStr">
        <is>
          <t>Wary, then affectionate on her side; on his, an attachment he can only keep by maintaining a fraud.</t>
        </is>
      </c>
      <c r="P32" s="19" t="inlineStr">
        <is>
          <t>He is not who she thinks he is, and the woman whose husband he claims to be is still alive.</t>
        </is>
      </c>
      <c r="Q32" s="20" t="n">
        <v>4</v>
      </c>
      <c r="R32" s="19" t="inlineStr">
        <is>
          <t>Her initial apprehension is real but short-lived, and there is no open quarrel. The corrosive element is the deception itself, which the article leaves unexposed when the plot breaks off.</t>
        </is>
      </c>
      <c r="S32" s="20" t="n">
        <v>6</v>
      </c>
      <c r="T32" s="5" t="inlineStr">
        <is>
          <t>Family; Crime</t>
        </is>
      </c>
      <c r="U32" s="19" t="inlineStr">
        <is>
          <t>Dr. Joshi knows he is an ex-convict jailed for theft and wanted for murder, and arrives with the amnesiac Juhi, the real Vijay's wife. Both threaten to collapse the identity the relationship rests on.</t>
        </is>
      </c>
      <c r="V32" s="20" t="n">
        <v>5</v>
      </c>
      <c r="W32" s="19" t="inlineStr">
        <is>
          <t>The romance is central to the plot and he does come to want it genuinely, but the character's organising activity is holding a stolen identity. Courtship is something that happens to him inside the imposture rather than the reason for it.</t>
        </is>
      </c>
      <c r="X32" s="20" t="n">
        <v>8</v>
      </c>
      <c r="Y32" s="20" t="n">
        <v>4</v>
      </c>
      <c r="Z32" s="20" t="n">
        <v>5</v>
      </c>
      <c r="AA32" s="20" t="n">
        <v>5</v>
      </c>
      <c r="AB32" s="20" t="n">
        <v>6</v>
      </c>
      <c r="AC32" s="19" t="inlineStr">
        <is>
          <t>Interpretive reading; no located review assesses this pairing. The seventh and last of the Kapoor and Tina Munim films, and the premise requires him to be charming while the audience knows he is a fraud, which is the register he had already used in Jhoota Kahin Ka.</t>
        </is>
      </c>
      <c r="AD32" s="5" t="inlineStr">
        <is>
          <t>Yes</t>
        </is>
      </c>
      <c r="AE32" s="5" t="inlineStr">
        <is>
          <t>Partial</t>
        </is>
      </c>
      <c r="AF32" s="5" t="inlineStr">
        <is>
          <t>No</t>
        </is>
      </c>
      <c r="AG32" s="5" t="inlineStr">
        <is>
          <t>Yes</t>
        </is>
      </c>
      <c r="AH32" s="5" t="inlineStr">
        <is>
          <t>Unclear</t>
        </is>
      </c>
      <c r="AI32" s="5" t="inlineStr">
        <is>
          <t>No</t>
        </is>
      </c>
      <c r="AJ32" s="5" t="inlineStr">
        <is>
          <t>Partial</t>
        </is>
      </c>
      <c r="AK32" s="19" t="inlineStr">
        <is>
          <t>From an impostor exploiting a family's grief to a man with something real to lose by being found out.</t>
        </is>
      </c>
      <c r="AL32" s="19" t="inlineStr">
        <is>
          <t>From a woman rightly suspicious of a stranger in her father's house to one in love with him.</t>
        </is>
      </c>
      <c r="AM32" s="5" t="inlineStr">
        <is>
          <t>Not documented; the article ends with Dr. Joshi's arrival and the threat of exposure.</t>
        </is>
      </c>
      <c r="AN32" s="5" t="inlineStr">
        <is>
          <t>Unclear</t>
        </is>
      </c>
      <c r="AO32" s="5" t="inlineStr">
        <is>
          <t>Unresolved</t>
        </is>
      </c>
      <c r="AP32" s="5" t="n"/>
      <c r="AQ32" s="19" t="inlineStr">
        <is>
          <t>Notable as a gender inversion of Kati Patang, where a woman assumes a dead person's identity in a grieving household; here Kapoor takes that position and the romance is built on the fraud. It is the third film in the batch, after Jhoota Kahin Ka and Rafoo Chakkar, in which he courts under a false name.</t>
        </is>
      </c>
      <c r="AR32" s="19" t="inlineStr">
        <is>
          <t>Rashmi's instinct about him is correct and the plot requires her to abandon it, which is the same structure as Zamaane Ko Dikhana Hai: a woman's accurate judgement treated as an obstacle to be overcome. The film shows no interest in what the deception costs her.</t>
        </is>
      </c>
      <c r="AS32" s="5" t="inlineStr">
        <is>
          <t>SOURCE-001; SOURCE-039</t>
        </is>
      </c>
      <c r="AT32" s="5" t="inlineStr">
        <is>
          <t>Low</t>
        </is>
      </c>
    </row>
    <row r="33" ht="94" customHeight="1">
      <c r="A33" s="15" t="inlineStr">
        <is>
          <t>PAIR-032</t>
        </is>
      </c>
      <c r="B33" s="18" t="inlineStr">
        <is>
          <t>FILM-043</t>
        </is>
      </c>
      <c r="C33" s="5" t="inlineStr">
        <is>
          <t>Duniya</t>
        </is>
      </c>
      <c r="D33" s="17" t="n">
        <v>1984</v>
      </c>
      <c r="E33" s="5" t="inlineStr">
        <is>
          <t>Ravi Kumar</t>
        </is>
      </c>
      <c r="F33" s="5" t="inlineStr">
        <is>
          <t>Amrita Singh</t>
        </is>
      </c>
      <c r="G33" s="5" t="inlineStr">
        <is>
          <t>Roma Verma</t>
        </is>
      </c>
      <c r="H33" s="5" t="inlineStr">
        <is>
          <t>Female lead</t>
        </is>
      </c>
      <c r="I33" s="5" t="inlineStr">
        <is>
          <t>Yes</t>
        </is>
      </c>
      <c r="J33" s="19" t="inlineStr">
        <is>
          <t>Romance subordinate to another genre</t>
        </is>
      </c>
      <c r="K33" s="5" t="inlineStr">
        <is>
          <t>Strangers, though both were attached to the same household as children</t>
        </is>
      </c>
      <c r="L33" s="5" t="inlineStr">
        <is>
          <t>Ravi meets Roma by a turn of circumstances and saves Mohan Kumar's life in the process; neither knows that she was the ward of his own family and he the son of the man wrongly imprisoned for her father's murder.</t>
        </is>
      </c>
      <c r="M33" s="5" t="inlineStr">
        <is>
          <t>Not documented; the article records that they fall in love</t>
        </is>
      </c>
      <c r="N33" s="19" t="inlineStr">
        <is>
          <t>Undramatised and overtaken by the revenge plot; the relationship's function is to bring two dispersed halves of the same wrecked household back into the same room.</t>
        </is>
      </c>
      <c r="O33" s="19" t="inlineStr">
        <is>
          <t>Straightforward attachment between two people the plot has orphaned in different ways.</t>
        </is>
      </c>
      <c r="P33" s="19" t="inlineStr">
        <is>
          <t>None between them; he is working for the men who destroyed her father and his.</t>
        </is>
      </c>
      <c r="Q33" s="20" t="n">
        <v>2</v>
      </c>
      <c r="R33" s="19" t="inlineStr">
        <is>
          <t>No conflict between Ravi and Roma is recorded. The tension is that Ravi is in the employ of Jugal Kishore, who murdered her father and framed his, a fact neither of them knows.</t>
        </is>
      </c>
      <c r="S33" s="20" t="n">
        <v>7</v>
      </c>
      <c r="T33" s="5" t="inlineStr">
        <is>
          <t>Crime; Villain</t>
        </is>
      </c>
      <c r="U33" s="19" t="inlineStr">
        <is>
          <t>Jugal Kishore and his partners murdered Roma's father, framed Ravi's, and finally kidnap both Ravi and Roma to extort a ransom once they learn whose son he is. She also lives under the guardianship of a mean, alcoholic uncle.</t>
        </is>
      </c>
      <c r="V33" s="20" t="n">
        <v>4</v>
      </c>
      <c r="W33" s="19" t="inlineStr">
        <is>
          <t>Third-billed behind Ashok Kumar and Dilip Kumar, Kapoor plays a gangster's man discovering his parentage. The romance is real but the role's weight is the father-and-son recognition, and there is no courtship, rebellion or sacrifice for love.</t>
        </is>
      </c>
      <c r="X33" s="20" t="n">
        <v>5</v>
      </c>
      <c r="Y33" s="20" t="n">
        <v>7</v>
      </c>
      <c r="Z33" s="20" t="n">
        <v>6</v>
      </c>
      <c r="AA33" s="20" t="n">
        <v>4</v>
      </c>
      <c r="AB33" s="20" t="n">
        <v>6</v>
      </c>
      <c r="AC33" s="19" t="inlineStr">
        <is>
          <t>Interpretive reading; no located review assesses this pairing. Amrita Singh's Roma is a plot connector as much as a romantic lead, and the article's account gives the relationship a sentence.</t>
        </is>
      </c>
      <c r="AD33" s="5" t="inlineStr">
        <is>
          <t>Unclear</t>
        </is>
      </c>
      <c r="AE33" s="5" t="inlineStr">
        <is>
          <t>No</t>
        </is>
      </c>
      <c r="AF33" s="5" t="inlineStr">
        <is>
          <t>No</t>
        </is>
      </c>
      <c r="AG33" s="5" t="inlineStr">
        <is>
          <t>No</t>
        </is>
      </c>
      <c r="AH33" s="5" t="inlineStr">
        <is>
          <t>Partial</t>
        </is>
      </c>
      <c r="AI33" s="5" t="inlineStr">
        <is>
          <t>No</t>
        </is>
      </c>
      <c r="AJ33" s="5" t="inlineStr">
        <is>
          <t>Partial</t>
        </is>
      </c>
      <c r="AK33" s="19" t="inlineStr">
        <is>
          <t>Not through the romance; he is changed by discovering that the man he was sent to kill is his father.</t>
        </is>
      </c>
      <c r="AL33" s="19" t="inlineStr">
        <is>
          <t>Not documented beyond being kidnapped and recovered.</t>
        </is>
      </c>
      <c r="AM33" s="5" t="inlineStr">
        <is>
          <t>Both are rescued when Mohan Kumar and Ravi collaborate to kill Jugal Kishore.</t>
        </is>
      </c>
      <c r="AN33" s="5" t="inlineStr">
        <is>
          <t>Unclear</t>
        </is>
      </c>
      <c r="AO33" s="5" t="inlineStr">
        <is>
          <t>Happy</t>
        </is>
      </c>
      <c r="AP33" s="5" t="n"/>
      <c r="AQ33" s="19" t="inlineStr">
        <is>
          <t>A romance that doubles as a second family reunion the characters cannot see: Roma was raised close to the household Ravi was lost from. It is recorded because it is the point at which the film's scattered survivors are brought back together, not because the relationship itself is developed.</t>
        </is>
      </c>
      <c r="AR33" s="19" t="inlineStr">
        <is>
          <t>Roma is defined by the men around her, a murdered father, an abusive uncle, a lover in a gang, and the film's interest in her stops at her usefulness to the recognition plot.</t>
        </is>
      </c>
      <c r="AS33" s="5" t="inlineStr">
        <is>
          <t>SOURCE-001; SOURCE-043</t>
        </is>
      </c>
      <c r="AT33" s="5" t="inlineStr">
        <is>
          <t>Low</t>
        </is>
      </c>
    </row>
    <row r="34" ht="109" customHeight="1">
      <c r="A34" s="15" t="inlineStr">
        <is>
          <t>PAIR-033</t>
        </is>
      </c>
      <c r="B34" s="18" t="inlineStr">
        <is>
          <t>FILM-044</t>
        </is>
      </c>
      <c r="C34" s="5" t="inlineStr">
        <is>
          <t>Yeh Ishq Nahin Aasaan</t>
        </is>
      </c>
      <c r="D34" s="17" t="n">
        <v>1984</v>
      </c>
      <c r="E34" s="5" t="inlineStr">
        <is>
          <t>Salim Ahmed Salim</t>
        </is>
      </c>
      <c r="F34" s="5" t="inlineStr">
        <is>
          <t>Padmini Kolhapure</t>
        </is>
      </c>
      <c r="G34" s="5" t="inlineStr">
        <is>
          <t>Salma Khan</t>
        </is>
      </c>
      <c r="H34" s="5" t="inlineStr">
        <is>
          <t>Female lead</t>
        </is>
      </c>
      <c r="I34" s="5" t="inlineStr">
        <is>
          <t>Yes</t>
        </is>
      </c>
      <c r="J34" s="19" t="inlineStr">
        <is>
          <t>Forbidden love</t>
        </is>
      </c>
      <c r="K34" s="5" t="inlineStr">
        <is>
          <t>Neighbours</t>
        </is>
      </c>
      <c r="L34" s="5" t="inlineStr">
        <is>
          <t>Salim relocates to Lucknow for work and meets Salma, his attractive neighbour; the article records that both fall in love.</t>
        </is>
      </c>
      <c r="M34" s="5" t="inlineStr">
        <is>
          <t>Mutual</t>
        </is>
      </c>
      <c r="N34" s="19" t="inlineStr">
        <is>
          <t>A neighbourly attachment that never gets the chance to become a courtship: her father confines her to the house, then sells it and takes her out of the country.</t>
        </is>
      </c>
      <c r="O34" s="19" t="inlineStr">
        <is>
          <t>Mutual and unforced, ended by force before it can develop.</t>
        </is>
      </c>
      <c r="P34" s="19" t="inlineStr">
        <is>
          <t>None between them at any point.</t>
        </is>
      </c>
      <c r="Q34" s="20" t="n">
        <v>1</v>
      </c>
      <c r="R34" s="19" t="inlineStr">
        <is>
          <t>Salim and Salma are never in conflict. The relationship is destroyed entirely from outside, and his later degradation is grief rather than any quarrel with her.</t>
        </is>
      </c>
      <c r="S34" s="20" t="n">
        <v>10</v>
      </c>
      <c r="T34" s="5" t="inlineStr">
        <is>
          <t>Family; Class; Distance</t>
        </is>
      </c>
      <c r="U34" s="19" t="inlineStr">
        <is>
          <t>Her widower father Hamid promised her mother that Salma would marry the wealthy Anwar. He forbids her to leave the house, and when she persists he sells the house and relocates the family to Lahore, in another country. Salim tries to stop them and is assaulted senseless. The separation is absolute and permanent.</t>
        </is>
      </c>
      <c r="V34" s="20" t="n">
        <v>8</v>
      </c>
      <c r="W34" s="19" t="inlineStr">
        <is>
          <t>Salim is a poet as well as an architect and the role is built on romantic devotion and its collapse: he attempts to physically stop her removal, is beaten for it, and never gives up hope of reunion even inside another marriage. The register is ruin rather than triumph, which is where it differs from Bobby.</t>
        </is>
      </c>
      <c r="X34" s="20" t="n">
        <v>9</v>
      </c>
      <c r="Y34" s="20" t="n">
        <v>7</v>
      </c>
      <c r="Z34" s="20" t="n">
        <v>8</v>
      </c>
      <c r="AA34" s="20" t="n">
        <v>4</v>
      </c>
      <c r="AB34" s="20" t="n">
        <v>7</v>
      </c>
      <c r="AC34" s="19" t="inlineStr">
        <is>
          <t>Interpretive reading; no located review assesses this pairing. The third of six Kapoor and Padmini Kolhapure films, and the relationship is more sketched than played, since the plot removes her early and keeps her offstage.</t>
        </is>
      </c>
      <c r="AD34" s="5" t="inlineStr">
        <is>
          <t>Partial</t>
        </is>
      </c>
      <c r="AE34" s="5" t="inlineStr">
        <is>
          <t>No</t>
        </is>
      </c>
      <c r="AF34" s="5" t="inlineStr">
        <is>
          <t>No</t>
        </is>
      </c>
      <c r="AG34" s="5" t="inlineStr">
        <is>
          <t>No</t>
        </is>
      </c>
      <c r="AH34" s="5" t="inlineStr">
        <is>
          <t>Yes</t>
        </is>
      </c>
      <c r="AI34" s="5" t="inlineStr">
        <is>
          <t>Yes</t>
        </is>
      </c>
      <c r="AJ34" s="5" t="inlineStr">
        <is>
          <t>No</t>
        </is>
      </c>
      <c r="AK34" s="19" t="inlineStr">
        <is>
          <t>The loss turns an architect and poet into a drunk who frequents a brothel, and he never stops expecting to recover her.</t>
        </is>
      </c>
      <c r="AL34" s="19" t="inlineStr">
        <is>
          <t>Confined, then removed across a national border to be married to a man chosen before she was born.</t>
        </is>
      </c>
      <c r="AM34" s="5" t="inlineStr">
        <is>
          <t>Not documented; the article ends with Salim still hoping for reunion while trapped in his marriage to Sahira.</t>
        </is>
      </c>
      <c r="AN34" s="5" t="inlineStr">
        <is>
          <t>No</t>
        </is>
      </c>
      <c r="AO34" s="5" t="inlineStr">
        <is>
          <t>Unresolved</t>
        </is>
      </c>
      <c r="AP34" s="5" t="n"/>
      <c r="AQ34" s="19" t="inlineStr">
        <is>
          <t>The most extreme external opposition in the batch: a father who liquidates his property and emigrates to end a courtship. It is one of very few Kapoor romances broken by the partition of the subcontinent rather than by a family's preference alone, which makes the obstacle political as well as domestic.</t>
        </is>
      </c>
      <c r="AR34" s="19" t="inlineStr">
        <is>
          <t>The promise Hamid made to his dying wife is treated by the film as a real claim on him, which gives the opposition more dignity than usual. Salma herself is given one act of resistance, persisting after being confined, and is then removed from the film; the consequences are dramatised entirely through Salim's decline.</t>
        </is>
      </c>
      <c r="AS34" s="5" t="inlineStr">
        <is>
          <t>SOURCE-001; SOURCE-044</t>
        </is>
      </c>
      <c r="AT34" s="5" t="inlineStr">
        <is>
          <t>Medium</t>
        </is>
      </c>
    </row>
    <row r="35" ht="94" customHeight="1">
      <c r="A35" s="15" t="inlineStr">
        <is>
          <t>PAIR-034</t>
        </is>
      </c>
      <c r="B35" s="18" t="inlineStr">
        <is>
          <t>FILM-044</t>
        </is>
      </c>
      <c r="C35" s="5" t="inlineStr">
        <is>
          <t>Yeh Ishq Nahin Aasaan</t>
        </is>
      </c>
      <c r="D35" s="17" t="n">
        <v>1984</v>
      </c>
      <c r="E35" s="5" t="inlineStr">
        <is>
          <t>Salim Ahmed Salim</t>
        </is>
      </c>
      <c r="F35" s="5" t="inlineStr">
        <is>
          <t>Deepti Naval</t>
        </is>
      </c>
      <c r="G35" s="5" t="inlineStr">
        <is>
          <t>Sahira</t>
        </is>
      </c>
      <c r="H35" s="5" t="inlineStr">
        <is>
          <t>Second female lead</t>
        </is>
      </c>
      <c r="I35" s="5" t="inlineStr">
        <is>
          <t>No</t>
        </is>
      </c>
      <c r="J35" s="19" t="inlineStr">
        <is>
          <t>Marriage under strain</t>
        </is>
      </c>
      <c r="K35" s="5" t="inlineStr">
        <is>
          <t>Strangers; she is the new neighbour's daughter</t>
        </is>
      </c>
      <c r="L35" s="5" t="inlineStr">
        <is>
          <t>Salim's mother, alarmed by his drinking and his visits to the courtesan Phoolrani, compels him to marry the daughter of their new neighbours.</t>
        </is>
      </c>
      <c r="M35" s="5" t="inlineStr">
        <is>
          <t>Neither; his mother arranges it and he consents reluctantly</t>
        </is>
      </c>
      <c r="N35" s="19" t="inlineStr">
        <is>
          <t>None. The marriage precedes any acquaintance and he continues visiting the brothel afterwards, so there is no courtship at any stage.</t>
        </is>
      </c>
      <c r="O35" s="19" t="inlineStr">
        <is>
          <t>A wife trying to hold a husband who is openly waiting for another woman.</t>
        </is>
      </c>
      <c r="P35" s="19" t="inlineStr">
        <is>
          <t>He does not love her, is frequently absent at a brothel, and hopes to be reunited with Salma; she will not let him go.</t>
        </is>
      </c>
      <c r="Q35" s="20" t="n">
        <v>6</v>
      </c>
      <c r="R35" s="19" t="inlineStr">
        <is>
          <t>The friction is substantial and mutual in effect if not in intent: his neglect and continued visits to Phoolrani on one side, and on the other a wife the article describes as seemingly demure but unwilling to release him. This is conflict inside the couple, not opposition from outside.</t>
        </is>
      </c>
      <c r="S35" s="20" t="n">
        <v>4</v>
      </c>
      <c r="T35" s="5" t="inlineStr">
        <is>
          <t>Family</t>
        </is>
      </c>
      <c r="U35" s="19" t="inlineStr">
        <is>
          <t>His mother arranged the marriage over his objection, which is the reason the relationship exists at all. Beyond that there is no external force acting on it.</t>
        </is>
      </c>
      <c r="V35" s="20" t="n">
        <v>2</v>
      </c>
      <c r="W35" s="19" t="inlineStr">
        <is>
          <t>In this relationship Kapoor plays an absent and unwilling husband whose attention is directed at another woman and a brothel. There is no courtship, no devotion and no sacrifice; the lover-boy apparatus is pointed away from his wife.</t>
        </is>
      </c>
      <c r="X35" s="20" t="n">
        <v>9</v>
      </c>
      <c r="Y35" s="20" t="n">
        <v>3</v>
      </c>
      <c r="Z35" s="20" t="n">
        <v>3</v>
      </c>
      <c r="AA35" s="20" t="n">
        <v>6</v>
      </c>
      <c r="AB35" s="20" t="n">
        <v>5</v>
      </c>
      <c r="AC35" s="19" t="inlineStr">
        <is>
          <t>Interpretive reading; no located review assesses this pairing. The part gives Deepti Naval the film's late reversal, a wife who turns out to be less yielding than she appeared, and the article's account rests on that turn rather than on any rapport.</t>
        </is>
      </c>
      <c r="AD35" s="5" t="inlineStr">
        <is>
          <t>No</t>
        </is>
      </c>
      <c r="AE35" s="5" t="inlineStr">
        <is>
          <t>Yes</t>
        </is>
      </c>
      <c r="AF35" s="5" t="inlineStr">
        <is>
          <t>Partial</t>
        </is>
      </c>
      <c r="AG35" s="5" t="inlineStr">
        <is>
          <t>Yes</t>
        </is>
      </c>
      <c r="AH35" s="5" t="inlineStr">
        <is>
          <t>Partial</t>
        </is>
      </c>
      <c r="AI35" s="5" t="inlineStr">
        <is>
          <t>No</t>
        </is>
      </c>
      <c r="AJ35" s="5" t="inlineStr">
        <is>
          <t>No</t>
        </is>
      </c>
      <c r="AK35" s="19" t="inlineStr">
        <is>
          <t>None; he remains oriented towards Salma throughout, which is the marriage's problem.</t>
        </is>
      </c>
      <c r="AL35" s="19" t="inlineStr">
        <is>
          <t>From a demure arranged bride to a woman asserting a claim on a husband who wants to leave.</t>
        </is>
      </c>
      <c r="AM35" s="5" t="inlineStr">
        <is>
          <t>Not documented; the article ends with Sahira refusing to let him go easily.</t>
        </is>
      </c>
      <c r="AN35" s="5" t="inlineStr">
        <is>
          <t>Yes</t>
        </is>
      </c>
      <c r="AO35" s="5" t="inlineStr">
        <is>
          <t>Unresolved</t>
        </is>
      </c>
      <c r="AP35" s="5" t="n"/>
      <c r="AQ35" s="19" t="inlineStr">
        <is>
          <t>The second of two relationships in one film, and the counterweight to the Salma thread: one romance destroyed by a father, one marriage imposed by a mother. Taken together they make this the clearest early instance of Kapoor playing a man whose romantic life is entirely arranged by other people's parents.</t>
        </is>
      </c>
      <c r="AR35" s="19" t="inlineStr">
        <is>
          <t>The film frames Sahira's refusal to release her husband as an unwelcome surprise, the sting in the tail of his predicament, which puts the audience with the neglectful husband rather than the wife he married under duress and then abandoned nightly. Read now she has the stronger case, and the film's sympathies are misallocated.</t>
        </is>
      </c>
      <c r="AS35" s="5" t="inlineStr">
        <is>
          <t>SOURCE-001; SOURCE-044</t>
        </is>
      </c>
      <c r="AT35" s="5" t="inlineStr">
        <is>
          <t>Low</t>
        </is>
      </c>
    </row>
    <row r="36" ht="79" customHeight="1">
      <c r="A36" s="15" t="inlineStr">
        <is>
          <t>PAIR-035</t>
        </is>
      </c>
      <c r="B36" s="18" t="inlineStr">
        <is>
          <t>FILM-046</t>
        </is>
      </c>
      <c r="C36" s="5" t="inlineStr">
        <is>
          <t>Zamana</t>
        </is>
      </c>
      <c r="D36" s="17" t="n">
        <v>1985</v>
      </c>
      <c r="E36" s="5" t="inlineStr">
        <is>
          <t>Ravi S. Kumar</t>
        </is>
      </c>
      <c r="F36" s="5" t="inlineStr">
        <is>
          <t>Poonam Dhillon</t>
        </is>
      </c>
      <c r="G36" s="5" t="inlineStr">
        <is>
          <t>Sheetal</t>
        </is>
      </c>
      <c r="H36" s="5" t="inlineStr">
        <is>
          <t>Female lead</t>
        </is>
      </c>
      <c r="I36" s="5" t="inlineStr">
        <is>
          <t>Yes</t>
        </is>
      </c>
      <c r="J36" s="19" t="inlineStr">
        <is>
          <t>Love triangle</t>
        </is>
      </c>
      <c r="K36" s="5" t="inlineStr">
        <is>
          <t>Not documented</t>
        </is>
      </c>
      <c r="L36" s="5" t="inlineStr">
        <is>
          <t>Not documented; the article records only that the two brothers fall in love with the same woman.</t>
        </is>
      </c>
      <c r="M36" s="5" t="inlineStr">
        <is>
          <t>Not documented</t>
        </is>
      </c>
      <c r="N36" s="19" t="inlineStr">
        <is>
          <t>Not documented. The relationship is stated rather than shown in the article's five-sentence summary.</t>
        </is>
      </c>
      <c r="O36" s="19" t="inlineStr">
        <is>
          <t>Not documented.</t>
        </is>
      </c>
      <c r="P36" s="19" t="inlineStr">
        <is>
          <t>His brother is his rival, and he is a criminal while his brother is a police inspector.</t>
        </is>
      </c>
      <c r="Q36" s="20" t="n">
        <v>3</v>
      </c>
      <c r="R36" s="19" t="inlineStr">
        <is>
          <t>No conflict between Ravi and Sheetal is recorded; the rivalry is between the brothers. Scored low and provisionally, since the article gives the relationship a single clause.</t>
        </is>
      </c>
      <c r="S36" s="20" t="n">
        <v>5</v>
      </c>
      <c r="T36" s="5" t="inlineStr">
        <is>
          <t>Existing relationship; Crime</t>
        </is>
      </c>
      <c r="U36" s="19" t="inlineStr">
        <is>
          <t>His own brother is the competing claim, and Ravi's work for the don J. D. places him on the wrong side of the law from the family he is estranged from.</t>
        </is>
      </c>
      <c r="V36" s="20" t="n">
        <v>4</v>
      </c>
      <c r="W36" s="19" t="inlineStr">
        <is>
          <t>A conventional second-lead romance in a film about two estranged brothers and a murdered father. The courtship is asserted rather than dramatised and nothing in the role is organised around it.</t>
        </is>
      </c>
      <c r="X36" s="20" t="n">
        <v>6</v>
      </c>
      <c r="Y36" s="20" t="n">
        <v>5</v>
      </c>
      <c r="Z36" s="20" t="n">
        <v>5</v>
      </c>
      <c r="AA36" s="20" t="n">
        <v>4</v>
      </c>
      <c r="AB36" s="20" t="n">
        <v>5</v>
      </c>
      <c r="AC36" s="19" t="inlineStr">
        <is>
          <t>Interpretive reading; no located review assesses this pairing, and the article documents almost none of the relationship. There is not enough recorded interaction to judge it.</t>
        </is>
      </c>
      <c r="AD36" s="5" t="inlineStr">
        <is>
          <t>Unclear</t>
        </is>
      </c>
      <c r="AE36" s="5" t="inlineStr">
        <is>
          <t>Unclear</t>
        </is>
      </c>
      <c r="AF36" s="5" t="inlineStr">
        <is>
          <t>Partial</t>
        </is>
      </c>
      <c r="AG36" s="5" t="inlineStr">
        <is>
          <t>No</t>
        </is>
      </c>
      <c r="AH36" s="5" t="inlineStr">
        <is>
          <t>Unclear</t>
        </is>
      </c>
      <c r="AI36" s="5" t="inlineStr">
        <is>
          <t>Unclear</t>
        </is>
      </c>
      <c r="AJ36" s="5" t="inlineStr">
        <is>
          <t>Unclear</t>
        </is>
      </c>
      <c r="AK36" s="19" t="inlineStr">
        <is>
          <t>Persuaded to leave the criminal world, though the article attributes this to the brothers' reconciliation rather than to the romance.</t>
        </is>
      </c>
      <c r="AL36" s="19" t="inlineStr">
        <is>
          <t>Not documented.</t>
        </is>
      </c>
      <c r="AM36" s="5" t="inlineStr">
        <is>
          <t>Not documented; the article does not say which brother ends with her.</t>
        </is>
      </c>
      <c r="AN36" s="5" t="inlineStr">
        <is>
          <t>Unclear</t>
        </is>
      </c>
      <c r="AO36" s="5" t="inlineStr">
        <is>
          <t>Unresolved</t>
        </is>
      </c>
      <c r="AP36" s="5" t="n"/>
      <c r="AQ36" s="19" t="inlineStr">
        <is>
          <t>Recorded because the article explicitly makes the shared attachment one of the causes of the brothers' estrangement, but scored thinly: the summary states the triangle in one clause and resolves it in another without naming an outcome.</t>
        </is>
      </c>
      <c r="AR36" s="19" t="inlineStr">
        <is>
          <t>Too little survives to read the film's framing. Sheetal is the object over which two brothers are divided and then reconciled, and the article does not record a preference of her own.</t>
        </is>
      </c>
      <c r="AS36" s="5" t="inlineStr">
        <is>
          <t>SOURCE-001; SOURCE-045</t>
        </is>
      </c>
      <c r="AT36" s="5" t="inlineStr">
        <is>
          <t>Low</t>
        </is>
      </c>
    </row>
    <row r="37" ht="109" customHeight="1">
      <c r="A37" s="15" t="inlineStr">
        <is>
          <t>PAIR-036</t>
        </is>
      </c>
      <c r="B37" s="18" t="inlineStr">
        <is>
          <t>FILM-047</t>
        </is>
      </c>
      <c r="C37" s="5" t="inlineStr">
        <is>
          <t>Rahi Badal Gaye</t>
        </is>
      </c>
      <c r="D37" s="17" t="n">
        <v>1985</v>
      </c>
      <c r="E37" s="5" t="inlineStr">
        <is>
          <t>Amar Lal</t>
        </is>
      </c>
      <c r="F37" s="5" t="inlineStr">
        <is>
          <t>Shabana Azmi</t>
        </is>
      </c>
      <c r="G37" s="5" t="inlineStr">
        <is>
          <t>Bhavna</t>
        </is>
      </c>
      <c r="H37" s="5" t="inlineStr">
        <is>
          <t>Female lead</t>
        </is>
      </c>
      <c r="I37" s="5" t="inlineStr">
        <is>
          <t>Yes</t>
        </is>
      </c>
      <c r="J37" s="19" t="inlineStr">
        <is>
          <t>Tragic lovers</t>
        </is>
      </c>
      <c r="K37" s="5" t="inlineStr">
        <is>
          <t>Acquainted; she works at a hotel he brings tourists to</t>
        </is>
      </c>
      <c r="L37" s="5" t="inlineStr">
        <is>
          <t>Amar works as a guide in Kashmir and is in love with Bhavna, a hotel receptionist, but is too afraid to tell her; her sister Sangeeta engineers the declaration.</t>
        </is>
      </c>
      <c r="M37" s="5" t="inlineStr">
        <is>
          <t>Amar, with Sangeeta's help, after being unable to speak for himself</t>
        </is>
      </c>
      <c r="N37" s="19" t="inlineStr">
        <is>
          <t>Almost entirely pre-verbal: a long unspoken attachment, a single brokered declaration, and then a death before any marriage can be arranged.</t>
        </is>
      </c>
      <c r="O37" s="19" t="inlineStr">
        <is>
          <t>Mutual and delighted for a very short stretch, then a devotion that survives only as her derangement.</t>
        </is>
      </c>
      <c r="P37" s="19" t="inlineStr">
        <is>
          <t>None whatever.</t>
        </is>
      </c>
      <c r="Q37" s="20" t="n">
        <v>1</v>
      </c>
      <c r="R37" s="19" t="inlineStr">
        <is>
          <t>There is no conflict between Amar and Bhavna. His shyness delays the relationship and her sister resolves it; from the declaration to his fall the pair is entirely united.</t>
        </is>
      </c>
      <c r="S37" s="20" t="n">
        <v>7</v>
      </c>
      <c r="T37" s="5" t="inlineStr">
        <is>
          <t>Fate; Villain</t>
        </is>
      </c>
      <c r="U37" s="19" t="inlineStr">
        <is>
          <t>Amar falls from a mountain to his apparent death before any marriage can be settled. Bhavna later maintains the fall was a homicide rather than an accident, and Vikram Mehra, whom Amar had violently warned away from Sangeeta, is the standing suspicion.</t>
        </is>
      </c>
      <c r="V37" s="20" t="n">
        <v>8</v>
      </c>
      <c r="W37" s="19" t="inlineStr">
        <is>
          <t>Amar is a pure romantic lead in the Kashmiri-guide mould, with the relationship as his only project, and the film kills him at the peak of it. The score sits below the top band because the character's defining trait is an inability to declare himself, and because the second half belongs to his double.</t>
        </is>
      </c>
      <c r="X37" s="20" t="n">
        <v>9</v>
      </c>
      <c r="Y37" s="20" t="n">
        <v>8</v>
      </c>
      <c r="Z37" s="20" t="n">
        <v>8</v>
      </c>
      <c r="AA37" s="20" t="n">
        <v>6</v>
      </c>
      <c r="AB37" s="20" t="n">
        <v>7</v>
      </c>
      <c r="AC37" s="19" t="inlineStr">
        <is>
          <t>Interpretive reading; no located review assesses this pairing. Shabana Azmi is cast against the usual register of a Kapoor romance and carries most of the film's aftermath; the courtship itself is brief and played lightly before the tonal break.</t>
        </is>
      </c>
      <c r="AD37" s="5" t="inlineStr">
        <is>
          <t>Yes</t>
        </is>
      </c>
      <c r="AE37" s="5" t="inlineStr">
        <is>
          <t>No</t>
        </is>
      </c>
      <c r="AF37" s="5" t="inlineStr">
        <is>
          <t>No</t>
        </is>
      </c>
      <c r="AG37" s="5" t="inlineStr">
        <is>
          <t>No</t>
        </is>
      </c>
      <c r="AH37" s="5" t="inlineStr">
        <is>
          <t>Yes</t>
        </is>
      </c>
      <c r="AI37" s="5" t="inlineStr">
        <is>
          <t>No</t>
        </is>
      </c>
      <c r="AJ37" s="5" t="inlineStr">
        <is>
          <t>Yes</t>
        </is>
      </c>
      <c r="AK37" s="19" t="inlineStr">
        <is>
          <t>From a man who cannot speak to a man who has spoken and is immediately killed for the film's purposes; the arc is cut off rather than completed.</t>
        </is>
      </c>
      <c r="AL37" s="19" t="inlineStr">
        <is>
          <t>From a hotel receptionist in love to a woman who loses her mind at his death, is treated by having a stranger impersonate him, and then fights to prove he was murdered.</t>
        </is>
      </c>
      <c r="AM37" s="5" t="inlineStr">
        <is>
          <t>Ended by Amar's apparent death; Bhavna recovers slowly through a deception rather than through reunion.</t>
        </is>
      </c>
      <c r="AN37" s="5" t="inlineStr">
        <is>
          <t>No</t>
        </is>
      </c>
      <c r="AO37" s="5" t="inlineStr">
        <is>
          <t>Tragic</t>
        </is>
      </c>
      <c r="AP37" s="5" t="n"/>
      <c r="AQ37" s="19" t="inlineStr">
        <is>
          <t>The first of two romances in a double-role film, and the one that produces the premise: Amar's death is what makes his double's impersonation necessary. It is worth recording that the grieving woman is given the investigative drive here, which is unusual, and that the article ends on whether anyone will believe her.</t>
        </is>
      </c>
      <c r="AR37" s="19" t="inlineStr">
        <is>
          <t>The film's treatment of Bhavna's breakdown is instrumental: her madness exists so that a lookalike can be brought in to treat it, and her insistence that the death was murder is framed as the possibly unreliable claim of someone who has lost her mind. That framing is the most troubling thing in the film, and it is also the source of its interest.</t>
        </is>
      </c>
      <c r="AS37" s="5" t="inlineStr">
        <is>
          <t>SOURCE-001; SOURCE-047</t>
        </is>
      </c>
      <c r="AT37" s="5" t="inlineStr">
        <is>
          <t>Medium</t>
        </is>
      </c>
    </row>
    <row r="38" ht="109" customHeight="1">
      <c r="A38" s="15" t="inlineStr">
        <is>
          <t>PAIR-037</t>
        </is>
      </c>
      <c r="B38" s="18" t="inlineStr">
        <is>
          <t>FILM-047</t>
        </is>
      </c>
      <c r="C38" s="5" t="inlineStr">
        <is>
          <t>Rahi Badal Gaye</t>
        </is>
      </c>
      <c r="D38" s="17" t="n">
        <v>1985</v>
      </c>
      <c r="E38" s="5" t="inlineStr">
        <is>
          <t>Amar Lal</t>
        </is>
      </c>
      <c r="F38" s="5" t="inlineStr">
        <is>
          <t>Padmini Kolhapure</t>
        </is>
      </c>
      <c r="G38" s="5" t="inlineStr">
        <is>
          <t>Sangeeta</t>
        </is>
      </c>
      <c r="H38" s="5" t="inlineStr">
        <is>
          <t>Second female lead</t>
        </is>
      </c>
      <c r="I38" s="5" t="inlineStr">
        <is>
          <t>Partial</t>
        </is>
      </c>
      <c r="J38" s="19" t="inlineStr">
        <is>
          <t>Romance subordinate to another genre</t>
        </is>
      </c>
      <c r="K38" s="5" t="inlineStr">
        <is>
          <t>Strangers; she is the sister of the woman his double loved</t>
        </is>
      </c>
      <c r="L38" s="5" t="inlineStr">
        <is>
          <t>Flight Lieutenant Pawan Kumar Saxena comes to Kashmir on a visit and is immediately mistaken for the dead Amar; Sangeeta approaches him because Dr. Mehra needs him to impersonate her sister's lover.</t>
        </is>
      </c>
      <c r="M38" s="5" t="inlineStr">
        <is>
          <t>Sangeeta, who sets out to seduce him into agreeing</t>
        </is>
      </c>
      <c r="N38" s="19" t="inlineStr">
        <is>
          <t>Begins as a deliberate seduction undertaken for someone else's benefit and turns into a real attachment, so the sequence runs from instrumentality to feeling rather than the reverse.</t>
        </is>
      </c>
      <c r="O38" s="19" t="inlineStr">
        <is>
          <t>Calculated on her side at the outset and genuine on his; the article records that he is really in love with her.</t>
        </is>
      </c>
      <c r="P38" s="19" t="inlineStr">
        <is>
          <t>She approaches him as a means to her sister's recovery, and he is required to spend the relationship pretending to be another man.</t>
        </is>
      </c>
      <c r="Q38" s="20" t="n">
        <v>4</v>
      </c>
      <c r="R38" s="19" t="inlineStr">
        <is>
          <t>Pawan refuses the impersonation and has to be seduced into it, which is a real disagreement resolved by manipulation rather than persuasion. Once he agrees the pair is not in open conflict, but the relationship is founded on her using him.</t>
        </is>
      </c>
      <c r="S38" s="20" t="n">
        <v>5</v>
      </c>
      <c r="T38" s="5" t="inlineStr">
        <is>
          <t>Family; Illness</t>
        </is>
      </c>
      <c r="U38" s="19" t="inlineStr">
        <is>
          <t>The obstacle is Bhavna's condition and the therapeutic fiction built around it: Pawan can only be with Sangeeta while maintaining the pretence of being her sister's dead lover, and Bhavna's discovery that he loves Sangeeta is what turns her towards proving the murder.</t>
        </is>
      </c>
      <c r="V38" s="20" t="n">
        <v>4</v>
      </c>
      <c r="W38" s="19" t="inlineStr">
        <is>
          <t>Pawan is not courting; he is recruited, seduced and then conscripted into wearing a dead man's face. The romance happens to him in the middle of someone else's treatment plan, and the role has none of the archetype's initiative.</t>
        </is>
      </c>
      <c r="X38" s="20" t="n">
        <v>9</v>
      </c>
      <c r="Y38" s="20" t="n">
        <v>4</v>
      </c>
      <c r="Z38" s="20" t="n">
        <v>5</v>
      </c>
      <c r="AA38" s="20" t="n">
        <v>8</v>
      </c>
      <c r="AB38" s="20" t="n">
        <v>6</v>
      </c>
      <c r="AC38" s="19" t="inlineStr">
        <is>
          <t>Interpretive reading; no located review assesses this pairing. The article notes that Kapoor took seven slaps from Padmini Kolhapure in a single scene, which suggests the register between them was combative rather than tender; this is the fifth of their six films together.</t>
        </is>
      </c>
      <c r="AD38" s="5" t="inlineStr">
        <is>
          <t>Partial</t>
        </is>
      </c>
      <c r="AE38" s="5" t="inlineStr">
        <is>
          <t>Yes</t>
        </is>
      </c>
      <c r="AF38" s="5" t="inlineStr">
        <is>
          <t>No</t>
        </is>
      </c>
      <c r="AG38" s="5" t="inlineStr">
        <is>
          <t>Yes</t>
        </is>
      </c>
      <c r="AH38" s="5" t="inlineStr">
        <is>
          <t>Unclear</t>
        </is>
      </c>
      <c r="AI38" s="5" t="inlineStr">
        <is>
          <t>Partial</t>
        </is>
      </c>
      <c r="AJ38" s="5" t="inlineStr">
        <is>
          <t>Partial</t>
        </is>
      </c>
      <c r="AK38" s="19" t="inlineStr">
        <is>
          <t>From a stranger who refuses to impersonate a dead man to one doing it daily for the sake of the woman who talked him into it.</t>
        </is>
      </c>
      <c r="AL38" s="19" t="inlineStr">
        <is>
          <t>From a sister who will use her own body to secure her sister's recovery to a woman genuinely attached to the man she recruited.</t>
        </is>
      </c>
      <c r="AM38" s="5" t="inlineStr">
        <is>
          <t>Not documented; the article's plot ends with Bhavna's attempt to prove the death was murder.</t>
        </is>
      </c>
      <c r="AN38" s="5" t="inlineStr">
        <is>
          <t>Unclear</t>
        </is>
      </c>
      <c r="AO38" s="5" t="inlineStr">
        <is>
          <t>Unresolved</t>
        </is>
      </c>
      <c r="AP38" s="5" t="n"/>
      <c r="AQ38" s="19" t="inlineStr">
        <is>
          <t>The second romance in the same film and the inverse of the first: where Amar and Bhavna are frictionless and doomed, Pawan and Sangeeta begin in manipulation and survive. Female agency is scored at eight, the highest in the batch, because Sangeeta drives the entire second half, though what she drives is a deception.</t>
        </is>
      </c>
      <c r="AR38" s="19" t="inlineStr">
        <is>
          <t>The film treats a woman seducing a man in order to install him as her sister's therapy as an act of familial devotion, and never asks what is owed to the man being used or to the patient being deceived. It is the most ethically careless premise in the batch, and the film's own framing is entirely untroubled by it.</t>
        </is>
      </c>
      <c r="AS38" s="5" t="inlineStr">
        <is>
          <t>SOURCE-001; SOURCE-047</t>
        </is>
      </c>
      <c r="AT38" s="5" t="inlineStr">
        <is>
          <t>Low</t>
        </is>
      </c>
    </row>
    <row r="39" ht="139" customHeight="1">
      <c r="A39" s="15" t="inlineStr">
        <is>
          <t>PAIR-038</t>
        </is>
      </c>
      <c r="B39" s="18" t="inlineStr">
        <is>
          <t>FILM-049</t>
        </is>
      </c>
      <c r="C39" s="5" t="inlineStr">
        <is>
          <t>Saagar</t>
        </is>
      </c>
      <c r="D39" s="17" t="n">
        <v>1985</v>
      </c>
      <c r="E39" s="5" t="inlineStr">
        <is>
          <t>Ravi</t>
        </is>
      </c>
      <c r="F39" s="5" t="inlineStr">
        <is>
          <t>Dimple Kapadia</t>
        </is>
      </c>
      <c r="G39" s="5" t="inlineStr">
        <is>
          <t>Mona D'Silva</t>
        </is>
      </c>
      <c r="H39" s="5" t="inlineStr">
        <is>
          <t>Female lead</t>
        </is>
      </c>
      <c r="I39" s="5" t="inlineStr">
        <is>
          <t>Yes</t>
        </is>
      </c>
      <c r="J39" s="19" t="inlineStr">
        <is>
          <t>Love triangle</t>
        </is>
      </c>
      <c r="K39" s="5" t="inlineStr">
        <is>
          <t>Strangers; he is newly arrived in her town</t>
        </is>
      </c>
      <c r="L39" s="5" t="inlineStr">
        <is>
          <t>Ravi moves to Goa from the United States, into the neighbourhood where Mona runs a small restaurant and where Raja, her close friend, has loved her for years without saying so.</t>
        </is>
      </c>
      <c r="M39" s="5" t="inlineStr">
        <is>
          <t>Mutual; the article records that Mona and Ravi fall in love</t>
        </is>
      </c>
      <c r="N39" s="19" t="inlineStr">
        <is>
          <t>An open, uncomplicated courtship conducted in full view of the one person it destroys, since Raja knows nothing of it until it is settled.</t>
        </is>
      </c>
      <c r="O39" s="19" t="inlineStr">
        <is>
          <t>Warm, mutual and unguarded, and unknowingly cruel to the third party.</t>
        </is>
      </c>
      <c r="P39" s="19" t="inlineStr">
        <is>
          <t>None between them.</t>
        </is>
      </c>
      <c r="Q39" s="20" t="n">
        <v>2</v>
      </c>
      <c r="R39" s="19" t="inlineStr">
        <is>
          <t>Ravi and Mona are never divided. The film's pain is located in Raja, who loves her and cannot say so, and in the grandmother's objection; the couple itself is stable throughout.</t>
        </is>
      </c>
      <c r="S39" s="20" t="n">
        <v>7</v>
      </c>
      <c r="T39" s="5" t="inlineStr">
        <is>
          <t>Class; Family; Existing relationship</t>
        </is>
      </c>
      <c r="U39" s="19" t="inlineStr">
        <is>
          <t>Ravi's grandmother Kamladevi opposes the match on grounds of class difference: he belongs to a rich industrialist family and Mona runs a small restaurant among fishermen. Raja's unspoken prior claim is the other standing obstacle, and it is removed only by his death.</t>
        </is>
      </c>
      <c r="V39" s="20" t="n">
        <v>7</v>
      </c>
      <c r="W39" s="19" t="inlineStr">
        <is>
          <t>Ravi is a straightforward romantic hero in a film built entirely on love, and he holds to Mona against his own family. What keeps the score out of the top band is that he neither knows about nor resolves the film's central conflict: the decisive act of love in Saagar is Raja's, not his.</t>
        </is>
      </c>
      <c r="X39" s="20" t="n">
        <v>9</v>
      </c>
      <c r="Y39" s="20" t="n">
        <v>8</v>
      </c>
      <c r="Z39" s="20" t="n">
        <v>8</v>
      </c>
      <c r="AA39" s="20" t="n">
        <v>6</v>
      </c>
      <c r="AB39" s="20" t="n">
        <v>9</v>
      </c>
      <c r="AC39" s="19" t="inlineStr">
        <is>
          <t>Interpretive reading; no located review assesses this pairing directly. The casting is the point: Kapoor and Dimple Kapadia reunited twelve years after Bobby, she in her comeback, and the film trades openly on the audience's memory of the earlier pairing. The ease between them is the strongest thing in the film after Kamal Haasan's performance.</t>
        </is>
      </c>
      <c r="AD39" s="5" t="inlineStr">
        <is>
          <t>Yes</t>
        </is>
      </c>
      <c r="AE39" s="5" t="inlineStr">
        <is>
          <t>No</t>
        </is>
      </c>
      <c r="AF39" s="5" t="inlineStr">
        <is>
          <t>No</t>
        </is>
      </c>
      <c r="AG39" s="5" t="inlineStr">
        <is>
          <t>No</t>
        </is>
      </c>
      <c r="AH39" s="5" t="inlineStr">
        <is>
          <t>No</t>
        </is>
      </c>
      <c r="AI39" s="5" t="inlineStr">
        <is>
          <t>Partial</t>
        </is>
      </c>
      <c r="AJ39" s="5" t="inlineStr">
        <is>
          <t>Yes</t>
        </is>
      </c>
      <c r="AK39" s="19" t="inlineStr">
        <is>
          <t>Little of his own; he arrives in love with her and ends married to her, and the change the film dramatises belongs to Raja.</t>
        </is>
      </c>
      <c r="AL39" s="19" t="inlineStr">
        <is>
          <t>From a woman running a restaurant with a friend she does not know loves her to a wife who has cost that friend his life.</t>
        </is>
      </c>
      <c r="AM39" s="5" t="inlineStr">
        <is>
          <t>They marry, after Raja sacrifices both his love and his life for them.</t>
        </is>
      </c>
      <c r="AN39" s="5" t="inlineStr">
        <is>
          <t>Yes</t>
        </is>
      </c>
      <c r="AO39" s="5" t="inlineStr">
        <is>
          <t>Happy</t>
        </is>
      </c>
      <c r="AP39" s="5" t="inlineStr">
        <is>
          <t>'Sach Mere Yaar Hai', 'Yun Hi Gaate Raho', 'Jaane Do Na'</t>
        </is>
      </c>
      <c r="AQ39" s="19" t="inlineStr">
        <is>
          <t>The most important pairing of the mid-1980s work, and the one deliberately built on the audience's memory of Bobby twelve years earlier. Structurally it inverts the usual arrangement: the Kapoor character is the one who gets the girl easily, while the romantic suffering, the devotion and the sacrifice, everything the lover-boy archetype normally supplies, is given to Kamal Haasan.</t>
        </is>
      </c>
      <c r="AR39" s="19" t="inlineStr">
        <is>
          <t>The film is unusually clear-eyed that the successful romance is also an injury to someone else, and it refuses to make Raja a rival to be defeated. Mona is given real work, a business and a choice, and the class objection comes from Ravi's family rather than hers, which reverses the Bobby arrangement. What the film cannot quite manage is why she chooses as she does, since Ravi is the less interesting of the two men.</t>
        </is>
      </c>
      <c r="AS39" s="5" t="inlineStr">
        <is>
          <t>SOURCE-001; SOURCE-049</t>
        </is>
      </c>
      <c r="AT39" s="5" t="inlineStr">
        <is>
          <t>High</t>
        </is>
      </c>
    </row>
    <row r="40" ht="124" customHeight="1">
      <c r="A40" s="15" t="inlineStr">
        <is>
          <t>PAIR-039</t>
        </is>
      </c>
      <c r="B40" s="18" t="inlineStr">
        <is>
          <t>FILM-050</t>
        </is>
      </c>
      <c r="C40" s="5" t="inlineStr">
        <is>
          <t>Tawaif</t>
        </is>
      </c>
      <c r="D40" s="17" t="n">
        <v>1985</v>
      </c>
      <c r="E40" s="5" t="inlineStr">
        <is>
          <t>Dawood Mohammed Ali Khan Yusuf Zahir</t>
        </is>
      </c>
      <c r="F40" s="5" t="inlineStr">
        <is>
          <t>Rati Agnihotri</t>
        </is>
      </c>
      <c r="G40" s="5" t="inlineStr">
        <is>
          <t>Sultana</t>
        </is>
      </c>
      <c r="H40" s="5" t="inlineStr">
        <is>
          <t>Female lead</t>
        </is>
      </c>
      <c r="I40" s="5" t="inlineStr">
        <is>
          <t>Yes</t>
        </is>
      </c>
      <c r="J40" s="19" t="inlineStr">
        <is>
          <t>Friendship to love</t>
        </is>
      </c>
      <c r="K40" s="5" t="inlineStr">
        <is>
          <t>Strangers forced to share a house at knifepoint</t>
        </is>
      </c>
      <c r="L40" s="5" t="inlineStr">
        <is>
          <t>The mafia lord Rahim Shaikh pushes into Dawood's room with a bejewelled woman and tells him to let her stay the night or be killed; by morning the neighbourhood has decided she is his wife and arranged a feast for the couple.</t>
        </is>
      </c>
      <c r="M40" s="5" t="inlineStr">
        <is>
          <t>Neither; the cohabitation is imposed and the feeling grows out of it</t>
        </is>
      </c>
      <c r="N40" s="19" t="inlineStr">
        <is>
          <t>Marriage first and courtship never: they live as a pretend married couple under the neighbourhood's eye, and the attachment accumulates through her conduct in the household rather than through any wooing.</t>
        </is>
      </c>
      <c r="O40" s="19" t="inlineStr">
        <is>
          <t>His resentment against her steadiness, slowly converting into respect and then into love he is the last to recognise.</t>
        </is>
      </c>
      <c r="P40" s="19" t="inlineStr">
        <is>
          <t>He is angry at being saddled with her and is courting another woman throughout; she is another man's property and expects to be reclaimed.</t>
        </is>
      </c>
      <c r="Q40" s="20" t="n">
        <v>5</v>
      </c>
      <c r="R40" s="19" t="inlineStr">
        <is>
          <t>The friction is real and one-directional: Dawood is angry with Sultana for the position she has put him in, and is pursuing Kaynat while Sultana keeps his house. It is resentment rather than hostility, and it dissolves as he comes to see what she is doing.</t>
        </is>
      </c>
      <c r="S40" s="20" t="n">
        <v>9</v>
      </c>
      <c r="T40" s="5" t="inlineStr">
        <is>
          <t>Crime; Villain; Community</t>
        </is>
      </c>
      <c r="U40" s="19" t="inlineStr">
        <is>
          <t>Sultana was purchased by Rahim Shaikh to be resold to the highest bidder, and his men warn both of them to stay together only until he is released to claim her. Her standing as a courtesan is the other barrier: it is why Kaynat's family can be told about a first wife and why the relationship is socially impossible.</t>
        </is>
      </c>
      <c r="V40" s="20" t="n">
        <v>7</v>
      </c>
      <c r="W40" s="19" t="inlineStr">
        <is>
          <t>The role turns on a man choosing a courtesan against his own prospects and the neighbourhood's expectations, and ends with him going to take her back from the man who owns her. The devotion is genuine but arrives very late, and for most of the film his romantic attention is directed at Kaynat instead.</t>
        </is>
      </c>
      <c r="X40" s="20" t="n">
        <v>9</v>
      </c>
      <c r="Y40" s="20" t="n">
        <v>7</v>
      </c>
      <c r="Z40" s="20" t="n">
        <v>7</v>
      </c>
      <c r="AA40" s="20" t="n">
        <v>7</v>
      </c>
      <c r="AB40" s="20" t="n">
        <v>7</v>
      </c>
      <c r="AC40" s="19" t="inlineStr">
        <is>
          <t>Interpretive reading; no located review assesses this pairing. The relationship has to be built almost entirely out of domestic detail rather than romantic scenes, since the couple are pretending to be married while he courts someone else, and the article's account gives Sultana the better of the material.</t>
        </is>
      </c>
      <c r="AD40" s="5" t="inlineStr">
        <is>
          <t>No</t>
        </is>
      </c>
      <c r="AE40" s="5" t="inlineStr">
        <is>
          <t>Yes</t>
        </is>
      </c>
      <c r="AF40" s="5" t="inlineStr">
        <is>
          <t>No</t>
        </is>
      </c>
      <c r="AG40" s="5" t="inlineStr">
        <is>
          <t>Yes</t>
        </is>
      </c>
      <c r="AH40" s="5" t="inlineStr">
        <is>
          <t>Yes</t>
        </is>
      </c>
      <c r="AI40" s="5" t="inlineStr">
        <is>
          <t>Yes</t>
        </is>
      </c>
      <c r="AJ40" s="5" t="inlineStr">
        <is>
          <t>Partial</t>
        </is>
      </c>
      <c r="AK40" s="19" t="inlineStr">
        <is>
          <t>From a man humiliated by a forced pretence into one who chooses the woman society has priced and discarded.</t>
        </is>
      </c>
      <c r="AL40" s="19" t="inlineStr">
        <is>
          <t>From a purchased woman waiting to be resold to one who sells her own jewels to feed his household, rescues a neighbour's girl from a trafficker, and leaves quietly rather than damage him.</t>
        </is>
      </c>
      <c r="AM40" s="5" t="inlineStr">
        <is>
          <t>Not documented in full; Dawood goes to rescue Sultana from Rahim Shaikh and the article's plot breaks off during the attempt.</t>
        </is>
      </c>
      <c r="AN40" s="5" t="inlineStr">
        <is>
          <t>Partial</t>
        </is>
      </c>
      <c r="AO40" s="5" t="inlineStr">
        <is>
          <t>Unresolved</t>
        </is>
      </c>
      <c r="AP40" s="5" t="n"/>
      <c r="AQ40" s="19" t="inlineStr">
        <is>
          <t>The strongest female part in the batch and one of the few Kapoor romances in which the woman's actions, not the man's, accumulate the moral weight: every decisive gesture in the relationship is Sultana's. The structure also inverts the standard pattern, since the marriage is the premise and the love is the conclusion.</t>
        </is>
      </c>
      <c r="AR40" s="19" t="inlineStr">
        <is>
          <t>A B. R. Chopra social film that takes the standing of a courtesan as its subject and gives Sultana dignity, competence and initiative rather than pathos. Its limit is the usual one: her worth has to be demonstrated through service to a household and a rescue of another woman before the hero can be permitted to want her, and the film never questions that she must earn what Kaynat is granted by respectability.</t>
        </is>
      </c>
      <c r="AS40" s="5" t="inlineStr">
        <is>
          <t>SOURCE-001; SOURCE-046</t>
        </is>
      </c>
      <c r="AT40" s="5" t="inlineStr">
        <is>
          <t>Medium</t>
        </is>
      </c>
    </row>
    <row r="41" ht="94" customHeight="1">
      <c r="A41" s="15" t="inlineStr">
        <is>
          <t>PAIR-040</t>
        </is>
      </c>
      <c r="B41" s="18" t="inlineStr">
        <is>
          <t>FILM-050</t>
        </is>
      </c>
      <c r="C41" s="5" t="inlineStr">
        <is>
          <t>Tawaif</t>
        </is>
      </c>
      <c r="D41" s="17" t="n">
        <v>1985</v>
      </c>
      <c r="E41" s="5" t="inlineStr">
        <is>
          <t>Dawood Mohammed Ali Khan Yusuf Zahir</t>
        </is>
      </c>
      <c r="F41" s="5" t="inlineStr">
        <is>
          <t>Poonam Dhillon</t>
        </is>
      </c>
      <c r="G41" s="5" t="inlineStr">
        <is>
          <t>Kaynat Mirza</t>
        </is>
      </c>
      <c r="H41" s="5" t="inlineStr">
        <is>
          <t>Second female lead</t>
        </is>
      </c>
      <c r="I41" s="5" t="inlineStr">
        <is>
          <t>Partial</t>
        </is>
      </c>
      <c r="J41" s="19" t="inlineStr">
        <is>
          <t>Love triangle</t>
        </is>
      </c>
      <c r="K41" s="5" t="inlineStr">
        <is>
          <t>Strangers; he finds a manuscript she has lost</t>
        </is>
      </c>
      <c r="L41" s="5" t="inlineStr">
        <is>
          <t>Dawood finds a manuscript on a bus carrying the author's name and address, goes to return it, and meets Kaynat; he then introduces her to Sulaiman, the editor at his publishing house.</t>
        </is>
      </c>
      <c r="M41" s="5" t="inlineStr">
        <is>
          <t>Mutual, after he has made her career possible</t>
        </is>
      </c>
      <c r="N41" s="19" t="inlineStr">
        <is>
          <t>A literary courtship conducted through the publication of her novel, and consummated in a mutual declaration once the book is out.</t>
        </is>
      </c>
      <c r="O41" s="19" t="inlineStr">
        <is>
          <t>Warm and equal, and ended by her own decision rather than by any failure between them.</t>
        </is>
      </c>
      <c r="P41" s="19" t="inlineStr">
        <is>
          <t>She learns he already has a wife living in his house, which he has not explained.</t>
        </is>
      </c>
      <c r="Q41" s="20" t="n">
        <v>3</v>
      </c>
      <c r="R41" s="19" t="inlineStr">
        <is>
          <t>The couple is not in conflict; the rupture is a single devastating discovery, and Kaynat goes to Sultana to establish the facts rather than quarrelling with him. Once she has them she acts.</t>
        </is>
      </c>
      <c r="S41" s="20" t="n">
        <v>6</v>
      </c>
      <c r="T41" s="5" t="inlineStr">
        <is>
          <t>Community; Existing relationship</t>
        </is>
      </c>
      <c r="U41" s="19" t="inlineStr">
        <is>
          <t>The obstacle is the pretend marriage the neighbourhood has already sanctioned: Kaynat's family is told there is a first wife, and the arrangement Rahim Shaikh forced on Dawood makes an honest proposal impossible.</t>
        </is>
      </c>
      <c r="V41" s="20" t="n">
        <v>6</v>
      </c>
      <c r="W41" s="19" t="inlineStr">
        <is>
          <t>Dawood courts Kaynat sincerely for most of the film and it is the relationship he intends to marry into, but he is also concealing a household, and the film ultimately has him redirect. The romantic energy is real and misdirected.</t>
        </is>
      </c>
      <c r="X41" s="20" t="n">
        <v>9</v>
      </c>
      <c r="Y41" s="20" t="n">
        <v>6</v>
      </c>
      <c r="Z41" s="20" t="n">
        <v>7</v>
      </c>
      <c r="AA41" s="20" t="n">
        <v>8</v>
      </c>
      <c r="AB41" s="20" t="n">
        <v>6</v>
      </c>
      <c r="AC41" s="19" t="inlineStr">
        <is>
          <t>Interpretive reading; no located review assesses this pairing. The relationship is written as the respectable alternative to Sultana and functions structurally, so the playing has less to work with than the central pairing.</t>
        </is>
      </c>
      <c r="AD41" s="5" t="inlineStr">
        <is>
          <t>Partial</t>
        </is>
      </c>
      <c r="AE41" s="5" t="inlineStr">
        <is>
          <t>Partial</t>
        </is>
      </c>
      <c r="AF41" s="5" t="inlineStr">
        <is>
          <t>No</t>
        </is>
      </c>
      <c r="AG41" s="5" t="inlineStr">
        <is>
          <t>Yes</t>
        </is>
      </c>
      <c r="AH41" s="5" t="inlineStr">
        <is>
          <t>Yes</t>
        </is>
      </c>
      <c r="AI41" s="5" t="inlineStr">
        <is>
          <t>Yes</t>
        </is>
      </c>
      <c r="AJ41" s="5" t="inlineStr">
        <is>
          <t>Partial</t>
        </is>
      </c>
      <c r="AK41" s="19" t="inlineStr">
        <is>
          <t>He is corrected rather than transformed: Kaynat tells him where his feeling actually lies and sends him to act on it.</t>
        </is>
      </c>
      <c r="AL41" s="19" t="inlineStr">
        <is>
          <t>From an unpublished writer to a published one, and from a woman expecting to marry him to the person who identifies the marriage he should make instead.</t>
        </is>
      </c>
      <c r="AM41" s="5" t="inlineStr">
        <is>
          <t>Kaynat relinquishes him, makes him realise he loves Sultana, and encourages him to bring her back.</t>
        </is>
      </c>
      <c r="AN41" s="5" t="inlineStr">
        <is>
          <t>No</t>
        </is>
      </c>
      <c r="AO41" s="5" t="inlineStr">
        <is>
          <t>Unresolved</t>
        </is>
      </c>
      <c r="AP41" s="5" t="n"/>
      <c r="AQ41" s="19" t="inlineStr">
        <is>
          <t>The second relationship in the same film and the one that resolves the first. Female agency is scored at eight because Kaynat performs the film's decisive act: she establishes the truth from Sultana directly, reaches her own judgement, and redirects the hero against her own interest.</t>
        </is>
      </c>
      <c r="AR41" s="19" t="inlineStr">
        <is>
          <t>The film gives Kaynat a profession, a public success and the moral intelligence to settle the plot, which is more than the respectable second heroine usually receives. The renunciation is still a renunciation, and the structure requires one woman to stand aside so the other can be rewarded.</t>
        </is>
      </c>
      <c r="AS41" s="5" t="inlineStr">
        <is>
          <t>SOURCE-001; SOURCE-046</t>
        </is>
      </c>
      <c r="AT41" s="5" t="inlineStr">
        <is>
          <t>Medium</t>
        </is>
      </c>
    </row>
    <row r="42" ht="109" customHeight="1">
      <c r="A42" s="15" t="inlineStr">
        <is>
          <t>PAIR-041</t>
        </is>
      </c>
      <c r="B42" s="18" t="inlineStr">
        <is>
          <t>FILM-052</t>
        </is>
      </c>
      <c r="C42" s="5" t="inlineStr">
        <is>
          <t>Naseeb Apna Apna</t>
        </is>
      </c>
      <c r="D42" s="17" t="n">
        <v>1986</v>
      </c>
      <c r="E42" s="5" t="inlineStr">
        <is>
          <t>Kishan Singh</t>
        </is>
      </c>
      <c r="F42" s="5" t="inlineStr">
        <is>
          <t>Radhika</t>
        </is>
      </c>
      <c r="G42" s="5" t="inlineStr">
        <is>
          <t>Chando</t>
        </is>
      </c>
      <c r="H42" s="5" t="inlineStr">
        <is>
          <t>Female lead</t>
        </is>
      </c>
      <c r="I42" s="5" t="inlineStr">
        <is>
          <t>Yes</t>
        </is>
      </c>
      <c r="J42" s="19" t="inlineStr">
        <is>
          <t>Unequal or coercive relationship</t>
        </is>
      </c>
      <c r="K42" s="5" t="inlineStr">
        <is>
          <t>Strangers married by their fathers' arrangement</t>
        </is>
      </c>
      <c r="L42" s="5" t="inlineStr">
        <is>
          <t>They do not meet before the wedding. Kishan's father Bhim and Chando's father Ramlal are close friends, and Bhim arranges the marriage without his son's consent to relieve his friend's difficulty in finding her a groom.</t>
        </is>
      </c>
      <c r="M42" s="5" t="inlineStr">
        <is>
          <t>Neither; both fathers arrange it and Kishan consents only out of fear</t>
        </is>
      </c>
      <c r="N42" s="19" t="inlineStr">
        <is>
          <t>None, before or after. He refuses her the marriage entirely, will not sleep in the same bed, and leaves the city to be rid of her.</t>
        </is>
      </c>
      <c r="O42" s="19" t="inlineStr">
        <is>
          <t>Sustained revulsion on his side against uncomprehending devotion on hers; the article is explicit that she does not realise he hates her.</t>
        </is>
      </c>
      <c r="P42" s="19" t="inlineStr">
        <is>
          <t>He finds her ugly and graceless, will not live with her as a husband, marries another woman, and abandons her at a railway station.</t>
        </is>
      </c>
      <c r="Q42" s="20" t="n">
        <v>8</v>
      </c>
      <c r="R42" s="19" t="inlineStr">
        <is>
          <t>This is sustained cruelty inside the marriage rather than any external obstacle: refusal of the marriage bed, concealment of her existence, bigamy, and abandonment at a station in a strange city. The article notes she continues serving her duties as a loyal wife throughout, which makes the friction entirely one-directional.</t>
        </is>
      </c>
      <c r="S42" s="20" t="n">
        <v>6</v>
      </c>
      <c r="T42" s="5" t="inlineStr">
        <is>
          <t>Family</t>
        </is>
      </c>
      <c r="U42" s="19" t="inlineStr">
        <is>
          <t>His father Bhim arranged the marriage without consent and later threatens him into taking Chando to Bombay, so the family that created the marriage also enforces it. There is no outside force opposing the couple; the family is the reason they are together at all.</t>
        </is>
      </c>
      <c r="V42" s="20" t="n">
        <v>1</v>
      </c>
      <c r="W42" s="19" t="inlineStr">
        <is>
          <t>The role is the flat negation of the archetype. Kishan's conduct towards his wife is contempt, concealment and abandonment; there is no courtship, no devotion and no sacrifice of any kind in this relationship.</t>
        </is>
      </c>
      <c r="X42" s="20" t="n">
        <v>9</v>
      </c>
      <c r="Y42" s="20" t="n">
        <v>2</v>
      </c>
      <c r="Z42" s="20" t="n">
        <v>2</v>
      </c>
      <c r="AA42" s="20" t="n">
        <v>5</v>
      </c>
      <c r="AB42" s="20" t="n">
        <v>5</v>
      </c>
      <c r="AC42" s="19" t="inlineStr">
        <is>
          <t>Interpretive reading; no located review assesses this pairing. The part asks Radhika to play unreciprocated devotion without self-pity, and the article's summary gives her the film's sympathy throughout; Kapoor is required to be unlikeable for most of the running time.</t>
        </is>
      </c>
      <c r="AD42" s="5" t="inlineStr">
        <is>
          <t>No</t>
        </is>
      </c>
      <c r="AE42" s="5" t="inlineStr">
        <is>
          <t>Yes</t>
        </is>
      </c>
      <c r="AF42" s="5" t="inlineStr">
        <is>
          <t>No</t>
        </is>
      </c>
      <c r="AG42" s="5" t="inlineStr">
        <is>
          <t>Yes</t>
        </is>
      </c>
      <c r="AH42" s="5" t="inlineStr">
        <is>
          <t>Yes</t>
        </is>
      </c>
      <c r="AI42" s="5" t="inlineStr">
        <is>
          <t>No</t>
        </is>
      </c>
      <c r="AJ42" s="5" t="inlineStr">
        <is>
          <t>No</t>
        </is>
      </c>
      <c r="AK42" s="19" t="inlineStr">
        <is>
          <t>Not documented; the article's plot breaks off before any reckoning, with the two wives becoming friends in his house.</t>
        </is>
      </c>
      <c r="AL42" s="19" t="inlineStr">
        <is>
          <t>From an unwanted bride to a maid in her own husband's second household, keeping his secret and teaching his second wife how to be a wife.</t>
        </is>
      </c>
      <c r="AM42" s="5" t="inlineStr">
        <is>
          <t>Not documented; the article ends with Chando installed as a servant and befriending Radha.</t>
        </is>
      </c>
      <c r="AN42" s="5" t="inlineStr">
        <is>
          <t>Yes</t>
        </is>
      </c>
      <c r="AO42" s="5" t="inlineStr">
        <is>
          <t>Unresolved</t>
        </is>
      </c>
      <c r="AP42" s="5" t="n"/>
      <c r="AQ42" s="19" t="inlineStr">
        <is>
          <t>With Ek Chadar Maili Si in the same year, this is the clearest evidence that by the mid-1980s Kapoor was being cast in roles that invert the lover-boy persona rather than extend it. Pair friction at eight against external opposition at six reverses the signature pattern of the 1970s films entirely: here the husband is the obstacle.</t>
        </is>
      </c>
      <c r="AR42" s="19" t="inlineStr">
        <is>
          <t>The film's premise is that Chando's dark skin and plainness explain and partly excuse her husband's revulsion, and it stages her eventual acceptability through a makeover. That framing is the film's own and is recorded here rather than endorsed: on the article's account she is wronged continuously and her loyalty is treated as a virtue rather than as a symptom of having no alternative.</t>
        </is>
      </c>
      <c r="AS42" s="5" t="inlineStr">
        <is>
          <t>SOURCE-001; SOURCE-055</t>
        </is>
      </c>
      <c r="AT42" s="5" t="inlineStr">
        <is>
          <t>Medium</t>
        </is>
      </c>
    </row>
    <row r="43" ht="79" customHeight="1">
      <c r="A43" s="15" t="inlineStr">
        <is>
          <t>PAIR-042</t>
        </is>
      </c>
      <c r="B43" s="18" t="inlineStr">
        <is>
          <t>FILM-052</t>
        </is>
      </c>
      <c r="C43" s="5" t="inlineStr">
        <is>
          <t>Naseeb Apna Apna</t>
        </is>
      </c>
      <c r="D43" s="17" t="n">
        <v>1986</v>
      </c>
      <c r="E43" s="5" t="inlineStr">
        <is>
          <t>Kishan Singh</t>
        </is>
      </c>
      <c r="F43" s="5" t="inlineStr">
        <is>
          <t>Farah Naaz</t>
        </is>
      </c>
      <c r="G43" s="5" t="inlineStr">
        <is>
          <t>Radha Singh</t>
        </is>
      </c>
      <c r="H43" s="5" t="inlineStr">
        <is>
          <t>Second female lead</t>
        </is>
      </c>
      <c r="I43" s="5" t="inlineStr">
        <is>
          <t>Partial</t>
        </is>
      </c>
      <c r="J43" s="19" t="inlineStr">
        <is>
          <t>Relationship damaged by mistrust</t>
        </is>
      </c>
      <c r="K43" s="5" t="inlineStr">
        <is>
          <t>Strangers; both are award-winners at the same ceremony</t>
        </is>
      </c>
      <c r="L43" s="5" t="inlineStr">
        <is>
          <t>Kishan meets Radha, an attractive woman from Bombay, when both are honoured at an awards ceremony for their work; after transferring to Bombay he ends up staying at her house.</t>
        </is>
      </c>
      <c r="M43" s="5" t="inlineStr">
        <is>
          <t>Mutual</t>
        </is>
      </c>
      <c r="N43" s="19" t="inlineStr">
        <is>
          <t>A genuine courtship, conducted entirely on the concealment of an existing marriage, and completed in a bigamous wedding.</t>
        </is>
      </c>
      <c r="O43" s="19" t="inlineStr">
        <is>
          <t>Affectionate and mutual on its own terms, and false in its foundation.</t>
        </is>
      </c>
      <c r="P43" s="19" t="inlineStr">
        <is>
          <t>He never tells her he is already married, and installs his first wife in their house as a servant.</t>
        </is>
      </c>
      <c r="Q43" s="20" t="n">
        <v>4</v>
      </c>
      <c r="R43" s="19" t="inlineStr">
        <is>
          <t>There is little open conflict between Kishan and Radha; the damage is the undisclosed marriage, which she does not learn of within the article's account. The friction is latent rather than expressed.</t>
        </is>
      </c>
      <c r="S43" s="20" t="n">
        <v>5</v>
      </c>
      <c r="T43" s="5" t="inlineStr">
        <is>
          <t>Family; Existing relationship</t>
        </is>
      </c>
      <c r="U43" s="19" t="inlineStr">
        <is>
          <t>His father's enforcement of the first marriage is what brings Chando to Bombay, and Chando's presence in the house is the standing threat to this one. The obstacle is the marriage he concealed rather than any objection to Radha.</t>
        </is>
      </c>
      <c r="V43" s="20" t="n">
        <v>5</v>
      </c>
      <c r="W43" s="19" t="inlineStr">
        <is>
          <t>With Radha the role does deploy courtship and charm, and the attachment is the one he chose for himself. It cannot score higher because the whole relationship rests on a bigamy he maintains deliberately.</t>
        </is>
      </c>
      <c r="X43" s="20" t="n">
        <v>9</v>
      </c>
      <c r="Y43" s="20" t="n">
        <v>4</v>
      </c>
      <c r="Z43" s="20" t="n">
        <v>6</v>
      </c>
      <c r="AA43" s="20" t="n">
        <v>5</v>
      </c>
      <c r="AB43" s="20" t="n">
        <v>6</v>
      </c>
      <c r="AC43" s="19" t="inlineStr">
        <is>
          <t>Interpretive reading; no located review assesses this pairing. The film uses Radha as the desirable alternative against which Chando is measured, so the pairing is written to be attractive rather than complex.</t>
        </is>
      </c>
      <c r="AD43" s="5" t="inlineStr">
        <is>
          <t>Yes</t>
        </is>
      </c>
      <c r="AE43" s="5" t="inlineStr">
        <is>
          <t>No</t>
        </is>
      </c>
      <c r="AF43" s="5" t="inlineStr">
        <is>
          <t>No</t>
        </is>
      </c>
      <c r="AG43" s="5" t="inlineStr">
        <is>
          <t>Yes</t>
        </is>
      </c>
      <c r="AH43" s="5" t="inlineStr">
        <is>
          <t>No</t>
        </is>
      </c>
      <c r="AI43" s="5" t="inlineStr">
        <is>
          <t>No</t>
        </is>
      </c>
      <c r="AJ43" s="5" t="inlineStr">
        <is>
          <t>Partial</t>
        </is>
      </c>
      <c r="AK43" s="19" t="inlineStr">
        <is>
          <t>None; the second marriage is the continuation of his evasion rather than a change in him.</t>
        </is>
      </c>
      <c r="AL43" s="19" t="inlineStr">
        <is>
          <t>Becomes close to the maid who is in fact her husband's first wife, and is taught by her how to be a traditional wife.</t>
        </is>
      </c>
      <c r="AM43" s="5" t="inlineStr">
        <is>
          <t>Not documented; the article's plot breaks off with the two women becoming close and Radha receiving a makeover.</t>
        </is>
      </c>
      <c r="AN43" s="5" t="inlineStr">
        <is>
          <t>Yes</t>
        </is>
      </c>
      <c r="AO43" s="5" t="inlineStr">
        <is>
          <t>Unresolved</t>
        </is>
      </c>
      <c r="AP43" s="5" t="n"/>
      <c r="AQ43" s="19" t="inlineStr">
        <is>
          <t>The second of two marriages in one film, and the one he chose. Recording both separately is what makes the film legible: the same man scores one on lover-boy with the wife imposed on him and five with the wife he selected, which is a useful demonstration that the archetype is a function of the role's construction rather than of the performer.</t>
        </is>
      </c>
      <c r="AR43" s="19" t="inlineStr">
        <is>
          <t>The film's sympathies are managed by contrast, and Radha's principal narrative function is to be what Chando is not. The most striking thing in the article's account is that the two women's friendship, not either marriage, becomes the relationship the plot is actually interested in.</t>
        </is>
      </c>
      <c r="AS43" s="5" t="inlineStr">
        <is>
          <t>SOURCE-001; SOURCE-055</t>
        </is>
      </c>
      <c r="AT43" s="5" t="inlineStr">
        <is>
          <t>Low</t>
        </is>
      </c>
    </row>
    <row r="44" ht="109" customHeight="1">
      <c r="A44" s="15" t="inlineStr">
        <is>
          <t>PAIR-043</t>
        </is>
      </c>
      <c r="B44" s="18" t="inlineStr">
        <is>
          <t>FILM-054</t>
        </is>
      </c>
      <c r="C44" s="5" t="inlineStr">
        <is>
          <t>Ek Chadar Maili Si</t>
        </is>
      </c>
      <c r="D44" s="17" t="n">
        <v>1986</v>
      </c>
      <c r="E44" s="5" t="inlineStr">
        <is>
          <t>Mangal</t>
        </is>
      </c>
      <c r="F44" s="5" t="inlineStr">
        <is>
          <t>Hema Malini</t>
        </is>
      </c>
      <c r="G44" s="5" t="inlineStr">
        <is>
          <t>Rano Singh</t>
        </is>
      </c>
      <c r="H44" s="5" t="inlineStr">
        <is>
          <t>Female lead</t>
        </is>
      </c>
      <c r="I44" s="5" t="inlineStr">
        <is>
          <t>Yes</t>
        </is>
      </c>
      <c r="J44" s="19" t="inlineStr">
        <is>
          <t>Unequal or coercive relationship</t>
        </is>
      </c>
      <c r="K44" s="5" t="inlineStr">
        <is>
          <t>Brother-in-law and sister-in-law; he is her protector against her husband</t>
        </is>
      </c>
      <c r="L44" s="5" t="inlineStr">
        <is>
          <t>They are already living in the same village household when the film opens, Rano married to his drunken brother Trilok and Mangal the only member of the family who can shield her from him.</t>
        </is>
      </c>
      <c r="M44" s="5" t="inlineStr">
        <is>
          <t>Neither; after Trilok's murder custom compels the marriage</t>
        </is>
      </c>
      <c r="N44" s="19" t="inlineStr">
        <is>
          <t>None. The relationship converts from protection to marriage by the operation of custom, with no courtship at any point and no consent sought from either.</t>
        </is>
      </c>
      <c r="O44" s="19" t="inlineStr">
        <is>
          <t>Protective trust replaced by frustration and violence; the article records that he abuses her in his frustration as her first husband had.</t>
        </is>
      </c>
      <c r="P44" s="19" t="inlineStr">
        <is>
          <t>A marriage neither chose, to a man ten years her junior who had been her defender and becomes another source of harm.</t>
        </is>
      </c>
      <c r="Q44" s="20" t="n">
        <v>8</v>
      </c>
      <c r="R44" s="19" t="inlineStr">
        <is>
          <t>The article is explicit that Mangal abuses Rano the same way Trilok did after marrying her. That is conflict and harm inside the couple, not opposition imposed on it, and it is the more devastating because he had been the one person protecting her.</t>
        </is>
      </c>
      <c r="S44" s="20" t="n">
        <v>9</v>
      </c>
      <c r="T44" s="5" t="inlineStr">
        <is>
          <t>Family; Community; Crime</t>
        </is>
      </c>
      <c r="U44" s="19" t="inlineStr">
        <is>
          <t>The custom that requires a widow to marry her dead husband's brother is what creates the marriage. Around it sit a mother-in-law who berates Rano constantly over her dowry, a blind father-in-law who can do nothing, the murder of Trilok, and the rape of the girl that precipitated it.</t>
        </is>
      </c>
      <c r="V44" s="20" t="n">
        <v>1</v>
      </c>
      <c r="W44" s="19" t="inlineStr">
        <is>
          <t>The role is the furthest Kapoor travels from the lover-boy archetype in the whole filmography. Mangal does not court, does not choose and does not protect once he becomes a husband; what the part requires is resentment and violence.</t>
        </is>
      </c>
      <c r="X44" s="20" t="n">
        <v>8</v>
      </c>
      <c r="Y44" s="20" t="n">
        <v>2</v>
      </c>
      <c r="Z44" s="20" t="n">
        <v>2</v>
      </c>
      <c r="AA44" s="20" t="n">
        <v>4</v>
      </c>
      <c r="AB44" s="20" t="n">
        <v>6</v>
      </c>
      <c r="AC44" s="19" t="inlineStr">
        <is>
          <t>Interpretive reading; no located review assesses this pairing. The age difference is written into the premise, with Hema Malini playing a woman ten years the elder, and the discomfort of the pairing is the point rather than a flaw; the register is literary rather than romantic.</t>
        </is>
      </c>
      <c r="AD44" s="5" t="inlineStr">
        <is>
          <t>No</t>
        </is>
      </c>
      <c r="AE44" s="5" t="inlineStr">
        <is>
          <t>Yes</t>
        </is>
      </c>
      <c r="AF44" s="5" t="inlineStr">
        <is>
          <t>No</t>
        </is>
      </c>
      <c r="AG44" s="5" t="inlineStr">
        <is>
          <t>No</t>
        </is>
      </c>
      <c r="AH44" s="5" t="inlineStr">
        <is>
          <t>No</t>
        </is>
      </c>
      <c r="AI44" s="5" t="inlineStr">
        <is>
          <t>No</t>
        </is>
      </c>
      <c r="AJ44" s="5" t="inlineStr">
        <is>
          <t>No</t>
        </is>
      </c>
      <c r="AK44" s="19" t="inlineStr">
        <is>
          <t>A reversal rather than a development: from Rano's only defender to a husband who treats her as his brother did.</t>
        </is>
      </c>
      <c r="AL44" s="19" t="inlineStr">
        <is>
          <t>From a feisty woman enduring one bad marriage to a widow forced into a second with the boy who used to shield her.</t>
        </is>
      </c>
      <c r="AM44" s="5" t="inlineStr">
        <is>
          <t>Not documented; the article's account ends with the marriage and his abuse of her.</t>
        </is>
      </c>
      <c r="AN44" s="5" t="inlineStr">
        <is>
          <t>Yes</t>
        </is>
      </c>
      <c r="AO44" s="5" t="inlineStr">
        <is>
          <t>Unresolved</t>
        </is>
      </c>
      <c r="AP44" s="5" t="inlineStr">
        <is>
          <t>None; the film is not constructed around romantic songs.</t>
        </is>
      </c>
      <c r="AQ44" s="19" t="inlineStr">
        <is>
          <t>The darkest pairing in the filmography and the most complete inversion of the persona: friction at eight, lover-boy at one, and a woman worse off at the end of the relationship than at its start. Read alongside Prem Rog four years earlier, in which Kapoor plays a man who defies a village to marry a widow honourably, it shows the two opposite things the same actor and the same social material could be made to do.</t>
        </is>
      </c>
      <c r="AR44" s="19" t="inlineStr">
        <is>
          <t>The film is adapted from a Sahitya Akademi-winning novella and does not pretend the karewa custom is benign: the marriage is presented as an imposition that damages both parties and destroys the one safe relationship Rano had. Its unsparing quality is its value. What the article's summary leaves unclear is whether the film offers Rano any resolution at all, and on the evidence available it does not.</t>
        </is>
      </c>
      <c r="AS44" s="5" t="inlineStr">
        <is>
          <t>SOURCE-001; SOURCE-052</t>
        </is>
      </c>
      <c r="AT44" s="5" t="inlineStr">
        <is>
          <t>Medium</t>
        </is>
      </c>
    </row>
    <row r="45" ht="79" customHeight="1">
      <c r="A45" s="15" t="inlineStr">
        <is>
          <t>PAIR-044</t>
        </is>
      </c>
      <c r="B45" s="18" t="inlineStr">
        <is>
          <t>FILM-054</t>
        </is>
      </c>
      <c r="C45" s="5" t="inlineStr">
        <is>
          <t>Ek Chadar Maili Si</t>
        </is>
      </c>
      <c r="D45" s="17" t="n">
        <v>1986</v>
      </c>
      <c r="E45" s="5" t="inlineStr">
        <is>
          <t>Mangal</t>
        </is>
      </c>
      <c r="F45" s="5" t="inlineStr">
        <is>
          <t>Poonam Dhillon</t>
        </is>
      </c>
      <c r="G45" s="5" t="inlineStr">
        <is>
          <t>Raji</t>
        </is>
      </c>
      <c r="H45" s="5" t="inlineStr">
        <is>
          <t>Supporting; named as his love interest</t>
        </is>
      </c>
      <c r="I45" s="5" t="inlineStr">
        <is>
          <t>No</t>
        </is>
      </c>
      <c r="J45" s="19" t="inlineStr">
        <is>
          <t>Romance subordinate to another genre</t>
        </is>
      </c>
      <c r="K45" s="5" t="inlineStr">
        <is>
          <t>Not documented</t>
        </is>
      </c>
      <c r="L45" s="5" t="inlineStr">
        <is>
          <t>Not documented; the article records only that Raji, a gypsy girl, plays Mangal's love interest.</t>
        </is>
      </c>
      <c r="M45" s="5" t="inlineStr">
        <is>
          <t>Not documented</t>
        </is>
      </c>
      <c r="N45" s="19" t="inlineStr">
        <is>
          <t>Not documented. The article gives the relationship a single clause and develops none of it.</t>
        </is>
      </c>
      <c r="O45" s="19" t="inlineStr">
        <is>
          <t>Not documented.</t>
        </is>
      </c>
      <c r="P45" s="19" t="inlineStr">
        <is>
          <t>Not documented; the pressure on it is the forced marriage to his brother's widow.</t>
        </is>
      </c>
      <c r="Q45" s="20" t="n">
        <v>2</v>
      </c>
      <c r="R45" s="19" t="inlineStr">
        <is>
          <t>Nothing between them is recorded. Scored low and provisionally: the obstacle to this attachment is the karewa marriage imposed on Mangal, not any conflict with Raji.</t>
        </is>
      </c>
      <c r="S45" s="20" t="n">
        <v>8</v>
      </c>
      <c r="T45" s="5" t="inlineStr">
        <is>
          <t>Family; Community</t>
        </is>
      </c>
      <c r="U45" s="19" t="inlineStr">
        <is>
          <t>The custom compelling Mangal to marry Rano forecloses any other attachment, and Raji's status as a gypsy places her outside the village household entirely. The opposition is the same social machinery that produces the main marriage.</t>
        </is>
      </c>
      <c r="V45" s="20" t="n">
        <v>3</v>
      </c>
      <c r="W45" s="19" t="inlineStr">
        <is>
          <t>The attachment is named rather than dramatised, and the article gives Mangal no courtship, declaration or sacrifice for Raji. It registers chiefly as the thing the forced marriage costs him.</t>
        </is>
      </c>
      <c r="X45" s="20" t="n">
        <v>8</v>
      </c>
      <c r="Y45" s="20" t="n">
        <v>5</v>
      </c>
      <c r="Z45" s="20" t="n">
        <v>5</v>
      </c>
      <c r="AA45" s="20" t="n">
        <v>4</v>
      </c>
      <c r="AB45" s="20" t="n">
        <v>5</v>
      </c>
      <c r="AC45" s="19" t="inlineStr">
        <is>
          <t>Interpretive reading; no located review assesses this pairing and the article documents almost nothing of it. There is not enough recorded interaction to judge.</t>
        </is>
      </c>
      <c r="AD45" s="5" t="inlineStr">
        <is>
          <t>Unclear</t>
        </is>
      </c>
      <c r="AE45" s="5" t="inlineStr">
        <is>
          <t>Unclear</t>
        </is>
      </c>
      <c r="AF45" s="5" t="inlineStr">
        <is>
          <t>Unclear</t>
        </is>
      </c>
      <c r="AG45" s="5" t="inlineStr">
        <is>
          <t>No</t>
        </is>
      </c>
      <c r="AH45" s="5" t="inlineStr">
        <is>
          <t>Unclear</t>
        </is>
      </c>
      <c r="AI45" s="5" t="inlineStr">
        <is>
          <t>Unclear</t>
        </is>
      </c>
      <c r="AJ45" s="5" t="inlineStr">
        <is>
          <t>Unclear</t>
        </is>
      </c>
      <c r="AK45" s="19" t="inlineStr">
        <is>
          <t>Not documented.</t>
        </is>
      </c>
      <c r="AL45" s="19" t="inlineStr">
        <is>
          <t>Not documented.</t>
        </is>
      </c>
      <c r="AM45" s="5" t="inlineStr">
        <is>
          <t>Not documented.</t>
        </is>
      </c>
      <c r="AN45" s="5" t="inlineStr">
        <is>
          <t>No</t>
        </is>
      </c>
      <c r="AO45" s="5" t="inlineStr">
        <is>
          <t>Unresolved</t>
        </is>
      </c>
      <c r="AP45" s="5" t="n"/>
      <c r="AQ45" s="19" t="inlineStr">
        <is>
          <t>Recorded because the article names Raji explicitly as Mangal's love interest, which makes her the woman he might have chosen against the widow he is given. That contrast is analytically useful even though the relationship itself is undocumented, and every score here is provisional.</t>
        </is>
      </c>
      <c r="AR45" s="19" t="inlineStr">
        <is>
          <t>Too little survives to read the film's framing beyond the structural point: the man's own attachment is a single clause while the marriage forced on him is the subject of the film.</t>
        </is>
      </c>
      <c r="AS45" s="5" t="inlineStr">
        <is>
          <t>SOURCE-001; SOURCE-052</t>
        </is>
      </c>
      <c r="AT45" s="5" t="inlineStr">
        <is>
          <t>Low</t>
        </is>
      </c>
    </row>
    <row r="46" ht="94" customHeight="1">
      <c r="A46" s="15" t="inlineStr">
        <is>
          <t>PAIR-045</t>
        </is>
      </c>
      <c r="B46" s="18" t="inlineStr">
        <is>
          <t>FILM-055</t>
        </is>
      </c>
      <c r="C46" s="5" t="inlineStr">
        <is>
          <t>Dosti Dushmani</t>
        </is>
      </c>
      <c r="D46" s="17" t="n">
        <v>1986</v>
      </c>
      <c r="E46" s="5" t="inlineStr">
        <is>
          <t>Prakash</t>
        </is>
      </c>
      <c r="F46" s="5" t="inlineStr">
        <is>
          <t>Kimi Katkar</t>
        </is>
      </c>
      <c r="G46" s="5" t="inlineStr">
        <is>
          <t>Shanti</t>
        </is>
      </c>
      <c r="H46" s="5" t="inlineStr">
        <is>
          <t>Supporting female lead</t>
        </is>
      </c>
      <c r="I46" s="5" t="inlineStr">
        <is>
          <t>No</t>
        </is>
      </c>
      <c r="J46" s="19" t="inlineStr">
        <is>
          <t>Romance subordinate to another genre</t>
        </is>
      </c>
      <c r="K46" s="5" t="inlineStr">
        <is>
          <t>Strangers; she is a pickpocket and one of Daaga's victims</t>
        </is>
      </c>
      <c r="L46" s="5" t="inlineStr">
        <is>
          <t>Not documented in detail; the article records that Prakash falls for a pickpocket, Shanti, who is a victim of Daaga.</t>
        </is>
      </c>
      <c r="M46" s="5" t="inlineStr">
        <is>
          <t>Prakash</t>
        </is>
      </c>
      <c r="N46" s="19" t="inlineStr">
        <is>
          <t>Undramatised. It is the third and lightest of the film's three parallel romances, running beneath the friendship plot that organises everything.</t>
        </is>
      </c>
      <c r="O46" s="19" t="inlineStr">
        <is>
          <t>Not documented beyond the fact of his attachment.</t>
        </is>
      </c>
      <c r="P46" s="19" t="inlineStr">
        <is>
          <t>None between them; she is one of the gangster's victims, which ties her to the film's central antagonism.</t>
        </is>
      </c>
      <c r="Q46" s="20" t="n">
        <v>2</v>
      </c>
      <c r="R46" s="19" t="inlineStr">
        <is>
          <t>No conflict between them is recorded. Their difference in standing, a criminal lawyer and a pickpocket, is not presented as a source of friction in the article's account.</t>
        </is>
      </c>
      <c r="S46" s="20" t="n">
        <v>6</v>
      </c>
      <c r="T46" s="5" t="inlineStr">
        <is>
          <t>Crime; Villain</t>
        </is>
      </c>
      <c r="U46" s="19" t="inlineStr">
        <is>
          <t>Daaga is the source of the harm done to Shanti and the threat to all three friends throughout, and the film's resolution is his defeat rather than anything specific to this couple.</t>
        </is>
      </c>
      <c r="V46" s="20" t="n">
        <v>3</v>
      </c>
      <c r="W46" s="19" t="inlineStr">
        <is>
          <t>Third-billed in a film about three male friends, Prakash is a lawyer whose defining acts are professional and fraternal: defending Sandeep and fabricating a wife for him to secure the acquittal. The romance is a strand the plot does not pursue.</t>
        </is>
      </c>
      <c r="X46" s="20" t="n">
        <v>4</v>
      </c>
      <c r="Y46" s="20" t="n">
        <v>6</v>
      </c>
      <c r="Z46" s="20" t="n">
        <v>5</v>
      </c>
      <c r="AA46" s="20" t="n">
        <v>4</v>
      </c>
      <c r="AB46" s="20" t="n">
        <v>5</v>
      </c>
      <c r="AC46" s="19" t="inlineStr">
        <is>
          <t>Interpretive reading; no located review assesses this pairing. The article's plot is written in unusually compressed prose and states the relationship without showing it, leaving little to assess.</t>
        </is>
      </c>
      <c r="AD46" s="5" t="inlineStr">
        <is>
          <t>Unclear</t>
        </is>
      </c>
      <c r="AE46" s="5" t="inlineStr">
        <is>
          <t>No</t>
        </is>
      </c>
      <c r="AF46" s="5" t="inlineStr">
        <is>
          <t>No</t>
        </is>
      </c>
      <c r="AG46" s="5" t="inlineStr">
        <is>
          <t>No</t>
        </is>
      </c>
      <c r="AH46" s="5" t="inlineStr">
        <is>
          <t>Unclear</t>
        </is>
      </c>
      <c r="AI46" s="5" t="inlineStr">
        <is>
          <t>Unclear</t>
        </is>
      </c>
      <c r="AJ46" s="5" t="inlineStr">
        <is>
          <t>Partial</t>
        </is>
      </c>
      <c r="AK46" s="19" t="inlineStr">
        <is>
          <t>Not documented.</t>
        </is>
      </c>
      <c r="AL46" s="19" t="inlineStr">
        <is>
          <t>Not documented.</t>
        </is>
      </c>
      <c r="AM46" s="5" t="inlineStr">
        <is>
          <t>Resolved with the friends' reunion and Daaga's defeat.</t>
        </is>
      </c>
      <c r="AN46" s="5" t="inlineStr">
        <is>
          <t>Unclear</t>
        </is>
      </c>
      <c r="AO46" s="5" t="inlineStr">
        <is>
          <t>Happy</t>
        </is>
      </c>
      <c r="AP46" s="5" t="n"/>
      <c r="AQ46" s="19" t="inlineStr">
        <is>
          <t>A minor romance in a friendship film, recorded because the article names it directly. Its interest is that Kapoor's character is the one given a woman outside respectable society, which the plot then makes nothing of.</t>
        </is>
      </c>
      <c r="AR46" s="19" t="inlineStr">
        <is>
          <t>Shanti is identified by her offence and by her victimhood and is given nothing else; the film's attention belongs to the three men and the injury done to Ranjit's wife.</t>
        </is>
      </c>
      <c r="AS46" s="5" t="inlineStr">
        <is>
          <t>SOURCE-001; SOURCE-053</t>
        </is>
      </c>
      <c r="AT46" s="5" t="inlineStr">
        <is>
          <t>Low</t>
        </is>
      </c>
    </row>
    <row r="47" ht="124" customHeight="1">
      <c r="A47" s="15" t="inlineStr">
        <is>
          <t>PAIR-046</t>
        </is>
      </c>
      <c r="B47" s="18" t="inlineStr">
        <is>
          <t>FILM-056</t>
        </is>
      </c>
      <c r="C47" s="5" t="inlineStr">
        <is>
          <t>Nagina</t>
        </is>
      </c>
      <c r="D47" s="17" t="n">
        <v>1986</v>
      </c>
      <c r="E47" s="5" t="inlineStr">
        <is>
          <t>Rajiv</t>
        </is>
      </c>
      <c r="F47" s="5" t="inlineStr">
        <is>
          <t>Sridevi</t>
        </is>
      </c>
      <c r="G47" s="5" t="inlineStr">
        <is>
          <t>Rajni</t>
        </is>
      </c>
      <c r="H47" s="5" t="inlineStr">
        <is>
          <t>Female lead and title role</t>
        </is>
      </c>
      <c r="I47" s="5" t="inlineStr">
        <is>
          <t>Yes</t>
        </is>
      </c>
      <c r="J47" s="19" t="inlineStr">
        <is>
          <t>United couple versus external world</t>
        </is>
      </c>
      <c r="K47" s="5" t="inlineStr">
        <is>
          <t>Strangers; she has sought him out to kill him</t>
        </is>
      </c>
      <c r="L47" s="5" t="inlineStr">
        <is>
          <t>Rajiv returns from studying abroad and meets Rajni, an orphan without family or connections, and falls in love with her; she is an ichchhadhari naagin who came for him because the snake killed to revive him as a child was her husband.</t>
        </is>
      </c>
      <c r="M47" s="5" t="inlineStr">
        <is>
          <t>Rajni, who arranged the meeting for a purpose Rajiv never learns of</t>
        </is>
      </c>
      <c r="N47" s="19" t="inlineStr">
        <is>
          <t>A rapid courtship against his mother's preference, followed by a marriage the couple are shown enjoying; the film spends its length not on winning her but on keeping them both alive.</t>
        </is>
      </c>
      <c r="O47" s="19" t="inlineStr">
        <is>
          <t>Genuinely affectionate and, on her side, in unresolved contradiction with the revenge she arrived to carry out.</t>
        </is>
      </c>
      <c r="P47" s="19" t="inlineStr">
        <is>
          <t>She married him intending to kill him, and abandons that purpose without ever telling him.</t>
        </is>
      </c>
      <c r="Q47" s="20" t="n">
        <v>3</v>
      </c>
      <c r="R47" s="19" t="inlineStr">
        <is>
          <t>There is no quarrel between them and Rajiv is never aware of any threat. The friction is a concealed lethal intent she chooses not to act on, which is real but entirely one-sided and unspoken.</t>
        </is>
      </c>
      <c r="S47" s="20" t="n">
        <v>8</v>
      </c>
      <c r="T47" s="5" t="inlineStr">
        <is>
          <t>Family; Villain; Class</t>
        </is>
      </c>
      <c r="U47" s="19" t="inlineStr">
        <is>
          <t>Thakur Ajay Singh has managed the estate for years expecting his daughter to marry Rajiv, and sends men to kill Rajni and later attacks Rajiv himself. Bhairo Nath, the snake-charming tantric, identifies her and sends a serpent to kill Rajiv in hospital. Rajiv's mother initially refuses her blessing because Rajni is an orphan without connections.</t>
        </is>
      </c>
      <c r="V47" s="20" t="n">
        <v>5</v>
      </c>
      <c r="W47" s="19" t="inlineStr">
        <is>
          <t>Rajiv marries against his mother's wishes and the Thakur's plans, which is genuine romantic defiance, but for most of the film he is the protected party rather than the agent: he is unconscious, attacked, or unaware while his wife fights for him. The role has the archetype's position without its initiative.</t>
        </is>
      </c>
      <c r="X47" s="20" t="n">
        <v>8</v>
      </c>
      <c r="Y47" s="20" t="n">
        <v>7</v>
      </c>
      <c r="Z47" s="20" t="n">
        <v>7</v>
      </c>
      <c r="AA47" s="20" t="n">
        <v>9</v>
      </c>
      <c r="AB47" s="20" t="n">
        <v>8</v>
      </c>
      <c r="AC47" s="19" t="inlineStr">
        <is>
          <t>Interpretive reading; no located review assesses this pairing. The film is remembered for Sridevi rather than for the couple, and the pairing works because Kapoor plays the ordinary man convincingly enough to make her transformation the spectacle; his ordinariness is the role's function.</t>
        </is>
      </c>
      <c r="AD47" s="5" t="inlineStr">
        <is>
          <t>Yes</t>
        </is>
      </c>
      <c r="AE47" s="5" t="inlineStr">
        <is>
          <t>No</t>
        </is>
      </c>
      <c r="AF47" s="5" t="inlineStr">
        <is>
          <t>No</t>
        </is>
      </c>
      <c r="AG47" s="5" t="inlineStr">
        <is>
          <t>Yes</t>
        </is>
      </c>
      <c r="AH47" s="5" t="inlineStr">
        <is>
          <t>No</t>
        </is>
      </c>
      <c r="AI47" s="5" t="inlineStr">
        <is>
          <t>Yes</t>
        </is>
      </c>
      <c r="AJ47" s="5" t="inlineStr">
        <is>
          <t>Partial</t>
        </is>
      </c>
      <c r="AK47" s="19" t="inlineStr">
        <is>
          <t>Very little, and deliberately so; Rajiv ends the film as he began it, and never learns what his wife is or what she gave up for him.</t>
        </is>
      </c>
      <c r="AL47" s="19" t="inlineStr">
        <is>
          <t>From a widow who came to avenge her husband to one who kills her own ally to save the man she was sent to destroy.</t>
        </is>
      </c>
      <c r="AM47" s="5" t="inlineStr">
        <is>
          <t>Rajni fights off the serpents sent to kill Rajiv and destroys Bhairo Nath, choosing the marriage over the vengeance she came for.</t>
        </is>
      </c>
      <c r="AN47" s="5" t="inlineStr">
        <is>
          <t>Yes</t>
        </is>
      </c>
      <c r="AO47" s="5" t="inlineStr">
        <is>
          <t>Happy</t>
        </is>
      </c>
      <c r="AP47" s="5" t="inlineStr">
        <is>
          <t>'Main Teri Dushman', 'Balma', 'Tune O Rangeele'</t>
        </is>
      </c>
      <c r="AQ47" s="19" t="inlineStr">
        <is>
          <t>Female agency at nine is the highest score in the batch and one of the highest in the filmography, because every consequential act in the relationship is Rajni's: the meeting, the marriage, the concealment, the defence and the renunciation. It is a useful corrective to the assumption that the Kapoor romantic hero is always the mover; here the heroine has supernatural power and he has none.</t>
        </is>
      </c>
      <c r="AR47" s="19" t="inlineStr">
        <is>
          <t>The film's own framing makes the wife's power the source of both the danger and the salvation, and it resolves by having her give up a legitimate claim of vengeance for a husband who does not know he was ever at risk. That she is never permitted to tell him, and that her sacrifice is invisible to its beneficiary, is the most interesting thing about the pairing and the thing the film is least interested in examining.</t>
        </is>
      </c>
      <c r="AS47" s="5" t="inlineStr">
        <is>
          <t>SOURCE-001; SOURCE-054</t>
        </is>
      </c>
      <c r="AT47" s="5" t="inlineStr">
        <is>
          <t>Medium</t>
        </is>
      </c>
    </row>
    <row r="48" ht="109" customHeight="1">
      <c r="A48" s="15" t="inlineStr">
        <is>
          <t>PAIR-047</t>
        </is>
      </c>
      <c r="B48" s="18" t="inlineStr">
        <is>
          <t>FILM-064</t>
        </is>
      </c>
      <c r="C48" s="5" t="inlineStr">
        <is>
          <t>Ghar Ghar Ki Kahani</t>
        </is>
      </c>
      <c r="D48" s="17" t="n">
        <v>1988</v>
      </c>
      <c r="E48" s="5" t="inlineStr">
        <is>
          <t>Ram</t>
        </is>
      </c>
      <c r="F48" s="5" t="inlineStr">
        <is>
          <t>Jaya Prada</t>
        </is>
      </c>
      <c r="G48" s="5" t="inlineStr">
        <is>
          <t>Seeta, called Sita</t>
        </is>
      </c>
      <c r="H48" s="5" t="inlineStr">
        <is>
          <t>Female lead</t>
        </is>
      </c>
      <c r="I48" s="5" t="inlineStr">
        <is>
          <t>Yes</t>
        </is>
      </c>
      <c r="J48" s="19" t="inlineStr">
        <is>
          <t>Relationship damaged by mistrust</t>
        </is>
      </c>
      <c r="K48" s="5" t="inlineStr">
        <is>
          <t>Married; the marriage is established when the film opens</t>
        </is>
      </c>
      <c r="L48" s="5" t="inlineStr">
        <is>
          <t>They do not meet in the film. Ram and Sita are already married and living in the Dhanraj joint household when the story begins.</t>
        </is>
      </c>
      <c r="M48" s="5" t="inlineStr">
        <is>
          <t>Not applicable</t>
        </is>
      </c>
      <c r="N48" s="19" t="inlineStr">
        <is>
          <t>None shown. The film is about the destruction of an existing marriage rather than the making of one.</t>
        </is>
      </c>
      <c r="O48" s="19" t="inlineStr">
        <is>
          <t>A working marriage poisoned from outside and then from within, with her closeness to his younger brother read by him as proof of an affair.</t>
        </is>
      </c>
      <c r="P48" s="19" t="inlineStr">
        <is>
          <t>He believes she is sleeping with his brother Amar, and goes on believing it after Amar marries someone else and after she becomes pregnant with his own child.</t>
        </is>
      </c>
      <c r="Q48" s="20" t="n">
        <v>8</v>
      </c>
      <c r="R48" s="19" t="inlineStr">
        <is>
          <t>The damage is entirely internal to the couple and entirely his: he spies on his wife, sustains the suspicion against every piece of contrary evidence, assumes her pregnancy is his brother's, and courts another woman. Sita gives him no cause at any point, which makes this friction rather than opposition.</t>
        </is>
      </c>
      <c r="S48" s="20" t="n">
        <v>6</v>
      </c>
      <c r="T48" s="5" t="inlineStr">
        <is>
          <t>Family</t>
        </is>
      </c>
      <c r="U48" s="19" t="inlineStr">
        <is>
          <t>His sister Uma plants the suggestion deliberately in order to set him against Sita, and the household is run by a mother who is violent towards her daughters-in-law. The secrecy Amar and Sita maintain, which Ram misreads, exists only because that mother would make trouble about Amar's own romance.</t>
        </is>
      </c>
      <c r="V48" s="20" t="n">
        <v>2</v>
      </c>
      <c r="W48" s="19" t="inlineStr">
        <is>
          <t>In this relationship Kapoor plays a jealous husband rather than a lover: there is no courtship, no devotion and no sacrifice, and his romantic energy is redirected to another woman while his wife carries his child. The role is a deliberate inversion of the persona.</t>
        </is>
      </c>
      <c r="X48" s="20" t="n">
        <v>9</v>
      </c>
      <c r="Y48" s="20" t="n">
        <v>3</v>
      </c>
      <c r="Z48" s="20" t="n">
        <v>3</v>
      </c>
      <c r="AA48" s="20" t="n">
        <v>4</v>
      </c>
      <c r="AB48" s="20" t="n">
        <v>6</v>
      </c>
      <c r="AC48" s="19" t="inlineStr">
        <is>
          <t>Interpretive reading; no located review assesses this pairing. The part requires Kapoor to be steadily unsympathetic against a wife the film keeps entirely blameless, and the article's summary gives Jaya Prada's Sita the moral position throughout.</t>
        </is>
      </c>
      <c r="AD48" s="5" t="inlineStr">
        <is>
          <t>No</t>
        </is>
      </c>
      <c r="AE48" s="5" t="inlineStr">
        <is>
          <t>Yes</t>
        </is>
      </c>
      <c r="AF48" s="5" t="inlineStr">
        <is>
          <t>Yes</t>
        </is>
      </c>
      <c r="AG48" s="5" t="inlineStr">
        <is>
          <t>Yes</t>
        </is>
      </c>
      <c r="AH48" s="5" t="inlineStr">
        <is>
          <t>Yes</t>
        </is>
      </c>
      <c r="AI48" s="5" t="inlineStr">
        <is>
          <t>No</t>
        </is>
      </c>
      <c r="AJ48" s="5" t="inlineStr">
        <is>
          <t>No</t>
        </is>
      </c>
      <c r="AK48" s="19" t="inlineStr">
        <is>
          <t>A deterioration rather than an arc: from husband to spy, to a suicidal drunk, to a man proposing marriage to someone else while still married.</t>
        </is>
      </c>
      <c r="AL48" s="19" t="inlineStr">
        <is>
          <t>From a wife close to her brother-in-law to one pregnant, suspected and told by her husband's new attachment that he is cheating on her.</t>
        </is>
      </c>
      <c r="AM48" s="5" t="inlineStr">
        <is>
          <t>Not documented; the article's summary breaks off with Deepa telling Sita that Ram is cheating on her.</t>
        </is>
      </c>
      <c r="AN48" s="5" t="inlineStr">
        <is>
          <t>Yes</t>
        </is>
      </c>
      <c r="AO48" s="5" t="inlineStr">
        <is>
          <t>Unresolved</t>
        </is>
      </c>
      <c r="AP48" s="5" t="n"/>
      <c r="AQ48" s="19" t="inlineStr">
        <is>
          <t>One of the clearest cases in the filmography of the persona turned inside out: pair friction at eight against external opposition at six, with the Kapoor character as the sole author of the harm. Read beside Damini four years later, where he again plays a husband who fails his wife at the decisive moment, it marks the beginning of a recurring late-career role type.</t>
        </is>
      </c>
      <c r="AR48" s="19" t="inlineStr">
        <is>
          <t>The film is on Sita's side and never entertains the possibility that the suspicion is warranted, which is to its credit. Its resolution is another matter: the household is freed from the mother-in-law's cruelty by having the father-in-law beat her while the family applauds, so one domestic violence is cured by another and the film treats that as a happy turn.</t>
        </is>
      </c>
      <c r="AS48" s="5" t="inlineStr">
        <is>
          <t>SOURCE-001; SOURCE-061</t>
        </is>
      </c>
      <c r="AT48" s="5" t="inlineStr">
        <is>
          <t>Medium</t>
        </is>
      </c>
    </row>
    <row r="49" ht="109" customHeight="1">
      <c r="A49" s="15" t="inlineStr">
        <is>
          <t>PAIR-048</t>
        </is>
      </c>
      <c r="B49" s="18" t="inlineStr">
        <is>
          <t>FILM-064</t>
        </is>
      </c>
      <c r="C49" s="5" t="inlineStr">
        <is>
          <t>Ghar Ghar Ki Kahani</t>
        </is>
      </c>
      <c r="D49" s="17" t="n">
        <v>1988</v>
      </c>
      <c r="E49" s="5" t="inlineStr">
        <is>
          <t>Ram</t>
        </is>
      </c>
      <c r="F49" s="5" t="inlineStr">
        <is>
          <t>Anita Raj</t>
        </is>
      </c>
      <c r="G49" s="5" t="inlineStr">
        <is>
          <t>Deepa</t>
        </is>
      </c>
      <c r="H49" s="5" t="inlineStr">
        <is>
          <t>Second female lead</t>
        </is>
      </c>
      <c r="I49" s="5" t="inlineStr">
        <is>
          <t>No</t>
        </is>
      </c>
      <c r="J49" s="19" t="inlineStr">
        <is>
          <t>Relationship manipulated by outsiders</t>
        </is>
      </c>
      <c r="K49" s="5" t="inlineStr">
        <is>
          <t>Strangers; she is the doctor who rescues him</t>
        </is>
      </c>
      <c r="L49" s="5" t="inlineStr">
        <is>
          <t>Ram gets drunk at a hotel and is rescued by Deepa, a doctor, who realises he is suicidal and decides to help him.</t>
        </is>
      </c>
      <c r="M49" s="5" t="inlineStr">
        <is>
          <t>Ram, who begins to like her while she is treating him</t>
        </is>
      </c>
      <c r="N49" s="19" t="inlineStr">
        <is>
          <t>Clinical before it is romantic: she withholds any rebuff deliberately until he is well enough to hear one, so the courtship is conducted inside a duty of care.</t>
        </is>
      </c>
      <c r="O49" s="19" t="inlineStr">
        <is>
          <t>Gratitude hardening into attachment on his side; professional judgement, then genuine sympathy, on hers.</t>
        </is>
      </c>
      <c r="P49" s="19" t="inlineStr">
        <is>
          <t>He is married, his wife is pregnant with his child, and he has told Deepa a version of events in which he is the injured party.</t>
        </is>
      </c>
      <c r="Q49" s="20" t="n">
        <v>4</v>
      </c>
      <c r="R49" s="19" t="inlineStr">
        <is>
          <t>There is no quarrel between them; the corrosive element is the marriage he is concealing the truth about. Deepa's own decisions, delaying the rebuff and asking for time before answering the proposal, are careful rather than conflictual.</t>
        </is>
      </c>
      <c r="S49" s="20" t="n">
        <v>5</v>
      </c>
      <c r="T49" s="5" t="inlineStr">
        <is>
          <t>Existing relationship; Family</t>
        </is>
      </c>
      <c r="U49" s="19" t="inlineStr">
        <is>
          <t>The obstacle is Ram's marriage to Sita, and behind it Uma's insinuation, which is the reason he believes himself free to propose at all.</t>
        </is>
      </c>
      <c r="V49" s="20" t="n">
        <v>4</v>
      </c>
      <c r="W49" s="19" t="inlineStr">
        <is>
          <t>There is courtship here, and it is the one place in the film where Kapoor's character is warm, but it is a married man proposing on the strength of a suspicion he has not checked. The romantic register is real and its foundation is false.</t>
        </is>
      </c>
      <c r="X49" s="20" t="n">
        <v>9</v>
      </c>
      <c r="Y49" s="20" t="n">
        <v>4</v>
      </c>
      <c r="Z49" s="20" t="n">
        <v>5</v>
      </c>
      <c r="AA49" s="20" t="n">
        <v>7</v>
      </c>
      <c r="AB49" s="20" t="n">
        <v>6</v>
      </c>
      <c r="AC49" s="19" t="inlineStr">
        <is>
          <t>Interpretive reading; no located review assesses this pairing. The role gives Anita Raj the film's one genuinely deliberate character, a woman managing a patient's feelings rather than being swept into them, and the article's account gives her the decisive act.</t>
        </is>
      </c>
      <c r="AD49" s="5" t="inlineStr">
        <is>
          <t>Partial</t>
        </is>
      </c>
      <c r="AE49" s="5" t="inlineStr">
        <is>
          <t>No</t>
        </is>
      </c>
      <c r="AF49" s="5" t="inlineStr">
        <is>
          <t>No</t>
        </is>
      </c>
      <c r="AG49" s="5" t="inlineStr">
        <is>
          <t>Yes</t>
        </is>
      </c>
      <c r="AH49" s="5" t="inlineStr">
        <is>
          <t>No</t>
        </is>
      </c>
      <c r="AI49" s="5" t="inlineStr">
        <is>
          <t>No</t>
        </is>
      </c>
      <c r="AJ49" s="5" t="inlineStr">
        <is>
          <t>Partial</t>
        </is>
      </c>
      <c r="AK49" s="19" t="inlineStr">
        <is>
          <t>None; the proposal is the continuation of his error rather than a correction of it.</t>
        </is>
      </c>
      <c r="AL49" s="19" t="inlineStr">
        <is>
          <t>From the doctor who stopped him killing himself to the woman who goes to his wife and tells her the truth about him.</t>
        </is>
      </c>
      <c r="AM49" s="5" t="inlineStr">
        <is>
          <t>She asks for time to consider his proposal, then visits Sita and tells her that her husband is cheating on her.</t>
        </is>
      </c>
      <c r="AN49" s="5" t="inlineStr">
        <is>
          <t>No</t>
        </is>
      </c>
      <c r="AO49" s="5" t="inlineStr">
        <is>
          <t>Unresolved</t>
        </is>
      </c>
      <c r="AP49" s="5" t="n"/>
      <c r="AQ49" s="19" t="inlineStr">
        <is>
          <t>The second relationship in one film and the one that begins to unwind the first: Deepa is the only character who acts on the information rather than hoarding it. Female agency at seven is unusually high for a second heroine of the period, and it is earned by her going to the wife rather than accepting the husband.</t>
        </is>
      </c>
      <c r="AR49" s="19" t="inlineStr">
        <is>
          <t>The film gives Deepa a profession, judgement and the moral courage to refuse a compromised proposal, which is more than the other-woman role usually receives. What it withholds is any reckoning for Ram: on the article's account he suffers nothing for proposing marriage while his wife is pregnant.</t>
        </is>
      </c>
      <c r="AS49" s="5" t="inlineStr">
        <is>
          <t>SOURCE-001; SOURCE-061</t>
        </is>
      </c>
      <c r="AT49" s="5" t="inlineStr">
        <is>
          <t>Low</t>
        </is>
      </c>
    </row>
    <row r="50" ht="109" customHeight="1">
      <c r="A50" s="15" t="inlineStr">
        <is>
          <t>PAIR-049</t>
        </is>
      </c>
      <c r="B50" s="18" t="inlineStr">
        <is>
          <t>FILM-068</t>
        </is>
      </c>
      <c r="C50" s="5" t="inlineStr">
        <is>
          <t>Gharana</t>
        </is>
      </c>
      <c r="D50" s="17" t="n">
        <v>1989</v>
      </c>
      <c r="E50" s="5" t="inlineStr">
        <is>
          <t>Vijay Mehra</t>
        </is>
      </c>
      <c r="F50" s="5" t="inlineStr">
        <is>
          <t>Meenakshi Seshadri</t>
        </is>
      </c>
      <c r="G50" s="5" t="inlineStr">
        <is>
          <t>Radha</t>
        </is>
      </c>
      <c r="H50" s="5" t="inlineStr">
        <is>
          <t>Female lead</t>
        </is>
      </c>
      <c r="I50" s="5" t="inlineStr">
        <is>
          <t>Yes</t>
        </is>
      </c>
      <c r="J50" s="19" t="inlineStr">
        <is>
          <t>Forbidden love</t>
        </is>
      </c>
      <c r="K50" s="5" t="inlineStr">
        <is>
          <t>Colleagues at a newspaper</t>
        </is>
      </c>
      <c r="L50" s="5" t="inlineStr">
        <is>
          <t>Radha is Vijay's co-worker at the newspaper he joins after his family is ruined; the article records that both fall in love.</t>
        </is>
      </c>
      <c r="M50" s="5" t="inlineStr">
        <is>
          <t>Mutual</t>
        </is>
      </c>
      <c r="N50" s="19" t="inlineStr">
        <is>
          <t>Orthodox and approved, which is what makes its collapse remarkable: they seek and receive both families' blessings, and he then abandons it without explanation.</t>
        </is>
      </c>
      <c r="O50" s="19" t="inlineStr">
        <is>
          <t>Straightforward mutual love, destroyed from his side by a silence he never breaks.</t>
        </is>
      </c>
      <c r="P50" s="19" t="inlineStr">
        <is>
          <t>He severs all ties with her and marries another woman, letting her and everyone else conclude that he married for money.</t>
        </is>
      </c>
      <c r="Q50" s="20" t="n">
        <v>6</v>
      </c>
      <c r="R50" s="19" t="inlineStr">
        <is>
          <t>The rupture is his act and it is total, but it is not a quarrel: he never tells her that the seven lakh he received was the exact sum his sister's dowry required. The friction is the unexplained abandonment, and it exists only because he chooses to bear the appearance of greed rather than shift the burden to her.</t>
        </is>
      </c>
      <c r="S50" s="20" t="n">
        <v>8</v>
      </c>
      <c r="T50" s="5" t="inlineStr">
        <is>
          <t>Family; Class</t>
        </is>
      </c>
      <c r="U50" s="19" t="inlineStr">
        <is>
          <t>The framing of his father for diamond theft strips the family of its wealth and leaves his sister's marriage hanging on a seven lakh dowry no one can pay, and his father is paralysed by a stroke. The obstacle is not disapproval of Radha but a debt that can only be discharged by selling his own marriage.</t>
        </is>
      </c>
      <c r="V50" s="20" t="n">
        <v>8</v>
      </c>
      <c r="W50" s="19" t="inlineStr">
        <is>
          <t>The sacrifice is total and is made for love of his family rather than of Radha, which is the interesting complication: he gives up the woman he loves and accepts being thought mercenary to do it. Devotion, renunciation and silent suffering are all present; what is absent is any pursuit.</t>
        </is>
      </c>
      <c r="X50" s="20" t="n">
        <v>9</v>
      </c>
      <c r="Y50" s="20" t="n">
        <v>6</v>
      </c>
      <c r="Z50" s="20" t="n">
        <v>7</v>
      </c>
      <c r="AA50" s="20" t="n">
        <v>4</v>
      </c>
      <c r="AB50" s="20" t="n">
        <v>6</v>
      </c>
      <c r="AC50" s="19" t="inlineStr">
        <is>
          <t>Interpretive reading; no located review assesses this pairing. The relationship is written to be exemplary so that its abandonment lands, and the film keeps Radha off screen for much of the middle stretch, which limits what the pairing can build.</t>
        </is>
      </c>
      <c r="AD50" s="5" t="inlineStr">
        <is>
          <t>Partial</t>
        </is>
      </c>
      <c r="AE50" s="5" t="inlineStr">
        <is>
          <t>No</t>
        </is>
      </c>
      <c r="AF50" s="5" t="inlineStr">
        <is>
          <t>No</t>
        </is>
      </c>
      <c r="AG50" s="5" t="inlineStr">
        <is>
          <t>Yes</t>
        </is>
      </c>
      <c r="AH50" s="5" t="inlineStr">
        <is>
          <t>Yes</t>
        </is>
      </c>
      <c r="AI50" s="5" t="inlineStr">
        <is>
          <t>Yes</t>
        </is>
      </c>
      <c r="AJ50" s="5" t="inlineStr">
        <is>
          <t>No</t>
        </is>
      </c>
      <c r="AK50" s="19" t="inlineStr">
        <is>
          <t>From a young man in an approved love match to one who accepts the reputation of a fortune-hunter rather than explain himself.</t>
        </is>
      </c>
      <c r="AL50" s="19" t="inlineStr">
        <is>
          <t>Abandoned without a reason and left believing the man she loved married for money; restored to him only by his wife's dying request.</t>
        </is>
      </c>
      <c r="AM50" s="5" t="inlineStr">
        <is>
          <t>Reunited after Naina is killed and, before dying, asks Radha and Vijay to marry.</t>
        </is>
      </c>
      <c r="AN50" s="5" t="inlineStr">
        <is>
          <t>Yes</t>
        </is>
      </c>
      <c r="AO50" s="5" t="inlineStr">
        <is>
          <t>Happy</t>
        </is>
      </c>
      <c r="AP50" s="5" t="n"/>
      <c r="AQ50" s="19" t="inlineStr">
        <is>
          <t>A structural inversion of the lover-boy pattern worth recording carefully: the hero performs the archetype's central act, sacrificing everything, but performs it against the romance rather than for it, and is punished by the audience's misreading as well as the characters'. Its resolution is also unusual in being granted by the other woman rather than won.</t>
        </is>
      </c>
      <c r="AR50" s="19" t="inlineStr">
        <is>
          <t>The film treats a dowry of seven lakh rupees as an unavoidable fact of life, and constructs its hero's nobility entirely inside that assumption; the practice itself is never questioned. Radha is given nothing to do but wait and be misinformed, and her reward is delivered by a dying woman's instruction rather than by any choice of her own.</t>
        </is>
      </c>
      <c r="AS50" s="5" t="inlineStr">
        <is>
          <t>SOURCE-001; SOURCE-069</t>
        </is>
      </c>
      <c r="AT50" s="5" t="inlineStr">
        <is>
          <t>Medium</t>
        </is>
      </c>
    </row>
    <row r="51" ht="94" customHeight="1">
      <c r="A51" s="15" t="inlineStr">
        <is>
          <t>PAIR-050</t>
        </is>
      </c>
      <c r="B51" s="18" t="inlineStr">
        <is>
          <t>FILM-068</t>
        </is>
      </c>
      <c r="C51" s="5" t="inlineStr">
        <is>
          <t>Gharana</t>
        </is>
      </c>
      <c r="D51" s="17" t="n">
        <v>1989</v>
      </c>
      <c r="E51" s="5" t="inlineStr">
        <is>
          <t>Vijay Mehra</t>
        </is>
      </c>
      <c r="F51" s="5" t="inlineStr">
        <is>
          <t>Jaya Prada</t>
        </is>
      </c>
      <c r="G51" s="5" t="inlineStr">
        <is>
          <t>Naina</t>
        </is>
      </c>
      <c r="H51" s="5" t="inlineStr">
        <is>
          <t>Second female lead</t>
        </is>
      </c>
      <c r="I51" s="5" t="inlineStr">
        <is>
          <t>Partial</t>
        </is>
      </c>
      <c r="J51" s="19" t="inlineStr">
        <is>
          <t>Unequal or coercive relationship</t>
        </is>
      </c>
      <c r="K51" s="5" t="inlineStr">
        <is>
          <t>Employer's daughter; he works for her mother</t>
        </is>
      </c>
      <c r="L51" s="5" t="inlineStr">
        <is>
          <t>Naina is the only daughter of Shraddha, Vijay's boss at the newspaper; the marriage is transacted rather than courted.</t>
        </is>
      </c>
      <c r="M51" s="5" t="inlineStr">
        <is>
          <t>Neither romantically; Vijay contracts the marriage for seven lakh rupees</t>
        </is>
      </c>
      <c r="N51" s="19" t="inlineStr">
        <is>
          <t>None. The marriage is an exchange of money for a husband, and the article gives no courtship on either side.</t>
        </is>
      </c>
      <c r="O51" s="19" t="inlineStr">
        <is>
          <t>Not documented in the first instance; by the end she has enough regard for him to release him to the woman he loves.</t>
        </is>
      </c>
      <c r="P51" s="19" t="inlineStr">
        <is>
          <t>He married her for a sum of money he needed for his sister's dowry, and his heart is elsewhere throughout.</t>
        </is>
      </c>
      <c r="Q51" s="20" t="n">
        <v>5</v>
      </c>
      <c r="R51" s="19" t="inlineStr">
        <is>
          <t>There is no recorded quarrel, but the marriage is founded on a transaction and on a concealed attachment to Radha. The friction is the falseness of the arrangement rather than hostility between them, and Naina's final act suggests she came to understand it.</t>
        </is>
      </c>
      <c r="S51" s="20" t="n">
        <v>4</v>
      </c>
      <c r="T51" s="5" t="inlineStr">
        <is>
          <t>Family; Crime</t>
        </is>
      </c>
      <c r="U51" s="19" t="inlineStr">
        <is>
          <t>The dowry demand that produced the marriage, and finally Dharamdas's goon, who kills her. Nothing opposes the marriage itself; the family circumstances are what created it.</t>
        </is>
      </c>
      <c r="V51" s="20" t="n">
        <v>2</v>
      </c>
      <c r="W51" s="19" t="inlineStr">
        <is>
          <t>Kapoor's character marries this woman for money while loving another, which is the negation of the archetype. There is no courtship and no devotion, and the only generosity in the relationship is hers at the end.</t>
        </is>
      </c>
      <c r="X51" s="20" t="n">
        <v>9</v>
      </c>
      <c r="Y51" s="20" t="n">
        <v>4</v>
      </c>
      <c r="Z51" s="20" t="n">
        <v>3</v>
      </c>
      <c r="AA51" s="20" t="n">
        <v>6</v>
      </c>
      <c r="AB51" s="20" t="n">
        <v>5</v>
      </c>
      <c r="AC51" s="19" t="inlineStr">
        <is>
          <t>Interpretive reading; no located review assesses this pairing. The part is largely functional until the death scene, which is where the article locates whatever weight Naina carries; Jaya Prada has the more interesting half of a thin role.</t>
        </is>
      </c>
      <c r="AD51" s="5" t="inlineStr">
        <is>
          <t>No</t>
        </is>
      </c>
      <c r="AE51" s="5" t="inlineStr">
        <is>
          <t>Partial</t>
        </is>
      </c>
      <c r="AF51" s="5" t="inlineStr">
        <is>
          <t>No</t>
        </is>
      </c>
      <c r="AG51" s="5" t="inlineStr">
        <is>
          <t>Yes</t>
        </is>
      </c>
      <c r="AH51" s="5" t="inlineStr">
        <is>
          <t>No</t>
        </is>
      </c>
      <c r="AI51" s="5" t="inlineStr">
        <is>
          <t>Partial</t>
        </is>
      </c>
      <c r="AJ51" s="5" t="inlineStr">
        <is>
          <t>No</t>
        </is>
      </c>
      <c r="AK51" s="19" t="inlineStr">
        <is>
          <t>None through this marriage; it is the price he pays rather than an experience that changes him.</t>
        </is>
      </c>
      <c r="AL51" s="19" t="inlineStr">
        <is>
          <t>From a boss's daughter bought a husband to a dying woman who hands him to the woman he actually loves.</t>
        </is>
      </c>
      <c r="AM51" s="5" t="inlineStr">
        <is>
          <t>Naina is killed by Dharamdas's goon, and asks Radha and Vijay to marry before she dies.</t>
        </is>
      </c>
      <c r="AN51" s="5" t="inlineStr">
        <is>
          <t>Yes</t>
        </is>
      </c>
      <c r="AO51" s="5" t="inlineStr">
        <is>
          <t>Tragic</t>
        </is>
      </c>
      <c r="AP51" s="5" t="n"/>
      <c r="AQ51" s="19" t="inlineStr">
        <is>
          <t>The second of two relationships in one film, and the mechanism by which the first is both destroyed and restored. Recording both separately shows the same character scoring eight on lover-boy in one relationship and two in the other within a single film, which is the clearest demonstration available that the score tracks the construction of a relationship rather than the actor's register.</t>
        </is>
      </c>
      <c r="AR51" s="19" t="inlineStr">
        <is>
          <t>Naina is purchased a husband by her mother, discovers she is a convenience, and is then killed so that the marriage she paid for can be dissolved without divorce. The film asks the audience to find her dying instruction touching, which requires overlooking that her entire function is to be an obstacle removed at the right moment.</t>
        </is>
      </c>
      <c r="AS51" s="5" t="inlineStr">
        <is>
          <t>SOURCE-001; SOURCE-069</t>
        </is>
      </c>
      <c r="AT51" s="5" t="inlineStr">
        <is>
          <t>Low</t>
        </is>
      </c>
    </row>
    <row r="52" ht="109" customHeight="1">
      <c r="A52" s="15" t="inlineStr">
        <is>
          <t>PAIR-051</t>
        </is>
      </c>
      <c r="B52" s="18" t="inlineStr">
        <is>
          <t>FILM-070</t>
        </is>
      </c>
      <c r="C52" s="5" t="inlineStr">
        <is>
          <t>Bade Ghar Ki Beti</t>
        </is>
      </c>
      <c r="D52" s="17" t="n">
        <v>1989</v>
      </c>
      <c r="E52" s="5" t="inlineStr">
        <is>
          <t>Gopal</t>
        </is>
      </c>
      <c r="F52" s="5" t="inlineStr">
        <is>
          <t>Meenakshi Seshadri</t>
        </is>
      </c>
      <c r="G52" s="5" t="inlineStr">
        <is>
          <t>Mala</t>
        </is>
      </c>
      <c r="H52" s="5" t="inlineStr">
        <is>
          <t>Female lead and title role</t>
        </is>
      </c>
      <c r="I52" s="5" t="inlineStr">
        <is>
          <t>Yes</t>
        </is>
      </c>
      <c r="J52" s="19" t="inlineStr">
        <is>
          <t>United couple versus external world</t>
        </is>
      </c>
      <c r="K52" s="5" t="inlineStr">
        <is>
          <t>Strangers; she is the daughter of his family's servant</t>
        </is>
      </c>
      <c r="L52" s="5" t="inlineStr">
        <is>
          <t>Mala meets the head of the wealthy family her father Kishanlal serves, and he is so impressed by her that he asks for her hand for his fourth son Gopal; Kishanlal humbly accepts.</t>
        </is>
      </c>
      <c r="M52" s="5" t="inlineStr">
        <is>
          <t>Neither; the patriarch arranges it on the strength of her character</t>
        </is>
      </c>
      <c r="N52" s="19" t="inlineStr">
        <is>
          <t>None before the wedding. The relationship is built afterwards, and what builds it is that the two of them behave decently in a household where nobody else does.</t>
        </is>
      </c>
      <c r="O52" s="19" t="inlineStr">
        <is>
          <t>Warm and unforced from the start, and increasingly a pact against the rest of the family.</t>
        </is>
      </c>
      <c r="P52" s="19" t="inlineStr">
        <is>
          <t>None between them at any point.</t>
        </is>
      </c>
      <c r="Q52" s="20" t="n">
        <v>1</v>
      </c>
      <c r="R52" s="19" t="inlineStr">
        <is>
          <t>The article records no conflict between Gopal and Mala. She is helpful and sweet-natured, he is the only brother who is decent, and they leave the house together; the marriage is the one stable thing in the film.</t>
        </is>
      </c>
      <c r="S52" s="20" t="n">
        <v>7</v>
      </c>
      <c r="T52" s="5" t="inlineStr">
        <is>
          <t>Family; Class</t>
        </is>
      </c>
      <c r="U52" s="19" t="inlineStr">
        <is>
          <t>Three brothers and their abusive wives, who make the household intolerable, neglect their own mother, mortgage the family home and finally throw the old woman out before living off Gopal's earnings. Mala's origin as a servant's daughter in the same house is the standing class insult behind it.</t>
        </is>
      </c>
      <c r="V52" s="20" t="n">
        <v>6</v>
      </c>
      <c r="W52" s="19" t="inlineStr">
        <is>
          <t>Gopal is a devoted husband and the marriage is the centre of his life, but there is no courtship to perform and no opposition to the marriage itself to overcome. The devotion is domestic rather than romantic-heroic, which places it in the middle band.</t>
        </is>
      </c>
      <c r="X52" s="20" t="n">
        <v>7</v>
      </c>
      <c r="Y52" s="20" t="n">
        <v>8</v>
      </c>
      <c r="Z52" s="20" t="n">
        <v>8</v>
      </c>
      <c r="AA52" s="20" t="n">
        <v>6</v>
      </c>
      <c r="AB52" s="20" t="n">
        <v>7</v>
      </c>
      <c r="AC52" s="19" t="inlineStr">
        <is>
          <t>Interpretive reading; no located review assesses this pairing. Meenakshi Seshadri is top-billed and the film is named for her, so the pairing is written as a partnership of equals rather than a courtship; what it needs from the two of them is steadiness, which is what the article's account describes.</t>
        </is>
      </c>
      <c r="AD52" s="5" t="inlineStr">
        <is>
          <t>Partial</t>
        </is>
      </c>
      <c r="AE52" s="5" t="inlineStr">
        <is>
          <t>No</t>
        </is>
      </c>
      <c r="AF52" s="5" t="inlineStr">
        <is>
          <t>No</t>
        </is>
      </c>
      <c r="AG52" s="5" t="inlineStr">
        <is>
          <t>No</t>
        </is>
      </c>
      <c r="AH52" s="5" t="inlineStr">
        <is>
          <t>No</t>
        </is>
      </c>
      <c r="AI52" s="5" t="inlineStr">
        <is>
          <t>Yes</t>
        </is>
      </c>
      <c r="AJ52" s="5" t="inlineStr">
        <is>
          <t>Yes</t>
        </is>
      </c>
      <c r="AK52" s="19" t="inlineStr">
        <is>
          <t>From the youngest son deferring to his family to a man who leaves it and then confronts his brothers over their mother.</t>
        </is>
      </c>
      <c r="AL52" s="19" t="inlineStr">
        <is>
          <t>From a servant's daughter married into the house she might have worked in to a wife whose conduct is the film's standard for everyone else.</t>
        </is>
      </c>
      <c r="AM52" s="5" t="inlineStr">
        <is>
          <t>They move out together and build a life on his musical career; he discovers what his brothers did and confronts them.</t>
        </is>
      </c>
      <c r="AN52" s="5" t="inlineStr">
        <is>
          <t>Yes</t>
        </is>
      </c>
      <c r="AO52" s="5" t="inlineStr">
        <is>
          <t>Happy</t>
        </is>
      </c>
      <c r="AP52" s="5" t="n"/>
      <c r="AQ52" s="19" t="inlineStr">
        <is>
          <t>One of the few marriages in the filmography that is simply good: friction at one, mutuality at eight, and a couple whose function is to be the moral baseline against which a family is measured. It also crosses the sharpest class line in the career, a servant's daughter married to the master's son inside the same house, and the film treats that as the marriage's strength rather than its problem.</t>
        </is>
      </c>
      <c r="AR52" s="19" t="inlineStr">
        <is>
          <t>The arrangement is still made entirely between men, a patriarch impressed by a girl and a father who humbly accepts, with Mala given no say in the marriage that defines her life. What the film does well is refuse the expected plot: her origins are never used against her by the man who married her, and the cruelty comes from the women who married in above her.</t>
        </is>
      </c>
      <c r="AS52" s="5" t="inlineStr">
        <is>
          <t>SOURCE-001; SOURCE-064</t>
        </is>
      </c>
      <c r="AT52" s="5" t="inlineStr">
        <is>
          <t>Medium</t>
        </is>
      </c>
    </row>
    <row r="53" ht="124" customHeight="1">
      <c r="A53" s="15" t="inlineStr">
        <is>
          <t>PAIR-052</t>
        </is>
      </c>
      <c r="B53" s="18" t="inlineStr">
        <is>
          <t>FILM-072</t>
        </is>
      </c>
      <c r="C53" s="5" t="inlineStr">
        <is>
          <t>Khoj</t>
        </is>
      </c>
      <c r="D53" s="17" t="n">
        <v>1989</v>
      </c>
      <c r="E53" s="5" t="inlineStr">
        <is>
          <t>Ravi Kapoor</t>
        </is>
      </c>
      <c r="F53" s="5" t="inlineStr">
        <is>
          <t>Kimi Katkar</t>
        </is>
      </c>
      <c r="G53" s="5" t="inlineStr">
        <is>
          <t>Anita Kapoor, and the woman claiming to be her, Sujata Singh</t>
        </is>
      </c>
      <c r="H53" s="5" t="inlineStr">
        <is>
          <t>Female lead, credited in both identities</t>
        </is>
      </c>
      <c r="I53" s="5" t="inlineStr">
        <is>
          <t>Yes</t>
        </is>
      </c>
      <c r="J53" s="19" t="inlineStr">
        <is>
          <t>Relationship damaged by mistrust</t>
        </is>
      </c>
      <c r="K53" s="5" t="inlineStr">
        <is>
          <t>Married, with a daughter</t>
        </is>
      </c>
      <c r="L53" s="5" t="inlineStr">
        <is>
          <t>They do not meet in the film. Ravi and Anita are on holiday in Kathmandu when the story opens, and she disappears from their hotel on the first night.</t>
        </is>
      </c>
      <c r="M53" s="5" t="inlineStr">
        <is>
          <t>Not applicable</t>
        </is>
      </c>
      <c r="N53" s="19" t="inlineStr">
        <is>
          <t>None shown. The film is not about a courtship but about a husband's certainty that the woman presented to him is not his wife.</t>
        </is>
      </c>
      <c r="O53" s="19" t="inlineStr">
        <is>
          <t>A marriage available to the audience only through his insistence on it, against a substitute who performs the role convincingly to everyone else.</t>
        </is>
      </c>
      <c r="P53" s="19" t="inlineStr">
        <is>
          <t>His wife is replaced by a stranger whom the whole world, including his own daughter, identifies as Anita.</t>
        </is>
      </c>
      <c r="Q53" s="20" t="n">
        <v>5</v>
      </c>
      <c r="R53" s="19" t="inlineStr">
        <is>
          <t>There is no quarrel with Anita herself; the friction is the impossible position the substitution creates, in which maintaining the truth about his marriage makes him the prime suspect in his wife's disappearance. It is scored in the middle band because the relationship is under sustained attack from inside its own identity rather than from a rival.</t>
        </is>
      </c>
      <c r="S53" s="20" t="n">
        <v>8</v>
      </c>
      <c r="T53" s="5" t="inlineStr">
        <is>
          <t>Crime; Villain</t>
        </is>
      </c>
      <c r="U53" s="19" t="inlineStr">
        <is>
          <t>An impostor is installed as his wife and corroborated by wedding photographs, the family doctor, a constable and finally his daughter, while Inspector Balveer Singh finds every piece of evidence pointing at Ravi. The conspiracy is total and is aimed precisely at the marriage's identity.</t>
        </is>
      </c>
      <c r="V53" s="20" t="n">
        <v>4</v>
      </c>
      <c r="W53" s="19" t="inlineStr">
        <is>
          <t>The role is a husband holding to a fact rather than a lover courting: there is no wooing, no rival for her affection and no romantic gesture. What the part requires is stubbornness under pressure, and the register is thriller rather than romance.</t>
        </is>
      </c>
      <c r="X53" s="20" t="n">
        <v>7</v>
      </c>
      <c r="Y53" s="20" t="n">
        <v>6</v>
      </c>
      <c r="Z53" s="20" t="n">
        <v>5</v>
      </c>
      <c r="AA53" s="20" t="n">
        <v>4</v>
      </c>
      <c r="AB53" s="20" t="n">
        <v>5</v>
      </c>
      <c r="AC53" s="19" t="inlineStr">
        <is>
          <t>Interpretive reading; no located review assesses this pairing. The premise gives the couple almost no screen time together, since Anita vanishes in the first scene and Kimi Katkar spends the film playing the substitute; the marriage has to be taken on trust.</t>
        </is>
      </c>
      <c r="AD53" s="5" t="inlineStr">
        <is>
          <t>No</t>
        </is>
      </c>
      <c r="AE53" s="5" t="inlineStr">
        <is>
          <t>Partial</t>
        </is>
      </c>
      <c r="AF53" s="5" t="inlineStr">
        <is>
          <t>No</t>
        </is>
      </c>
      <c r="AG53" s="5" t="inlineStr">
        <is>
          <t>Yes</t>
        </is>
      </c>
      <c r="AH53" s="5" t="inlineStr">
        <is>
          <t>Yes</t>
        </is>
      </c>
      <c r="AI53" s="5" t="inlineStr">
        <is>
          <t>No</t>
        </is>
      </c>
      <c r="AJ53" s="5" t="inlineStr">
        <is>
          <t>No</t>
        </is>
      </c>
      <c r="AK53" s="19" t="inlineStr">
        <is>
          <t>From a husband reporting a disappearance to a man whose only remaining evidence is his own conviction, disbelieved by everyone including his child.</t>
        </is>
      </c>
      <c r="AL53" s="19" t="inlineStr">
        <is>
          <t>Not documented; Anita is absent for the film and the character on screen is the impostor.</t>
        </is>
      </c>
      <c r="AM53" s="5" t="inlineStr">
        <is>
          <t>Not documented; the article's summary ends with Ravi still unable to prove the woman is not his wife.</t>
        </is>
      </c>
      <c r="AN53" s="5" t="inlineStr">
        <is>
          <t>Yes</t>
        </is>
      </c>
      <c r="AO53" s="5" t="inlineStr">
        <is>
          <t>Unresolved</t>
        </is>
      </c>
      <c r="AP53" s="5" t="n"/>
      <c r="AQ53" s="19" t="inlineStr">
        <is>
          <t>A marriage used as the object of a gaslighting thriller rather than developed as a relationship, and the only pairing in the filmography in which the wife's identity, not her affection, is what is in dispute. One row records both credited identities because the plot treats them as a single contested position.</t>
        </is>
      </c>
      <c r="AR53" s="19" t="inlineStr">
        <is>
          <t>The film's interest is entirely in the husband's ordeal, and Anita exists as an absence to be argued over: she has no scenes, no agency and no account of her own disappearance within the article's summary. The most unsettling element, a daughter recruited to identify a stranger as her mother, is deployed as a plot escalation rather than examined.</t>
        </is>
      </c>
      <c r="AS53" s="5" t="inlineStr">
        <is>
          <t>SOURCE-001; SOURCE-066</t>
        </is>
      </c>
      <c r="AT53" s="5" t="inlineStr">
        <is>
          <t>Low</t>
        </is>
      </c>
    </row>
    <row r="54" ht="139" customHeight="1">
      <c r="A54" s="15" t="inlineStr">
        <is>
          <t>PAIR-053</t>
        </is>
      </c>
      <c r="B54" s="18" t="inlineStr">
        <is>
          <t>FILM-074</t>
        </is>
      </c>
      <c r="C54" s="5" t="inlineStr">
        <is>
          <t>Chandni</t>
        </is>
      </c>
      <c r="D54" s="17" t="n">
        <v>1989</v>
      </c>
      <c r="E54" s="5" t="inlineStr">
        <is>
          <t>Rohit Gupta</t>
        </is>
      </c>
      <c r="F54" s="5" t="inlineStr">
        <is>
          <t>Sridevi</t>
        </is>
      </c>
      <c r="G54" s="5" t="inlineStr">
        <is>
          <t>Chandni Mathur</t>
        </is>
      </c>
      <c r="H54" s="5" t="inlineStr">
        <is>
          <t>Female lead and title role</t>
        </is>
      </c>
      <c r="I54" s="5" t="inlineStr">
        <is>
          <t>Yes</t>
        </is>
      </c>
      <c r="J54" s="19" t="inlineStr">
        <is>
          <t>Love triangle</t>
        </is>
      </c>
      <c r="K54" s="5" t="inlineStr">
        <is>
          <t>Strangers; he is her cousin's friend</t>
        </is>
      </c>
      <c r="L54" s="5" t="inlineStr">
        <is>
          <t>Chandni travels to Delhi with her parents for her cousin's wedding, where she meets Rohit, her cousin's friend; the article records that he falls in love with her instantly and begins courting her.</t>
        </is>
      </c>
      <c r="M54" s="5" t="inlineStr">
        <is>
          <t>Rohit, emphatically and repeatedly</t>
        </is>
      </c>
      <c r="N54" s="19" t="inlineStr">
        <is>
          <t>Relentless and extravagant on his side: continuous attempts until she accepts, an engagement, and finally a helicopter hired to shower her with rose petals, which is the gesture that destroys him.</t>
        </is>
      </c>
      <c r="O54" s="19" t="inlineStr">
        <is>
          <t>Exuberant and mutual, then severed by his shame, and finally rebuilt on her constancy rather than his.</t>
        </is>
      </c>
      <c r="P54" s="19" t="inlineStr">
        <is>
          <t>He releases her after his paralysis, judging himself unfit to be her husband, and she has to live with a decision she did not make.</t>
        </is>
      </c>
      <c r="Q54" s="20" t="n">
        <v>4</v>
      </c>
      <c r="R54" s="19" t="inlineStr">
        <is>
          <t>The couple never quarrels, but the central rupture is Rohit's own act: he lets Chandni go. That is a decision taken inside the relationship rather than imposed on it, and it costs her years, which is why this scores above the near-zero readings of the 1970s romances.</t>
        </is>
      </c>
      <c r="S54" s="20" t="n">
        <v>7</v>
      </c>
      <c r="T54" s="5" t="inlineStr">
        <is>
          <t>Family; Class; Existing relationship</t>
        </is>
      </c>
      <c r="U54" s="19" t="inlineStr">
        <is>
          <t>The Guptas dislike Chandni on grounds of social status from the start, and after the crash they blame her for it and mistreat her, which is the injury she cites when refusing him later. The helicopter accident and his paralysis supply the rest, and Lalit's engagement to her becomes the final obstacle.</t>
        </is>
      </c>
      <c r="V54" s="20" t="n">
        <v>8</v>
      </c>
      <c r="W54" s="19" t="inlineStr">
        <is>
          <t>A full lover-boy construction for most of its length: instant love, persistent courtship, a grand romantic gesture, and then renunciation for her sake, which is the archetype's self-sacrificing form. It stops short of the top band because the decision that resolves the film is Lalit's rather than Rohit's, and because his renunciation is the thing Chandni most resents.</t>
        </is>
      </c>
      <c r="X54" s="20" t="n">
        <v>10</v>
      </c>
      <c r="Y54" s="20" t="n">
        <v>7</v>
      </c>
      <c r="Z54" s="20" t="n">
        <v>7</v>
      </c>
      <c r="AA54" s="20" t="n">
        <v>7</v>
      </c>
      <c r="AB54" s="20" t="n">
        <v>8</v>
      </c>
      <c r="AC54" s="19" t="inlineStr">
        <is>
          <t>Interpretive reading; no located review assesses this pairing. The film is built to showcase Sridevi and Kapoor plays to that, with the courtship sequences carrying an unforced warmth that has to survive a long separation in the middle; the reunion scenes depend on the audience remembering the first half, which is the pairing's real test.</t>
        </is>
      </c>
      <c r="AD54" s="5" t="inlineStr">
        <is>
          <t>Yes</t>
        </is>
      </c>
      <c r="AE54" s="5" t="inlineStr">
        <is>
          <t>Partial</t>
        </is>
      </c>
      <c r="AF54" s="5" t="inlineStr">
        <is>
          <t>No</t>
        </is>
      </c>
      <c r="AG54" s="5" t="inlineStr">
        <is>
          <t>Partial</t>
        </is>
      </c>
      <c r="AH54" s="5" t="inlineStr">
        <is>
          <t>Yes</t>
        </is>
      </c>
      <c r="AI54" s="5" t="inlineStr">
        <is>
          <t>Yes</t>
        </is>
      </c>
      <c r="AJ54" s="5" t="inlineStr">
        <is>
          <t>Partial</t>
        </is>
      </c>
      <c r="AK54" s="19" t="inlineStr">
        <is>
          <t>From an exuberant suitor to a man who reads his own injury as disqualification and gives her away, and finally to one willing to ask a second time.</t>
        </is>
      </c>
      <c r="AL54" s="19" t="inlineStr">
        <is>
          <t>From a naive middle-class girl to a working woman in Mumbai who builds an independent life, accepts a second proposal on her own terms, and is honest about the grievance she holds against his family.</t>
        </is>
      </c>
      <c r="AM54" s="5" t="inlineStr">
        <is>
          <t>Chandni marries Rohit after Lalit sees her run to him and gives her up.</t>
        </is>
      </c>
      <c r="AN54" s="5" t="inlineStr">
        <is>
          <t>Yes</t>
        </is>
      </c>
      <c r="AO54" s="5" t="inlineStr">
        <is>
          <t>Happy</t>
        </is>
      </c>
      <c r="AP54" s="5" t="inlineStr">
        <is>
          <t>'Mere Haathon Mein Nau Nau Choodiyan', 'Lagi Aaj Sawan Ki', 'Tere Mere Hothon Pe', 'Main Sasural Nahi Jaoongi'</t>
        </is>
      </c>
      <c r="AQ54" s="19" t="inlineStr">
        <is>
          <t>The last great romantic lead of Kapoor's career and the closing statement of the persona, thirty years after Bobby. The structure is the familiar one, a couple with little friction of their own against family and class opposition, but with an important variation: the wound is self-inflicted, and the years lost are lost because the hero decided for her. Chandni is also given far more independent life than the heroines of the 1970s films, working and choosing in the middle stretch rather than waiting.</t>
        </is>
      </c>
      <c r="AR54" s="19" t="inlineStr">
        <is>
          <t>The film's sympathy for Rohit's shame is genuine and its treatment of disability is of its time: paralysis is a disqualification from marriage that only recovery can lift, and the plot duly restores him before rewarding him. Against that, Chandni is allowed to say plainly what the Guptas did to her and to refuse on that basis, and her second engagement is not treated as a betrayal. Lalit's renunciation resolves the film, which means that once again the decisive act of love belongs to the man who loses.</t>
        </is>
      </c>
      <c r="AS54" s="5" t="inlineStr">
        <is>
          <t>SOURCE-001; SOURCE-067</t>
        </is>
      </c>
      <c r="AT54" s="5" t="inlineStr">
        <is>
          <t>High</t>
        </is>
      </c>
    </row>
    <row r="55" ht="109" customHeight="1">
      <c r="A55" s="15" t="inlineStr">
        <is>
          <t>PAIR-054</t>
        </is>
      </c>
      <c r="B55" s="18" t="inlineStr">
        <is>
          <t>FILM-075</t>
        </is>
      </c>
      <c r="C55" s="5" t="inlineStr">
        <is>
          <t>Amiri Garibi</t>
        </is>
      </c>
      <c r="D55" s="17" t="n">
        <v>1990</v>
      </c>
      <c r="E55" s="5" t="inlineStr">
        <is>
          <t>Deepak Bhardwaj</t>
        </is>
      </c>
      <c r="F55" s="5" t="inlineStr">
        <is>
          <t>Neelam</t>
        </is>
      </c>
      <c r="G55" s="5" t="inlineStr">
        <is>
          <t>Jyoti</t>
        </is>
      </c>
      <c r="H55" s="5" t="inlineStr">
        <is>
          <t>Supporting female lead</t>
        </is>
      </c>
      <c r="I55" s="5" t="inlineStr">
        <is>
          <t>No</t>
        </is>
      </c>
      <c r="J55" s="19" t="inlineStr">
        <is>
          <t>Unequal or coercive relationship</t>
        </is>
      </c>
      <c r="K55" s="5" t="inlineStr">
        <is>
          <t>Married to each other in childhood, and strangers as adults</t>
        </is>
      </c>
      <c r="L55" s="5" t="inlineStr">
        <is>
          <t>They do not meet as adults until Deepak arrives at Kedarnath's house to claim Jyoti as the wife he was married to as a child, and moves in.</t>
        </is>
      </c>
      <c r="M55" s="5" t="inlineStr">
        <is>
          <t>Deepak, by asserting the childhood marriage and installing himself in her family's home</t>
        </is>
      </c>
      <c r="N55" s="19" t="inlineStr">
        <is>
          <t>None. The claim precedes any acquaintance and is enforced by residence rather than pursued by courtship.</t>
        </is>
      </c>
      <c r="O55" s="19" t="inlineStr">
        <is>
          <t>His assertion of a right against her open resentment; the article records the chagrin of Jyoti and her family at his arrival.</t>
        </is>
      </c>
      <c r="P55" s="19" t="inlineStr">
        <is>
          <t>She does not want the marriage, and he is living in her house on the strength of it.</t>
        </is>
      </c>
      <c r="Q55" s="20" t="n">
        <v>7</v>
      </c>
      <c r="R55" s="19" t="inlineStr">
        <is>
          <t>The relationship is an unwanted claim pressed in person. Jyoti, her brother, her sister and her mother are all recorded as resenting his arrival, and there is no indication in the article that she is reconciled to it. The conflict is between the pair, not imposed on them.</t>
        </is>
      </c>
      <c r="S55" s="20" t="n">
        <v>6</v>
      </c>
      <c r="T55" s="5" t="inlineStr">
        <is>
          <t>Family; Class</t>
        </is>
      </c>
      <c r="U55" s="19" t="inlineStr">
        <is>
          <t>Jyoti's wealthy family despises the poor Bhardwajs, and after Kedarnath's death her mother Sheela turns on both Deepak and the mistreated daughter-in-law Rani and orders them out of the house. The class gap is the reason the childhood marriage is an embarrassment to be repudiated.</t>
        </is>
      </c>
      <c r="V55" s="20" t="n">
        <v>2</v>
      </c>
      <c r="W55" s="19" t="inlineStr">
        <is>
          <t>There is no courtship, no devotion and no sacrifice; the character's romantic action is to arrive and claim a wife who does not want him. The role belongs to the same late-1980s group as Naseeb Apna Apna and Ek Chadar Maili Si, in which Kapoor plays men whose marriages are entitlements rather than attachments.</t>
        </is>
      </c>
      <c r="X55" s="20" t="n">
        <v>6</v>
      </c>
      <c r="Y55" s="20" t="n">
        <v>3</v>
      </c>
      <c r="Z55" s="20" t="n">
        <v>2</v>
      </c>
      <c r="AA55" s="20" t="n">
        <v>5</v>
      </c>
      <c r="AB55" s="20" t="n">
        <v>5</v>
      </c>
      <c r="AC55" s="19" t="inlineStr">
        <is>
          <t>Interpretive reading; no located review assesses this pairing. Third-billed in a crowded melodrama, Kapoor's thread is one of several and the article gives the relationship only its premise and the family's reaction to it.</t>
        </is>
      </c>
      <c r="AD55" s="5" t="inlineStr">
        <is>
          <t>No</t>
        </is>
      </c>
      <c r="AE55" s="5" t="inlineStr">
        <is>
          <t>Yes</t>
        </is>
      </c>
      <c r="AF55" s="5" t="inlineStr">
        <is>
          <t>No</t>
        </is>
      </c>
      <c r="AG55" s="5" t="inlineStr">
        <is>
          <t>No</t>
        </is>
      </c>
      <c r="AH55" s="5" t="inlineStr">
        <is>
          <t>No</t>
        </is>
      </c>
      <c r="AI55" s="5" t="inlineStr">
        <is>
          <t>No</t>
        </is>
      </c>
      <c r="AJ55" s="5" t="inlineStr">
        <is>
          <t>Partial</t>
        </is>
      </c>
      <c r="AK55" s="19" t="inlineStr">
        <is>
          <t>Not documented; the article's plot breaks off with him and Rani turned out of the house.</t>
        </is>
      </c>
      <c r="AL55" s="19" t="inlineStr">
        <is>
          <t>Not documented beyond her resentment at his arrival.</t>
        </is>
      </c>
      <c r="AM55" s="5" t="inlineStr">
        <is>
          <t>Not documented; after Kedarnath's death Sheela orders Deepak and Rani to leave.</t>
        </is>
      </c>
      <c r="AN55" s="5" t="inlineStr">
        <is>
          <t>Yes</t>
        </is>
      </c>
      <c r="AO55" s="5" t="inlineStr">
        <is>
          <t>Unresolved</t>
        </is>
      </c>
      <c r="AP55" s="5" t="n"/>
      <c r="AQ55" s="19" t="inlineStr">
        <is>
          <t>A child marriage claimed in adulthood by the poorer party against a wealthy household's wishes, which makes the coercion and the class grievance point in opposite directions: he is both the wronged man and the one imposing himself. Recorded with low confidence because the article gives the premise and almost none of the development.</t>
        </is>
      </c>
      <c r="AR55" s="19" t="inlineStr">
        <is>
          <t>The film's sympathy appears to sit with Deepak as the poor relation despised by a rich family, which quietly requires the audience to set aside that the woman in question does not want the marriage. Her refusal is treated as snobbery rather than as a position with any merit of its own.</t>
        </is>
      </c>
      <c r="AS55" s="5" t="inlineStr">
        <is>
          <t>SOURCE-001; SOURCE-071</t>
        </is>
      </c>
      <c r="AT55" s="5" t="inlineStr">
        <is>
          <t>Low</t>
        </is>
      </c>
    </row>
    <row r="56" ht="124" customHeight="1">
      <c r="A56" s="15" t="inlineStr">
        <is>
          <t>PAIR-055</t>
        </is>
      </c>
      <c r="B56" s="18" t="inlineStr">
        <is>
          <t>FILM-076</t>
        </is>
      </c>
      <c r="C56" s="5" t="inlineStr">
        <is>
          <t>Azaad Desh Ke Gulam</t>
        </is>
      </c>
      <c r="D56" s="17" t="n">
        <v>1990</v>
      </c>
      <c r="E56" s="5" t="inlineStr">
        <is>
          <t>Vijay Shrivastav</t>
        </is>
      </c>
      <c r="F56" s="5" t="inlineStr">
        <is>
          <t>Rekha</t>
        </is>
      </c>
      <c r="G56" s="5" t="inlineStr">
        <is>
          <t>Bharati Bhandari</t>
        </is>
      </c>
      <c r="H56" s="5" t="inlineStr">
        <is>
          <t>Female lead</t>
        </is>
      </c>
      <c r="I56" s="5" t="inlineStr">
        <is>
          <t>Yes</t>
        </is>
      </c>
      <c r="J56" s="19" t="inlineStr">
        <is>
          <t>United couple versus external world</t>
        </is>
      </c>
      <c r="K56" s="5" t="inlineStr">
        <is>
          <t>Fellow students at law college</t>
        </is>
      </c>
      <c r="L56" s="5" t="inlineStr">
        <is>
          <t>They are classmates at law college, where the article records Bharati as already in love with her fellow collegian Vijay when the film opens.</t>
        </is>
      </c>
      <c r="M56" s="5" t="inlineStr">
        <is>
          <t>Mutual; the attachment predates the plot</t>
        </is>
      </c>
      <c r="N56" s="19" t="inlineStr">
        <is>
          <t>Barely a courtship at all. The relationship is established at the outset and immediately converts into a partnership against her father, so what the film shows is collaboration rather than wooing.</t>
        </is>
      </c>
      <c r="O56" s="19" t="inlineStr">
        <is>
          <t>Steady and practical: he is the person she takes to Goa to verify what she has been told about her father, and the person who fights her case at the end.</t>
        </is>
      </c>
      <c r="P56" s="19" t="inlineStr">
        <is>
          <t>None between them.</t>
        </is>
      </c>
      <c r="Q56" s="20" t="n">
        <v>2</v>
      </c>
      <c r="R56" s="19" t="inlineStr">
        <is>
          <t>No conflict between Vijay and Bharati is recorded at any point. Every pressure on the relationship comes from her family and the conspiracy around it, and the two act in concert throughout.</t>
        </is>
      </c>
      <c r="S56" s="20" t="n">
        <v>9</v>
      </c>
      <c r="T56" s="5" t="inlineStr">
        <is>
          <t>Family; Crime; War or politics</t>
        </is>
      </c>
      <c r="U56" s="19" t="inlineStr">
        <is>
          <t>Her father Ashok made his fortune smuggling and selling children and young women, and holds documents that would deliver the country to a foreign power. The couple's attempt to stop him leads to Vijay's reported death, the deaths of both her parents, a murder charge against her, and a conspiracy involving her uncle and a minister to have her declared insane.</t>
        </is>
      </c>
      <c r="V56" s="20" t="n">
        <v>6</v>
      </c>
      <c r="W56" s="19" t="inlineStr">
        <is>
          <t>The devotion is real and materially expressed, going with her to Goa, recovering the documents, saving her and finally arguing her case in court, but the register is that of an ally rather than a suitor. There is no courtship, no rivalry and no sacrifice specifically for love.</t>
        </is>
      </c>
      <c r="X56" s="20" t="n">
        <v>7</v>
      </c>
      <c r="Y56" s="20" t="n">
        <v>8</v>
      </c>
      <c r="Z56" s="20" t="n">
        <v>8</v>
      </c>
      <c r="AA56" s="20" t="n">
        <v>8</v>
      </c>
      <c r="AB56" s="20" t="n">
        <v>6</v>
      </c>
      <c r="AC56" s="19" t="inlineStr">
        <is>
          <t>Interpretive reading; no located review assesses this pairing. The article's plot is garbled and gives the couple little direct interaction, but the structure it describes is unusually balanced, with Bharati driving the investigation and Vijay supporting it.</t>
        </is>
      </c>
      <c r="AD56" s="5" t="inlineStr">
        <is>
          <t>Unclear</t>
        </is>
      </c>
      <c r="AE56" s="5" t="inlineStr">
        <is>
          <t>No</t>
        </is>
      </c>
      <c r="AF56" s="5" t="inlineStr">
        <is>
          <t>No</t>
        </is>
      </c>
      <c r="AG56" s="5" t="inlineStr">
        <is>
          <t>No</t>
        </is>
      </c>
      <c r="AH56" s="5" t="inlineStr">
        <is>
          <t>Yes</t>
        </is>
      </c>
      <c r="AI56" s="5" t="inlineStr">
        <is>
          <t>Yes</t>
        </is>
      </c>
      <c r="AJ56" s="5" t="inlineStr">
        <is>
          <t>Yes</t>
        </is>
      </c>
      <c r="AK56" s="19" t="inlineStr">
        <is>
          <t>From a law student in love to a lawyer conducting her defence against a minister.</t>
        </is>
      </c>
      <c r="AL56" s="19" t="inlineStr">
        <is>
          <t>From a wealthy student who believes her father to a woman who kills him, flees with the evidence, survives an attempt to certify her mad, and prosecutes the minister behind it.</t>
        </is>
      </c>
      <c r="AM56" s="5" t="inlineStr">
        <is>
          <t>They fight the case against the minister together; the article's account has Vijay saving her and killing the minister during the attack outside the court.</t>
        </is>
      </c>
      <c r="AN56" s="5" t="inlineStr">
        <is>
          <t>Unclear</t>
        </is>
      </c>
      <c r="AO56" s="5" t="inlineStr">
        <is>
          <t>Happy</t>
        </is>
      </c>
      <c r="AP56" s="5" t="n"/>
      <c r="AQ56" s="19" t="inlineStr">
        <is>
          <t>One of the most equal partnerships in the filmography, with mutuality and female agency both at eight: Bharati does the discovering, the killing and the testifying, and Vijay assists. It is also the clearest case of a Kapoor romance in which the opposition is political rather than domestic, since what stands between them is a trafficking network with a minister behind it.</t>
        </is>
      </c>
      <c r="AR56" s="19" t="inlineStr">
        <is>
          <t>The film gives Rekha's character an extraordinary amount to do by the standards of a 1990 masala thriller, including the moral centre and the decisive violence, and treats her sanity as the thing the villains most need to destroy. The article's own account is internally contradictory about whether Vijay dies, which makes it impossible to say how much of the resolution the film actually grants him.</t>
        </is>
      </c>
      <c r="AS56" s="5" t="inlineStr">
        <is>
          <t>SOURCE-001; SOURCE-072</t>
        </is>
      </c>
      <c r="AT56" s="5" t="inlineStr">
        <is>
          <t>Low</t>
        </is>
      </c>
    </row>
    <row r="57" ht="109" customHeight="1">
      <c r="A57" s="15" t="inlineStr">
        <is>
          <t>PAIR-056</t>
        </is>
      </c>
      <c r="B57" s="18" t="inlineStr">
        <is>
          <t>FILM-077</t>
        </is>
      </c>
      <c r="C57" s="5" t="inlineStr">
        <is>
          <t>Sheshnaag</t>
        </is>
      </c>
      <c r="D57" s="17" t="n">
        <v>1990</v>
      </c>
      <c r="E57" s="5" t="inlineStr">
        <is>
          <t>Bhola</t>
        </is>
      </c>
      <c r="F57" s="5" t="inlineStr">
        <is>
          <t>Mandakini</t>
        </is>
      </c>
      <c r="G57" s="5" t="inlineStr">
        <is>
          <t>Kamini</t>
        </is>
      </c>
      <c r="H57" s="5" t="inlineStr">
        <is>
          <t>Female lead</t>
        </is>
      </c>
      <c r="I57" s="5" t="inlineStr">
        <is>
          <t>Yes</t>
        </is>
      </c>
      <c r="J57" s="19" t="inlineStr">
        <is>
          <t>Forbidden love</t>
        </is>
      </c>
      <c r="K57" s="5" t="inlineStr">
        <is>
          <t>Strangers of very unequal standing</t>
        </is>
      </c>
      <c r="L57" s="5" t="inlineStr">
        <is>
          <t>Not documented in detail; after the serpents install Bhola in a mansion and train him into courage, he falls in love with Kamini, the daughter of the wealthy Seth Lalchand.</t>
        </is>
      </c>
      <c r="M57" s="5" t="inlineStr">
        <is>
          <t>Bhola</t>
        </is>
      </c>
      <c r="N57" s="19" t="inlineStr">
        <is>
          <t>Enabled entirely by supernatural patronage: Bhola can court her at all only because Bhanu has given him wealth and Pritam has trained him out of timidity.</t>
        </is>
      </c>
      <c r="O57" s="19" t="inlineStr">
        <is>
          <t>Mutual attachment, presented as the reward for his transformation rather than as a relationship examined in its own right.</t>
        </is>
      </c>
      <c r="P57" s="19" t="inlineStr">
        <is>
          <t>None between them; her father has promised her elsewhere.</t>
        </is>
      </c>
      <c r="Q57" s="20" t="n">
        <v>2</v>
      </c>
      <c r="R57" s="19" t="inlineStr">
        <is>
          <t>No conflict between Bhola and Kamini is recorded. The obstruction is her father's plan to marry her to his business partner Vikram, and the wizard he sets on Bhola.</t>
        </is>
      </c>
      <c r="S57" s="20" t="n">
        <v>8</v>
      </c>
      <c r="T57" s="5" t="inlineStr">
        <is>
          <t>Family; Class; Villain</t>
        </is>
      </c>
      <c r="U57" s="19" t="inlineStr">
        <is>
          <t>Seth Lalchand, an animal trafficker and the wizard Aghori's disciple, intends Kamini for his business partner Vikram and asks Aghori to destroy Bhola, who is poisoned by a bite and survives only because Bhanu draws the venom out. The wedding to Vikram is in progress when Bhola breaks in.</t>
        </is>
      </c>
      <c r="V57" s="20" t="n">
        <v>6</v>
      </c>
      <c r="W57" s="19" t="inlineStr">
        <is>
          <t>The courtship is the goal of Bhola's whole transformation and he crashes the wedding to claim her, which is the archetype's classic move. It scores in the middle band because he achieves none of it under his own power: the wealth, the courage and the survival are all supplied by the serpent deities.</t>
        </is>
      </c>
      <c r="X57" s="20" t="n">
        <v>6</v>
      </c>
      <c r="Y57" s="20" t="n">
        <v>6</v>
      </c>
      <c r="Z57" s="20" t="n">
        <v>6</v>
      </c>
      <c r="AA57" s="20" t="n">
        <v>4</v>
      </c>
      <c r="AB57" s="20" t="n">
        <v>5</v>
      </c>
      <c r="AC57" s="19" t="inlineStr">
        <is>
          <t>Interpretive reading; no located review assesses this pairing. The film's energy is in the serpent-and-wizard plot rather than in the romance, and the article treats Kamini largely as the prize the transformation is for.</t>
        </is>
      </c>
      <c r="AD57" s="5" t="inlineStr">
        <is>
          <t>Unclear</t>
        </is>
      </c>
      <c r="AE57" s="5" t="inlineStr">
        <is>
          <t>No</t>
        </is>
      </c>
      <c r="AF57" s="5" t="inlineStr">
        <is>
          <t>No</t>
        </is>
      </c>
      <c r="AG57" s="5" t="inlineStr">
        <is>
          <t>Partial</t>
        </is>
      </c>
      <c r="AH57" s="5" t="inlineStr">
        <is>
          <t>Yes</t>
        </is>
      </c>
      <c r="AI57" s="5" t="inlineStr">
        <is>
          <t>No</t>
        </is>
      </c>
      <c r="AJ57" s="5" t="inlineStr">
        <is>
          <t>Partial</t>
        </is>
      </c>
      <c r="AK57" s="19" t="inlineStr">
        <is>
          <t>From a bullied, suicidal villager into a man of means and courage, though the change is done to him rather than achieved by him.</t>
        </is>
      </c>
      <c r="AL57" s="19" t="inlineStr">
        <is>
          <t>Not documented; she is promised to one man and claimed by another.</t>
        </is>
      </c>
      <c r="AM57" s="5" t="inlineStr">
        <is>
          <t>Bhola breaks into the wedding with Pritam; the film ends happily with the serpents ascending.</t>
        </is>
      </c>
      <c r="AN57" s="5" t="inlineStr">
        <is>
          <t>Partial</t>
        </is>
      </c>
      <c r="AO57" s="5" t="inlineStr">
        <is>
          <t>Happy</t>
        </is>
      </c>
      <c r="AP57" s="5" t="n"/>
      <c r="AQ57" s="19" t="inlineStr">
        <is>
          <t>A conventional forbidden-love romance grafted onto a mythological fantasy, notable mainly for how completely the hero's romantic capacity is outsourced: everything that makes him eligible is a gift from the supernatural couple whose lives he once saved. Rekha is billed high but plays his sister, so the female billing is a poor guide to the romance here.</t>
        </is>
      </c>
      <c r="AR57" s="19" t="inlineStr">
        <is>
          <t>Kamini has no recorded preference of her own until the hero arrives to take her from the wedding her father arranged, and the film's interest in her is exhausted by her availability. The more interesting relationship in the film is between the two serpents, who have a marriage, a debt and a choice.</t>
        </is>
      </c>
      <c r="AS57" s="5" t="inlineStr">
        <is>
          <t>SOURCE-001; SOURCE-074</t>
        </is>
      </c>
      <c r="AT57" s="5" t="inlineStr">
        <is>
          <t>Low</t>
        </is>
      </c>
    </row>
    <row r="58" ht="139" customHeight="1">
      <c r="A58" s="15" t="inlineStr">
        <is>
          <t>PAIR-057</t>
        </is>
      </c>
      <c r="B58" s="18" t="inlineStr">
        <is>
          <t>FILM-081</t>
        </is>
      </c>
      <c r="C58" s="5" t="inlineStr">
        <is>
          <t>Henna</t>
        </is>
      </c>
      <c r="D58" s="17" t="n">
        <v>1991</v>
      </c>
      <c r="E58" s="5" t="inlineStr">
        <is>
          <t>Chandar Prakash</t>
        </is>
      </c>
      <c r="F58" s="5" t="inlineStr">
        <is>
          <t>Zeba Bakhtiar</t>
        </is>
      </c>
      <c r="G58" s="5" t="inlineStr">
        <is>
          <t>Henna Khan</t>
        </is>
      </c>
      <c r="H58" s="5" t="inlineStr">
        <is>
          <t>Female lead and title role</t>
        </is>
      </c>
      <c r="I58" s="5" t="inlineStr">
        <is>
          <t>Yes</t>
        </is>
      </c>
      <c r="J58" s="19" t="inlineStr">
        <is>
          <t>Tragic lovers</t>
        </is>
      </c>
      <c r="K58" s="5" t="inlineStr">
        <is>
          <t>Strangers; she finds him washed ashore with no memory</t>
        </is>
      </c>
      <c r="L58" s="5" t="inlineStr">
        <is>
          <t>Henna comes across an unconscious man on the bank of the Jhelum in Pakistani Kashmir. She, her father Khan Baba and the village doctor Gul Bibi nurse him back to health and find he has lost his memory, and they call him Chand after the name he cries out in his sleep.</t>
        </is>
      </c>
      <c r="M58" s="5" t="inlineStr">
        <is>
          <t>Henna</t>
        </is>
      </c>
      <c r="N58" s="19" t="inlineStr">
        <is>
          <t>Domestic and gradual: he recovers in her household, works with the village doctor making clay pots, and the attachment grows inside a family that has taken him in as a stranger with no past.</t>
        </is>
      </c>
      <c r="O58" s="19" t="inlineStr">
        <is>
          <t>Tender and uncomplicated on both sides, and built entirely on a man who does not know who he is.</t>
        </is>
      </c>
      <c r="P58" s="19" t="inlineStr">
        <is>
          <t>None between them. The catastrophe is that his identity returns.</t>
        </is>
      </c>
      <c r="Q58" s="20" t="n">
        <v>1</v>
      </c>
      <c r="R58" s="19" t="inlineStr">
        <is>
          <t>There is no conflict between Henna and Chand at any point. The film's entire pressure is external, and the relationship is destroyed by a fact rather than by a disagreement: on the morning of the wedding he remembers that he is an Indian Hindu with a fiancée.</t>
        </is>
      </c>
      <c r="S58" s="20" t="n">
        <v>10</v>
      </c>
      <c r="T58" s="5" t="inlineStr">
        <is>
          <t>Religion; Community; War or politics; Fate</t>
        </is>
      </c>
      <c r="U58" s="19" t="inlineStr">
        <is>
          <t>A militarised border, two religions and two nationalities; the suspicion of the Pakistani police that he is an Indian spy; Daroga Shahbaaz Khan, who has already married twice and may marry twice more under Shariat law and who wants Henna; one of her own brothers colluding with him to foil the first escape. The opposition kills her.</t>
        </is>
      </c>
      <c r="V58" s="20" t="n">
        <v>7</v>
      </c>
      <c r="W58" s="19" t="inlineStr">
        <is>
          <t>The devotion is genuine but the role is unusually passive for the archetype: with no memory, Chand cannot pursue, choose or rebel, and once his memory returns his obligation runs the other way. The romantic heroism in the second half is Henna's, not his; she dies getting him home.</t>
        </is>
      </c>
      <c r="X58" s="20" t="n">
        <v>10</v>
      </c>
      <c r="Y58" s="20" t="n">
        <v>8</v>
      </c>
      <c r="Z58" s="20" t="n">
        <v>8</v>
      </c>
      <c r="AA58" s="20" t="n">
        <v>7</v>
      </c>
      <c r="AB58" s="20" t="n">
        <v>8</v>
      </c>
      <c r="AC58" s="19" t="inlineStr">
        <is>
          <t>Interpretive reading; no located review assesses this pairing. The film was conceived by Raj Kapoor and completed by Randhir Kapoor after his death, and the casting of the Pakistani actress Zeba Bakhtiar opposite Kapoor is the point of it; the relationship has to carry the film's argument about the border, and the gentleness of the playing is what makes the ending land.</t>
        </is>
      </c>
      <c r="AD58" s="5" t="inlineStr">
        <is>
          <t>Partial</t>
        </is>
      </c>
      <c r="AE58" s="5" t="inlineStr">
        <is>
          <t>No</t>
        </is>
      </c>
      <c r="AF58" s="5" t="inlineStr">
        <is>
          <t>No</t>
        </is>
      </c>
      <c r="AG58" s="5" t="inlineStr">
        <is>
          <t>Partial</t>
        </is>
      </c>
      <c r="AH58" s="5" t="inlineStr">
        <is>
          <t>Yes</t>
        </is>
      </c>
      <c r="AI58" s="5" t="inlineStr">
        <is>
          <t>Yes</t>
        </is>
      </c>
      <c r="AJ58" s="5" t="inlineStr">
        <is>
          <t>Yes</t>
        </is>
      </c>
      <c r="AK58" s="19" t="inlineStr">
        <is>
          <t>From a man with no name, happy in a borrowed life, to one whose recovered identity destroys the household that saved him.</t>
        </is>
      </c>
      <c r="AL58" s="19" t="inlineStr">
        <is>
          <t>From a woman who takes in a stranger to one who defies a predatory official and her own brother to get him across the border, and dies doing it.</t>
        </is>
      </c>
      <c r="AM58" s="5" t="inlineStr">
        <is>
          <t>The second attempt to return him to India succeeds, and Henna loses her life in the chaos; the article records the film ending with Chandar asking why there must be war.</t>
        </is>
      </c>
      <c r="AN58" s="5" t="inlineStr">
        <is>
          <t>No</t>
        </is>
      </c>
      <c r="AO58" s="5" t="inlineStr">
        <is>
          <t>Tragic</t>
        </is>
      </c>
      <c r="AP58" s="5" t="inlineStr">
        <is>
          <t>'Der Na Ho Jaye', 'Main Hoon Khush Rang Henna', 'Chitthiye Dard Firaq Waaliye'</t>
        </is>
      </c>
      <c r="AQ58" s="19" t="inlineStr">
        <is>
          <t>The last great tragic romance of the career and the one that puts the pattern to political use: friction at one, opposition at ten, with the obstacle a national border rather than a father. Read against Laila Majnu fifteen years earlier, the structure is identical and the meaning is transposed from legend to geopolitics, which is the clearest measure of how the persona aged.</t>
        </is>
      </c>
      <c r="AR58" s="19" t="inlineStr">
        <is>
          <t>The film's plea against the border is made through a Muslim Pakistani woman who saves an Indian Hindu man and dies for it, and the asymmetry is worth naming: she gives up her life and he returns to his fiancée. Henna is nonetheless the most active of the three heroines in Kapoor's late romances, driving the rescue against both a coercive official and her own family, and the film gives her the title and the moral weight.</t>
        </is>
      </c>
      <c r="AS58" s="5" t="inlineStr">
        <is>
          <t>SOURCE-001; SOURCE-076</t>
        </is>
      </c>
      <c r="AT58" s="5" t="inlineStr">
        <is>
          <t>High</t>
        </is>
      </c>
    </row>
    <row r="59" ht="109" customHeight="1">
      <c r="A59" s="15" t="inlineStr">
        <is>
          <t>PAIR-058</t>
        </is>
      </c>
      <c r="B59" s="18" t="inlineStr">
        <is>
          <t>FILM-081</t>
        </is>
      </c>
      <c r="C59" s="5" t="inlineStr">
        <is>
          <t>Henna</t>
        </is>
      </c>
      <c r="D59" s="17" t="n">
        <v>1991</v>
      </c>
      <c r="E59" s="5" t="inlineStr">
        <is>
          <t>Chandar Prakash</t>
        </is>
      </c>
      <c r="F59" s="5" t="inlineStr">
        <is>
          <t>Ashwini Bhave</t>
        </is>
      </c>
      <c r="G59" s="5" t="inlineStr">
        <is>
          <t>Chandni Kaul</t>
        </is>
      </c>
      <c r="H59" s="5" t="inlineStr">
        <is>
          <t>Second female lead</t>
        </is>
      </c>
      <c r="I59" s="5" t="inlineStr">
        <is>
          <t>Partial</t>
        </is>
      </c>
      <c r="J59" s="19" t="inlineStr">
        <is>
          <t>Established relationship</t>
        </is>
      </c>
      <c r="K59" s="5" t="inlineStr">
        <is>
          <t>Engaged, and about to be married</t>
        </is>
      </c>
      <c r="L59" s="5" t="inlineStr">
        <is>
          <t>Not documented; the engagement is established when the film opens and he calls her 'Chand'.</t>
        </is>
      </c>
      <c r="M59" s="5" t="inlineStr">
        <is>
          <t>Not applicable</t>
        </is>
      </c>
      <c r="N59" s="19" t="inlineStr">
        <is>
          <t>None shown. The relationship exists as the settled life the accident interrupts, and the article gives it no development.</t>
        </is>
      </c>
      <c r="O59" s="19" t="inlineStr">
        <is>
          <t>Not documented in detail; her hold on him is strong enough that her name is what he cries in his sleep with no memory.</t>
        </is>
      </c>
      <c r="P59" s="19" t="inlineStr">
        <is>
          <t>He disappears on the day of their engagement and spends the film in another country, about to marry someone else.</t>
        </is>
      </c>
      <c r="Q59" s="20" t="n">
        <v>2</v>
      </c>
      <c r="R59" s="19" t="inlineStr">
        <is>
          <t>No conflict between them is recorded. The separation is an accident and his near-marriage to Henna happens while he has no knowledge of Chandni's existence, so nothing in the rupture is chosen.</t>
        </is>
      </c>
      <c r="S59" s="20" t="n">
        <v>9</v>
      </c>
      <c r="T59" s="5" t="inlineStr">
        <is>
          <t>Fate; Distance; War or politics</t>
        </is>
      </c>
      <c r="U59" s="19" t="inlineStr">
        <is>
          <t>A car accident carries him across the line of control into Pakistan, and amnesia removes her from his mind entirely. The border and the suspicion of espionage keep him there.</t>
        </is>
      </c>
      <c r="V59" s="20" t="n">
        <v>5</v>
      </c>
      <c r="W59" s="19" t="inlineStr">
        <is>
          <t>The devotion is involuntary and touching, since her name survives in him when nothing else does, but he takes no action for this relationship at any point: he cannot, because he does not know it exists. The score records a real attachment with no agency attached to it.</t>
        </is>
      </c>
      <c r="X59" s="20" t="n">
        <v>10</v>
      </c>
      <c r="Y59" s="20" t="n">
        <v>7</v>
      </c>
      <c r="Z59" s="20" t="n">
        <v>6</v>
      </c>
      <c r="AA59" s="20" t="n">
        <v>3</v>
      </c>
      <c r="AB59" s="20" t="n">
        <v>6</v>
      </c>
      <c r="AC59" s="19" t="inlineStr">
        <is>
          <t>Interpretive reading; no located review assesses this pairing. Ashwini Bhave has very little screen time against the title role, and the relationship works as a premise rather than a performance; its one powerful moment is offstage, in the name he calls out while unconscious.</t>
        </is>
      </c>
      <c r="AD59" s="5" t="inlineStr">
        <is>
          <t>Unclear</t>
        </is>
      </c>
      <c r="AE59" s="5" t="inlineStr">
        <is>
          <t>No</t>
        </is>
      </c>
      <c r="AF59" s="5" t="inlineStr">
        <is>
          <t>No</t>
        </is>
      </c>
      <c r="AG59" s="5" t="inlineStr">
        <is>
          <t>No</t>
        </is>
      </c>
      <c r="AH59" s="5" t="inlineStr">
        <is>
          <t>Yes</t>
        </is>
      </c>
      <c r="AI59" s="5" t="inlineStr">
        <is>
          <t>Partial</t>
        </is>
      </c>
      <c r="AJ59" s="5" t="inlineStr">
        <is>
          <t>No</t>
        </is>
      </c>
      <c r="AK59" s="19" t="inlineStr">
        <is>
          <t>None in relation to Chandni; he loses her from his memory entirely and recovers her as a fact rather than through any change in himself.</t>
        </is>
      </c>
      <c r="AL59" s="19" t="inlineStr">
        <is>
          <t>Not documented; she waits.</t>
        </is>
      </c>
      <c r="AM59" s="5" t="inlineStr">
        <is>
          <t>He returns to India at the cost of Henna's life; the article does not record the state of this engagement at the close.</t>
        </is>
      </c>
      <c r="AN59" s="5" t="inlineStr">
        <is>
          <t>Unclear</t>
        </is>
      </c>
      <c r="AO59" s="5" t="inlineStr">
        <is>
          <t>Unresolved</t>
        </is>
      </c>
      <c r="AP59" s="5" t="n"/>
      <c r="AQ59" s="19" t="inlineStr">
        <is>
          <t>Recorded because the engagement is the film's premise and the name 'Chand' is the thread that runs through the whole plot, but it is the thinner of the film's two relationships by a wide margin. Its function is to make the Henna romance impossible, which it does simply by existing.</t>
        </is>
      </c>
      <c r="AR59" s="19" t="inlineStr">
        <is>
          <t>Chandni is an obligation rather than a character: she is engaged, abandoned by accident, and waiting at the end, with no recorded action of her own. The film spends its sympathy on the woman who dies and leaves the woman who waited entirely unexamined.</t>
        </is>
      </c>
      <c r="AS59" s="5" t="inlineStr">
        <is>
          <t>SOURCE-001; SOURCE-076</t>
        </is>
      </c>
      <c r="AT59" s="5" t="inlineStr">
        <is>
          <t>Low</t>
        </is>
      </c>
    </row>
    <row r="60" ht="124" customHeight="1">
      <c r="A60" s="15" t="inlineStr">
        <is>
          <t>PAIR-059</t>
        </is>
      </c>
      <c r="B60" s="18" t="inlineStr">
        <is>
          <t>FILM-083</t>
        </is>
      </c>
      <c r="C60" s="5" t="inlineStr">
        <is>
          <t>Banjaran</t>
        </is>
      </c>
      <c r="D60" s="17" t="n">
        <v>1991</v>
      </c>
      <c r="E60" s="5" t="inlineStr">
        <is>
          <t>Kumar Singh Sesodia</t>
        </is>
      </c>
      <c r="F60" s="5" t="inlineStr">
        <is>
          <t>Sridevi</t>
        </is>
      </c>
      <c r="G60" s="5" t="inlineStr">
        <is>
          <t>Reshma, the reincarnation of Devi</t>
        </is>
      </c>
      <c r="H60" s="5" t="inlineStr">
        <is>
          <t>Female lead and title role</t>
        </is>
      </c>
      <c r="I60" s="5" t="inlineStr">
        <is>
          <t>Yes</t>
        </is>
      </c>
      <c r="J60" s="19" t="inlineStr">
        <is>
          <t>Forbidden love</t>
        </is>
      </c>
      <c r="K60" s="5" t="inlineStr">
        <is>
          <t>Strangers drawn to each other without explanation</t>
        </is>
      </c>
      <c r="L60" s="5" t="inlineStr">
        <is>
          <t>The Banjara tribe camps on land owned by Kumar Singh's father, and the two feel what the article calls an unknown attraction towards each other; Reshma's recurring nightmare of being hunted to death stops from the moment he arrives.</t>
        </is>
      </c>
      <c r="M60" s="5" t="inlineStr">
        <is>
          <t>Neither; the attraction is presented as the pull of a previous life</t>
        </is>
      </c>
      <c r="N60" s="19" t="inlineStr">
        <is>
          <t>Compressed and fugitive: an immediate mutual recognition, both families' armed objection, and an elopement to an abandoned haveli within the film's first movement.</t>
        </is>
      </c>
      <c r="O60" s="19" t="inlineStr">
        <is>
          <t>Absolute and unexplained to the participants, who do not know they are completing something interrupted decades earlier.</t>
        </is>
      </c>
      <c r="P60" s="19" t="inlineStr">
        <is>
          <t>None between them at any point.</t>
        </is>
      </c>
      <c r="Q60" s="20" t="n">
        <v>1</v>
      </c>
      <c r="R60" s="19" t="inlineStr">
        <is>
          <t>Kumar and Reshma are never divided. The film's premise is that their union is the resolution of an old wrong, so the couple functions as a single unit against everything ranged outside it.</t>
        </is>
      </c>
      <c r="S60" s="20" t="n">
        <v>9</v>
      </c>
      <c r="T60" s="5" t="inlineStr">
        <is>
          <t>Class; Caste; Family; Fate</t>
        </is>
      </c>
      <c r="U60" s="19" t="inlineStr">
        <is>
          <t>Her father, the tribe's leader, is angry because she is already engaged to Shakti Singh; his father, the Rana, objects to his only son pursuing a nomad girl; both arrive at the haveli with armed men. Behind that sits the first life, in which the caretaker himself killed the lower-class Suraj and his daughter Devi took her own life.</t>
        </is>
      </c>
      <c r="V60" s="20" t="n">
        <v>8</v>
      </c>
      <c r="W60" s="19" t="inlineStr">
        <is>
          <t>The role is built on romantic devotion against class prohibition and armed fathers, and he elopes with her rather than yield. It stops short of the top band because the resolution is delivered by Thakur Baba's revelation rather than won by the lovers, who are rescued by an old man's confession.</t>
        </is>
      </c>
      <c r="X60" s="20" t="n">
        <v>10</v>
      </c>
      <c r="Y60" s="20" t="n">
        <v>8</v>
      </c>
      <c r="Z60" s="20" t="n">
        <v>9</v>
      </c>
      <c r="AA60" s="20" t="n">
        <v>5</v>
      </c>
      <c r="AB60" s="20" t="n">
        <v>7</v>
      </c>
      <c r="AC60" s="19" t="inlineStr">
        <is>
          <t>Interpretive reading; no located review assesses this pairing. The third Kapoor and Sridevi pairing, after Nagina (1986) and Chandni (1989), and the premise requires the attraction to read as involuntary and pre-existing rather than as courtship, which suits a register both had already established together.</t>
        </is>
      </c>
      <c r="AD60" s="5" t="inlineStr">
        <is>
          <t>Partial</t>
        </is>
      </c>
      <c r="AE60" s="5" t="inlineStr">
        <is>
          <t>No</t>
        </is>
      </c>
      <c r="AF60" s="5" t="inlineStr">
        <is>
          <t>No</t>
        </is>
      </c>
      <c r="AG60" s="5" t="inlineStr">
        <is>
          <t>No</t>
        </is>
      </c>
      <c r="AH60" s="5" t="inlineStr">
        <is>
          <t>Yes</t>
        </is>
      </c>
      <c r="AI60" s="5" t="inlineStr">
        <is>
          <t>Yes</t>
        </is>
      </c>
      <c r="AJ60" s="5" t="inlineStr">
        <is>
          <t>Yes</t>
        </is>
      </c>
      <c r="AK60" s="19" t="inlineStr">
        <is>
          <t>From a landowner's son to a man who leaves his father's house for a nomad girl and is told he has done it once before.</t>
        </is>
      </c>
      <c r="AL60" s="19" t="inlineStr">
        <is>
          <t>From a woman haunted nightly by her own murder to one who learns the dream was a memory and outlives it.</t>
        </is>
      </c>
      <c r="AM60" s="5" t="inlineStr">
        <is>
          <t>The feud ends when Thakur Baba pleads for them with the account of their previous lives, and the two are allowed to live together.</t>
        </is>
      </c>
      <c r="AN60" s="5" t="inlineStr">
        <is>
          <t>Yes</t>
        </is>
      </c>
      <c r="AO60" s="5" t="inlineStr">
        <is>
          <t>Happy</t>
        </is>
      </c>
      <c r="AP60" s="5" t="n"/>
      <c r="AQ60" s="19" t="inlineStr">
        <is>
          <t>Mutuality at nine is among the highest in the filmography, because the premise makes the attachment symmetrical by construction: both partners are reincarnations of the same interrupted couple. It is also Kapoor's second reincarnation romance after Karz, with the significant difference that here the previous life belongs to both of them rather than to him alone.</t>
        </is>
      </c>
      <c r="AR60" s="19" t="inlineStr">
        <is>
          <t>The film resolves a caste-and-class prohibition not by arguing against it but by producing a supernatural exemption, which lets both fathers relent without conceding anything about the principle. The most striking figure is Thakur Baba, who murdered the lower-class boy in the first life and pleads for him in the second; the film grants him the resolution and never asks him to answer for the killing.</t>
        </is>
      </c>
      <c r="AS60" s="5" t="inlineStr">
        <is>
          <t>SOURCE-001; SOURCE-078</t>
        </is>
      </c>
      <c r="AT60" s="5" t="inlineStr">
        <is>
          <t>Medium</t>
        </is>
      </c>
    </row>
    <row r="61" ht="124" customHeight="1">
      <c r="A61" s="15" t="inlineStr">
        <is>
          <t>PAIR-060</t>
        </is>
      </c>
      <c r="B61" s="18" t="inlineStr">
        <is>
          <t>FILM-084</t>
        </is>
      </c>
      <c r="C61" s="5" t="inlineStr">
        <is>
          <t>Kasak</t>
        </is>
      </c>
      <c r="D61" s="17" t="n">
        <v>1992</v>
      </c>
      <c r="E61" s="5" t="inlineStr">
        <is>
          <t>Vijay</t>
        </is>
      </c>
      <c r="F61" s="5" t="inlineStr">
        <is>
          <t>Neelam</t>
        </is>
      </c>
      <c r="G61" s="5" t="inlineStr">
        <is>
          <t>Divya</t>
        </is>
      </c>
      <c r="H61" s="5" t="inlineStr">
        <is>
          <t>Female lead</t>
        </is>
      </c>
      <c r="I61" s="5" t="inlineStr">
        <is>
          <t>Yes</t>
        </is>
      </c>
      <c r="J61" s="19" t="inlineStr">
        <is>
          <t>Marriage under strain</t>
        </is>
      </c>
      <c r="K61" s="5" t="inlineStr">
        <is>
          <t>Strangers introduced as an arranged match</t>
        </is>
      </c>
      <c r="L61" s="5" t="inlineStr">
        <is>
          <t>Divya's father tells her to come home early from college to meet Vijay, the prospective groom. She deliberately arrives late hoping he will have gone, and finds him still patiently waiting.</t>
        </is>
      </c>
      <c r="M61" s="5" t="inlineStr">
        <is>
          <t>Vijay, by declining to be driven off</t>
        </is>
      </c>
      <c r="N61" s="19" t="inlineStr">
        <is>
          <t>Entirely after the wedding, and conducted as forbearance rather than pursuit: he does not touch her, listens to the whole history of the man she loved, and then puts the choice in her hands.</t>
        </is>
      </c>
      <c r="O61" s="19" t="inlineStr">
        <is>
          <t>Her open unwillingness against his refusal to take offence at it; he is the only person in the film who does not pressure her.</t>
        </is>
      </c>
      <c r="P61" s="19" t="inlineStr">
        <is>
          <t>She does not want him, is still in love with a man shot dead in front of her, and asks for a divorce as her wedding gift.</t>
        </is>
      </c>
      <c r="Q61" s="20" t="n">
        <v>7</v>
      </c>
      <c r="R61" s="19" t="inlineStr">
        <is>
          <t>The friction is substantial and located wholly inside the couple: a wife who tries to make her husband dislike her, refuses the marriage, will not consummate it and asks for a divorce. It is not hostility, and none of it is his doing, but it is interpersonal rather than external, and it is what the film is about.</t>
        </is>
      </c>
      <c r="S61" s="20" t="n">
        <v>4</v>
      </c>
      <c r="T61" s="5" t="inlineStr">
        <is>
          <t>Family; Fate</t>
        </is>
      </c>
      <c r="U61" s="19" t="inlineStr">
        <is>
          <t>Her father's heart attack and her mother's plea are what force the marriage, and the law then refuses the divorce for a year because they are newly married. In the flashback, the police shooting of Suraj on their wedding day is the wound everything else follows from. Nobody opposes Vijay and Divya as a couple.</t>
        </is>
      </c>
      <c r="V61" s="20" t="n">
        <v>6</v>
      </c>
      <c r="W61" s="19" t="inlineStr">
        <is>
          <t>The devotion is real, patient and unusually decent: he waits, absorbs the rudeness, hears her out, and offers the divorce rather than extract a consent. But he neither courts nor pursues, and the archetype's ardour is entirely absent; what the role supplies instead is restraint.</t>
        </is>
      </c>
      <c r="X61" s="20" t="n">
        <v>10</v>
      </c>
      <c r="Y61" s="20" t="n">
        <v>7</v>
      </c>
      <c r="Z61" s="20" t="n">
        <v>4</v>
      </c>
      <c r="AA61" s="20" t="n">
        <v>8</v>
      </c>
      <c r="AB61" s="20" t="n">
        <v>7</v>
      </c>
      <c r="AC61" s="19" t="inlineStr">
        <is>
          <t>Interpretive reading; no located review assesses this pairing. Neelam is top-billed and the film is hers; Kapoor's part requires him to hold the screen doing almost nothing, which is a different demand from any of his 1970s romances and the reason this is among the more interesting late leading roles.</t>
        </is>
      </c>
      <c r="AD61" s="5" t="inlineStr">
        <is>
          <t>No</t>
        </is>
      </c>
      <c r="AE61" s="5" t="inlineStr">
        <is>
          <t>Yes</t>
        </is>
      </c>
      <c r="AF61" s="5" t="inlineStr">
        <is>
          <t>No</t>
        </is>
      </c>
      <c r="AG61" s="5" t="inlineStr">
        <is>
          <t>No</t>
        </is>
      </c>
      <c r="AH61" s="5" t="inlineStr">
        <is>
          <t>Partial</t>
        </is>
      </c>
      <c r="AI61" s="5" t="inlineStr">
        <is>
          <t>Yes</t>
        </is>
      </c>
      <c r="AJ61" s="5" t="inlineStr">
        <is>
          <t>No</t>
        </is>
      </c>
      <c r="AK61" s="19" t="inlineStr">
        <is>
          <t>From a suitor who will not be insulted away to a husband who offers his wife the divorce she asked for rather than hold her to a consent she never gave.</t>
        </is>
      </c>
      <c r="AL61" s="19" t="inlineStr">
        <is>
          <t>From a woman who lost her life's love in front of her and married under duress to one given a genuine choice and a year in which to make it.</t>
        </is>
      </c>
      <c r="AM61" s="5" t="inlineStr">
        <is>
          <t>Divya chooses the divorce papers over the anklets, and the law compels the couple to live together for a year before it can be filed.</t>
        </is>
      </c>
      <c r="AN61" s="5" t="inlineStr">
        <is>
          <t>Yes</t>
        </is>
      </c>
      <c r="AO61" s="5" t="inlineStr">
        <is>
          <t>Unresolved</t>
        </is>
      </c>
      <c r="AP61" s="5" t="n"/>
      <c r="AQ61" s="19" t="inlineStr">
        <is>
          <t>The most striking score inversion in the filmography: pair friction at seven against external opposition at four, in a career whose signature is the reverse. It is also the clearest instance of Kapoor playing consent rather than conquest, and female agency at eight is earned by the film actually letting Divya choose divorce rather than overruling her.</t>
        </is>
      </c>
      <c r="AR61" s="19" t="inlineStr">
        <is>
          <t>A remake of Mouna Ragam, and it keeps the original's real subject: a woman compelled into a marriage and a husband who declines to treat the compulsion as a licence. The film's ethics are notably better than the period's norm, since it treats the unconsummated marriage as correct rather than as a humiliation to be remedied. What it cannot escape is the structure that traps her anyway, with the law rather than a family enforcing a year of cohabitation she did not choose.</t>
        </is>
      </c>
      <c r="AS61" s="5" t="inlineStr">
        <is>
          <t>SOURCE-001; SOURCE-080</t>
        </is>
      </c>
      <c r="AT61" s="5" t="inlineStr">
        <is>
          <t>Medium</t>
        </is>
      </c>
    </row>
    <row r="62" ht="94" customHeight="1">
      <c r="A62" s="15" t="inlineStr">
        <is>
          <t>PAIR-061</t>
        </is>
      </c>
      <c r="B62" s="18" t="inlineStr">
        <is>
          <t>FILM-086</t>
        </is>
      </c>
      <c r="C62" s="5" t="inlineStr">
        <is>
          <t>Rishta To Ho Aisa</t>
        </is>
      </c>
      <c r="D62" s="17" t="n">
        <v>1992</v>
      </c>
      <c r="E62" s="5" t="inlineStr">
        <is>
          <t>Vijay</t>
        </is>
      </c>
      <c r="F62" s="5" t="inlineStr">
        <is>
          <t>Juhi Chawla</t>
        </is>
      </c>
      <c r="G62" s="5" t="inlineStr">
        <is>
          <t>Seema</t>
        </is>
      </c>
      <c r="H62" s="5" t="inlineStr">
        <is>
          <t>Female lead</t>
        </is>
      </c>
      <c r="I62" s="5" t="inlineStr">
        <is>
          <t>Yes</t>
        </is>
      </c>
      <c r="J62" s="19" t="inlineStr">
        <is>
          <t>Romance subordinate to another genre</t>
        </is>
      </c>
      <c r="K62" s="5" t="inlineStr">
        <is>
          <t>Strangers; she is a stage dancer and he a pickpocket</t>
        </is>
      </c>
      <c r="L62" s="5" t="inlineStr">
        <is>
          <t>Not documented in detail; the article records that Vijay falls for Seema, a stage dancer.</t>
        </is>
      </c>
      <c r="M62" s="5" t="inlineStr">
        <is>
          <t>Vijay</t>
        </is>
      </c>
      <c r="N62" s="19" t="inlineStr">
        <is>
          <t>Expressed through theft: he gives her a necklace stolen from a house that turns out to be his own brother's, and the gift is what sets the film's injustice in motion.</t>
        </is>
      </c>
      <c r="O62" s="19" t="inlineStr">
        <is>
          <t>Not documented beyond the courtship gesture and its consequences.</t>
        </is>
      </c>
      <c r="P62" s="19" t="inlineStr">
        <is>
          <t>His gift is stolen property, and its discovery on stage exposes them both.</t>
        </is>
      </c>
      <c r="Q62" s="20" t="n">
        <v>3</v>
      </c>
      <c r="R62" s="19" t="inlineStr">
        <is>
          <t>No quarrel between them is recorded. The difficulty is that his courtship is conducted with stolen goods, which lands an innocent woman in prison and forces his public confession.</t>
        </is>
      </c>
      <c r="S62" s="20" t="n">
        <v>6</v>
      </c>
      <c r="T62" s="5" t="inlineStr">
        <is>
          <t>Crime; Family</t>
        </is>
      </c>
      <c r="U62" s="19" t="inlineStr">
        <is>
          <t>The theft, the wrongful imprisonment of his brother's wife Sharda, and Kalicharan's conspiracy around the amnesiac Rajesh, which culminates in the abduction of most of the family.</t>
        </is>
      </c>
      <c r="V62" s="20" t="n">
        <v>4</v>
      </c>
      <c r="W62" s="19" t="inlineStr">
        <is>
          <t>The courtship is the occasion for the plot rather than its subject, and Vijay's defining acts are fraternal: confessing to spare Sharda, taking the pregnant and disowned woman back to their village, and recognising his brother from a portrait. Romance is a strand the film sets aside.</t>
        </is>
      </c>
      <c r="X62" s="20" t="n">
        <v>5</v>
      </c>
      <c r="Y62" s="20" t="n">
        <v>6</v>
      </c>
      <c r="Z62" s="20" t="n">
        <v>5</v>
      </c>
      <c r="AA62" s="20" t="n">
        <v>4</v>
      </c>
      <c r="AB62" s="20" t="n">
        <v>6</v>
      </c>
      <c r="AC62" s="19" t="inlineStr">
        <is>
          <t>Interpretive reading; no located review assesses this pairing. The first of eleven films with Juhi Chawla across thirty years, and the article's compressed prose gives the relationship its premise and its consequence but nothing of its texture.</t>
        </is>
      </c>
      <c r="AD62" s="5" t="inlineStr">
        <is>
          <t>Unclear</t>
        </is>
      </c>
      <c r="AE62" s="5" t="inlineStr">
        <is>
          <t>Partial</t>
        </is>
      </c>
      <c r="AF62" s="5" t="inlineStr">
        <is>
          <t>No</t>
        </is>
      </c>
      <c r="AG62" s="5" t="inlineStr">
        <is>
          <t>Yes</t>
        </is>
      </c>
      <c r="AH62" s="5" t="inlineStr">
        <is>
          <t>Unclear</t>
        </is>
      </c>
      <c r="AI62" s="5" t="inlineStr">
        <is>
          <t>Partial</t>
        </is>
      </c>
      <c r="AJ62" s="5" t="inlineStr">
        <is>
          <t>Partial</t>
        </is>
      </c>
      <c r="AK62" s="19" t="inlineStr">
        <is>
          <t>From a thief courting a dancer with stolen goods to the man who confesses publicly and then reassembles his family.</t>
        </is>
      </c>
      <c r="AL62" s="19" t="inlineStr">
        <is>
          <t>Not documented; she is caught on stage wearing the stolen necklace and the article does not follow her further.</t>
        </is>
      </c>
      <c r="AM62" s="5" t="inlineStr">
        <is>
          <t>Not documented; the article's plot resolves the family reunion without stating the outcome of the romance.</t>
        </is>
      </c>
      <c r="AN62" s="5" t="inlineStr">
        <is>
          <t>Unclear</t>
        </is>
      </c>
      <c r="AO62" s="5" t="inlineStr">
        <is>
          <t>Unresolved</t>
        </is>
      </c>
      <c r="AP62" s="5" t="n"/>
      <c r="AQ62" s="19" t="inlineStr">
        <is>
          <t>A minor romance whose importance is mechanical: the stolen necklace given as a courtship gift is what imprisons an innocent woman and forces the confession that begins the family's reassembly. It is recorded for that reason rather than for any development of the relationship.</t>
        </is>
      </c>
      <c r="AR62" s="19" t="inlineStr">
        <is>
          <t>Seema is the recipient of a gift and then the occasion of an exposure, with no recorded position of her own on either. The article's account is compressed to the point of obscurity in places, and the film's attention is plainly on the brothers.</t>
        </is>
      </c>
      <c r="AS62" s="5" t="inlineStr">
        <is>
          <t>SOURCE-001; SOURCE-084</t>
        </is>
      </c>
      <c r="AT62" s="5" t="inlineStr">
        <is>
          <t>Low</t>
        </is>
      </c>
    </row>
    <row r="63" ht="139" customHeight="1">
      <c r="A63" s="15" t="inlineStr">
        <is>
          <t>PAIR-062</t>
        </is>
      </c>
      <c r="B63" s="18" t="inlineStr">
        <is>
          <t>FILM-087</t>
        </is>
      </c>
      <c r="C63" s="5" t="inlineStr">
        <is>
          <t>Deewana</t>
        </is>
      </c>
      <c r="D63" s="17" t="n">
        <v>1992</v>
      </c>
      <c r="E63" s="5" t="inlineStr">
        <is>
          <t>Ravi</t>
        </is>
      </c>
      <c r="F63" s="5" t="inlineStr">
        <is>
          <t>Divya Bharti</t>
        </is>
      </c>
      <c r="G63" s="5" t="inlineStr">
        <is>
          <t>Kajal</t>
        </is>
      </c>
      <c r="H63" s="5" t="inlineStr">
        <is>
          <t>Female lead</t>
        </is>
      </c>
      <c r="I63" s="5" t="inlineStr">
        <is>
          <t>Yes</t>
        </is>
      </c>
      <c r="J63" s="19" t="inlineStr">
        <is>
          <t>Love triangle</t>
        </is>
      </c>
      <c r="K63" s="5" t="inlineStr">
        <is>
          <t>Strangers who marry early in the film</t>
        </is>
      </c>
      <c r="L63" s="5" t="inlineStr">
        <is>
          <t>Not documented in detail; the article records that Kajal falls in love with Ravi, a rich and handsome man, and that they marry happily with his mother Lakshmi Devi's blessing.</t>
        </is>
      </c>
      <c r="M63" s="5" t="inlineStr">
        <is>
          <t>Mutual</t>
        </is>
      </c>
      <c r="N63" s="19" t="inlineStr">
        <is>
          <t>Brief and approved, and over within the first movement: the film spends its length not on the courtship but on what happens to the marriage after he is presumed dead.</t>
        </is>
      </c>
      <c r="O63" s="19" t="inlineStr">
        <is>
          <t>Warm and sanctioned, then reduced to her widowhood and finally to the impossible position of his being alive.</t>
        </is>
      </c>
      <c r="P63" s="19" t="inlineStr">
        <is>
          <t>None between them. He is thrown off a cliff by relatives who stand to inherit, and returns to find her remarried.</t>
        </is>
      </c>
      <c r="Q63" s="20" t="n">
        <v>2</v>
      </c>
      <c r="R63" s="19" t="inlineStr">
        <is>
          <t>Ravi and Kajal are never in conflict. Every obstruction is external: an attempted murder, a presumed death, and a second marriage contracted in good faith while he was gone.</t>
        </is>
      </c>
      <c r="S63" s="20" t="n">
        <v>9</v>
      </c>
      <c r="T63" s="5" t="inlineStr">
        <is>
          <t>Family; Crime; Existing relationship</t>
        </is>
      </c>
      <c r="U63" s="19" t="inlineStr">
        <is>
          <t>His uncle Dhirendra and cousin Narendra are next in line for the family fortune and hire men to kill him, which puts him over a cliff and makes her a widow. Raja's father then objects to his son marrying a widow, and by the time Ravi resurfaces the second marriage is a fact. Dhirendra finally kidnaps Kajal and Raja to extort the property.</t>
        </is>
      </c>
      <c r="V63" s="20" t="n">
        <v>6</v>
      </c>
      <c r="W63" s="19" t="inlineStr">
        <is>
          <t>Ravi is a romantic lead in the first movement and is written sympathetically thereafter, but the film hands the lover-boy function to Shah Rukh Khan's Raja, who does the pursuing, the persisting and the defying of a father. Kapoor's part becomes the obstacle rather than the suitor, which is a notable transfer given his own screen history.</t>
        </is>
      </c>
      <c r="X63" s="20" t="n">
        <v>9</v>
      </c>
      <c r="Y63" s="20" t="n">
        <v>7</v>
      </c>
      <c r="Z63" s="20" t="n">
        <v>7</v>
      </c>
      <c r="AA63" s="20" t="n">
        <v>6</v>
      </c>
      <c r="AB63" s="20" t="n">
        <v>8</v>
      </c>
      <c r="AC63" s="19" t="inlineStr">
        <is>
          <t>The article cites Rachit Gupta of Filmfare, writing in 2014, that Divya Bharti seemed at ease sharing screen space with Kapoor, and records a reviewer praising the performances of both. This is one of very few pairings in the filmography with any located critical comment on the playing rather than an interpretive reading, and what it describes is ease rather than charge.</t>
        </is>
      </c>
      <c r="AD63" s="5" t="inlineStr">
        <is>
          <t>Yes</t>
        </is>
      </c>
      <c r="AE63" s="5" t="inlineStr">
        <is>
          <t>No</t>
        </is>
      </c>
      <c r="AF63" s="5" t="inlineStr">
        <is>
          <t>No</t>
        </is>
      </c>
      <c r="AG63" s="5" t="inlineStr">
        <is>
          <t>No</t>
        </is>
      </c>
      <c r="AH63" s="5" t="inlineStr">
        <is>
          <t>Yes</t>
        </is>
      </c>
      <c r="AI63" s="5" t="inlineStr">
        <is>
          <t>Partial</t>
        </is>
      </c>
      <c r="AJ63" s="5" t="inlineStr">
        <is>
          <t>Partial</t>
        </is>
      </c>
      <c r="AK63" s="19" t="inlineStr">
        <is>
          <t>From an untroubled bridegroom to a man whose survival is an inconvenience to the woman he loves and a friend he made without knowing who he was.</t>
        </is>
      </c>
      <c r="AL63" s="19" t="inlineStr">
        <is>
          <t>From a bride to a widow to a woman persuaded into a second marriage by her mother-in-law, and then confronted with a first husband who is not dead.</t>
        </is>
      </c>
      <c r="AM63" s="5" t="inlineStr">
        <is>
          <t>Kajal stays with Raja after learning Ravi survived; the article's plot then has Dhirendra kidnap her and Raja to extort Ravi's property, and breaks off there.</t>
        </is>
      </c>
      <c r="AN63" s="5" t="inlineStr">
        <is>
          <t>Yes</t>
        </is>
      </c>
      <c r="AO63" s="5" t="inlineStr">
        <is>
          <t>Unresolved</t>
        </is>
      </c>
      <c r="AP63" s="5" t="inlineStr">
        <is>
          <t>'Teri Ummeed Tera Intezar', 'Aisi Deewangi', 'Payaliya'</t>
        </is>
      </c>
      <c r="AQ63" s="19" t="inlineStr">
        <is>
          <t>A structurally significant pairing: Kapoor plays the first husband whose return threatens a remarriage, and the romantic-hero function passes visibly to Shah Rukh Khan in his debut. The film also revisits widow remarriage ten years after Prem Rog, with Kapoor now on the opposite side of the arrangement, which makes the two films a useful pair for tracking how his position in a romance changed.</t>
        </is>
      </c>
      <c r="AR63" s="19" t="inlineStr">
        <is>
          <t>Lakshmi Devi's argument for the second marriage is unusually practical for the period, that Kajal is young, childless and will be alone, and the film treats the remarriage as right rather than as a lapse. Kajal's decision to stay with Raja once Ravi resurfaces is also allowed to stand, which is more agency than the situation usually grants a heroine. What the article's account leaves unresolved is what the film finally does with the first husband.</t>
        </is>
      </c>
      <c r="AS63" s="5" t="inlineStr">
        <is>
          <t>SOURCE-001; SOURCE-081</t>
        </is>
      </c>
      <c r="AT63" s="5" t="inlineStr">
        <is>
          <t>High</t>
        </is>
      </c>
    </row>
    <row r="64" ht="109" customHeight="1">
      <c r="A64" s="15" t="inlineStr">
        <is>
          <t>PAIR-063</t>
        </is>
      </c>
      <c r="B64" s="18" t="inlineStr">
        <is>
          <t>FILM-089</t>
        </is>
      </c>
      <c r="C64" s="5" t="inlineStr">
        <is>
          <t>Bol Radha Bol</t>
        </is>
      </c>
      <c r="D64" s="17" t="n">
        <v>1992</v>
      </c>
      <c r="E64" s="5" t="inlineStr">
        <is>
          <t>Kishan Malhotra</t>
        </is>
      </c>
      <c r="F64" s="5" t="inlineStr">
        <is>
          <t>Juhi Chawla</t>
        </is>
      </c>
      <c r="G64" s="5" t="inlineStr">
        <is>
          <t>Radha</t>
        </is>
      </c>
      <c r="H64" s="5" t="inlineStr">
        <is>
          <t>Female lead</t>
        </is>
      </c>
      <c r="I64" s="5" t="inlineStr">
        <is>
          <t>Yes</t>
        </is>
      </c>
      <c r="J64" s="19" t="inlineStr">
        <is>
          <t>Relationship manipulated by outsiders</t>
        </is>
      </c>
      <c r="K64" s="5" t="inlineStr">
        <is>
          <t>Strangers; he comes to her village on business</t>
        </is>
      </c>
      <c r="L64" s="5" t="inlineStr">
        <is>
          <t>Kishan travels to a village to look into business prospects and meets Radha, a village belle; alongside his work he begins teaching English to her and others, and the two slowly fall in love.</t>
        </is>
      </c>
      <c r="M64" s="5" t="inlineStr">
        <is>
          <t>Mutual, growing out of the lessons</t>
        </is>
      </c>
      <c r="N64" s="19" t="inlineStr">
        <is>
          <t>Conducted through teaching, which gives the courtship a pretext and a rhythm; he leaves with a promise to return, and everything afterwards is about that promise being impersonated.</t>
        </is>
      </c>
      <c r="O64" s="19" t="inlineStr">
        <is>
          <t>Unhurried and mutual, then tested by her believing he has forgotten her while an impostor wears his face.</t>
        </is>
      </c>
      <c r="P64" s="19" t="inlineStr">
        <is>
          <t>She sees a man she takes to be Kishan partying with other women and concludes he has abandoned her.</t>
        </is>
      </c>
      <c r="Q64" s="20" t="n">
        <v>3</v>
      </c>
      <c r="R64" s="19" t="inlineStr">
        <is>
          <t>There is no real conflict between Kishan and Radha; the apparent betrayal she witnesses is Tony Montana, not him. The friction is entirely a product of the substitution, and it is dispelled as soon as the real Kishan can reach her and explain.</t>
        </is>
      </c>
      <c r="S64" s="20" t="n">
        <v>8</v>
      </c>
      <c r="T64" s="5" t="inlineStr">
        <is>
          <t>Villain; Family; Crime</t>
        </is>
      </c>
      <c r="U64" s="19" t="inlineStr">
        <is>
          <t>An exact double takes Kishan's identity, his house and his business, backed by the cousin he had banished for fraud; the impostor knows about Radha, his own dog goes to the double, he is thrown out of his home and arrested at his own office, and his mother has been killed in what he comes to suspect was no accident.</t>
        </is>
      </c>
      <c r="V64" s="20" t="n">
        <v>6</v>
      </c>
      <c r="W64" s="19" t="inlineStr">
        <is>
          <t>The courtship is charming and central to the first half, and the romance is one of the two things he is fighting to recover, alongside his name. It sits in the middle band because the second half is a thriller about identity in which Radha becomes an ally rather than an object of pursuit.</t>
        </is>
      </c>
      <c r="X64" s="20" t="n">
        <v>8</v>
      </c>
      <c r="Y64" s="20" t="n">
        <v>7</v>
      </c>
      <c r="Z64" s="20" t="n">
        <v>7</v>
      </c>
      <c r="AA64" s="20" t="n">
        <v>7</v>
      </c>
      <c r="AB64" s="20" t="n">
        <v>7</v>
      </c>
      <c r="AC64" s="19" t="inlineStr">
        <is>
          <t>Interpretive reading; no located review assesses this pairing. The second of eleven Kapoor and Juhi Chawla films, and the double-role premise asks him to be both the man she loves and the man she thinks has betrayed her, with her recognition of the difference as the hinge.</t>
        </is>
      </c>
      <c r="AD64" s="5" t="inlineStr">
        <is>
          <t>Yes</t>
        </is>
      </c>
      <c r="AE64" s="5" t="inlineStr">
        <is>
          <t>No</t>
        </is>
      </c>
      <c r="AF64" s="5" t="inlineStr">
        <is>
          <t>Partial</t>
        </is>
      </c>
      <c r="AG64" s="5" t="inlineStr">
        <is>
          <t>Yes</t>
        </is>
      </c>
      <c r="AH64" s="5" t="inlineStr">
        <is>
          <t>Yes</t>
        </is>
      </c>
      <c r="AI64" s="5" t="inlineStr">
        <is>
          <t>No</t>
        </is>
      </c>
      <c r="AJ64" s="5" t="inlineStr">
        <is>
          <t>Yes</t>
        </is>
      </c>
      <c r="AK64" s="19" t="inlineStr">
        <is>
          <t>From an industrialist secure in his name to a man with no proof he is himself, whose only remaining credential is that Radha believes him.</t>
        </is>
      </c>
      <c r="AL64" s="19" t="inlineStr">
        <is>
          <t>From a village girl learning English to a woman who travels to the city, is deceived by a double, and then joins the plan to expose him.</t>
        </is>
      </c>
      <c r="AM64" s="5" t="inlineStr">
        <is>
          <t>He stops her leaving, explains the substitution, and the two of them with the escaped convict Goonga go to Goa to expose Tony Montana.</t>
        </is>
      </c>
      <c r="AN64" s="5" t="inlineStr">
        <is>
          <t>Unclear</t>
        </is>
      </c>
      <c r="AO64" s="5" t="inlineStr">
        <is>
          <t>Unresolved</t>
        </is>
      </c>
      <c r="AP64" s="5" t="inlineStr">
        <is>
          <t>'Tu Tu Tu Tu Tara', 'Bol Radha Bol'</t>
        </is>
      </c>
      <c r="AQ64" s="19" t="inlineStr">
        <is>
          <t>A courtship built on teaching and then attacked by impersonation, so the romance becomes the film's test of identity: the dog is fooled, the household is fooled, and Radha is the one who can be brought to see the difference. Recording it as manipulated by outsiders rather than as deception is deliberate, since the lie is told about him rather than by him.</t>
        </is>
      </c>
      <c r="AR64" s="19" t="inlineStr">
        <is>
          <t>The film gives Radha an active part in the recovery rather than leaving her to be won back, and her initial conclusion that he has forgotten her is treated as reasonable rather than as faithlessness. The class and city-village gap between them is used for comedy and never becomes an obstacle, which is unusual for the pattern.</t>
        </is>
      </c>
      <c r="AS64" s="5" t="inlineStr">
        <is>
          <t>SOURCE-001; SOURCE-082</t>
        </is>
      </c>
      <c r="AT64" s="5" t="inlineStr">
        <is>
          <t>Medium</t>
        </is>
      </c>
    </row>
    <row r="65" ht="109" customHeight="1">
      <c r="A65" s="15" t="inlineStr">
        <is>
          <t>PAIR-064</t>
        </is>
      </c>
      <c r="B65" s="18" t="inlineStr">
        <is>
          <t>FILM-092</t>
        </is>
      </c>
      <c r="C65" s="5" t="inlineStr">
        <is>
          <t>Shreemaan Aashique</t>
        </is>
      </c>
      <c r="D65" s="17" t="n">
        <v>1993</v>
      </c>
      <c r="E65" s="5" t="inlineStr">
        <is>
          <t>Dushant Kumar Mehra</t>
        </is>
      </c>
      <c r="F65" s="5" t="inlineStr">
        <is>
          <t>Urmila Matondkar</t>
        </is>
      </c>
      <c r="G65" s="5" t="inlineStr">
        <is>
          <t>Shakuntala, called Shaku</t>
        </is>
      </c>
      <c r="H65" s="5" t="inlineStr">
        <is>
          <t>Female lead</t>
        </is>
      </c>
      <c r="I65" s="5" t="inlineStr">
        <is>
          <t>Yes</t>
        </is>
      </c>
      <c r="J65" s="19" t="inlineStr">
        <is>
          <t>Love triangle</t>
        </is>
      </c>
      <c r="K65" s="5" t="inlineStr">
        <is>
          <t>Strangers who meet on holiday</t>
        </is>
      </c>
      <c r="L65" s="5" t="inlineStr">
        <is>
          <t>Dushyant travels to a hill station on holiday and runs into Shakuntala, who falls in love with him.</t>
        </is>
      </c>
      <c r="M65" s="5" t="inlineStr">
        <is>
          <t>Shakuntala, entirely and against his resistance</t>
        </is>
      </c>
      <c r="N65" s="19" t="inlineStr">
        <is>
          <t>Reversed: she pursues a man sworn to bachelorhood, he rebuffs her, she persists, and he reciprocates only after her persistence has worn the vow down.</t>
        </is>
      </c>
      <c r="O65" s="19" t="inlineStr">
        <is>
          <t>Her open determination against his evasion, and once he yields, a shared problem in the form of his uncle.</t>
        </is>
      </c>
      <c r="P65" s="19" t="inlineStr">
        <is>
          <t>He has promised his uncle he will never marry and rebuffs her on the strength of it.</t>
        </is>
      </c>
      <c r="Q65" s="20" t="n">
        <v>4</v>
      </c>
      <c r="R65" s="19" t="inlineStr">
        <is>
          <t>The rebuffs are real and repeated, and they come from him. It is not hostility but a standing refusal she has to overcome, which is friction located inside the pair rather than imposed on it.</t>
        </is>
      </c>
      <c r="S65" s="20" t="n">
        <v>6</v>
      </c>
      <c r="T65" s="5" t="inlineStr">
        <is>
          <t>Family</t>
        </is>
      </c>
      <c r="U65" s="19" t="inlineStr">
        <is>
          <t>Professor Vishwamitra, who runs an association of confirmed single men, extracted the vow and is upset when it is broken; he then falls in love with Shakuntala himself, which turns the guardian into the rival. His parents, unusually, are on the side of the marriage.</t>
        </is>
      </c>
      <c r="V65" s="20" t="n">
        <v>5</v>
      </c>
      <c r="W65" s="19" t="inlineStr">
        <is>
          <t>Kapoor spends the first half of the film refusing romance rather than pursuing it, which is the archetype's opposite, and the courtship energy belongs to Urmila Matondkar. He scores in the middle band because once he yields he commits against his uncle, but nothing in the role is organised around wooing.</t>
        </is>
      </c>
      <c r="X65" s="20" t="n">
        <v>9</v>
      </c>
      <c r="Y65" s="20" t="n">
        <v>7</v>
      </c>
      <c r="Z65" s="20" t="n">
        <v>6</v>
      </c>
      <c r="AA65" s="20" t="n">
        <v>8</v>
      </c>
      <c r="AB65" s="20" t="n">
        <v>7</v>
      </c>
      <c r="AC65" s="19" t="inlineStr">
        <is>
          <t>Interpretive reading; no located review assesses this pairing. The comedy depends on her being more forceful than he is, and the article's account gives her every initiative in the relationship.</t>
        </is>
      </c>
      <c r="AD65" s="5" t="inlineStr">
        <is>
          <t>Yes</t>
        </is>
      </c>
      <c r="AE65" s="5" t="inlineStr">
        <is>
          <t>No</t>
        </is>
      </c>
      <c r="AF65" s="5" t="inlineStr">
        <is>
          <t>Partial</t>
        </is>
      </c>
      <c r="AG65" s="5" t="inlineStr">
        <is>
          <t>No</t>
        </is>
      </c>
      <c r="AH65" s="5" t="inlineStr">
        <is>
          <t>No</t>
        </is>
      </c>
      <c r="AI65" s="5" t="inlineStr">
        <is>
          <t>Partial</t>
        </is>
      </c>
      <c r="AJ65" s="5" t="inlineStr">
        <is>
          <t>Partial</t>
        </is>
      </c>
      <c r="AK65" s="19" t="inlineStr">
        <is>
          <t>From a man defined by a promise never to marry to one who breaks it against the person he made it to.</t>
        </is>
      </c>
      <c r="AL65" s="19" t="inlineStr">
        <is>
          <t>Not documented; her persistence is constant from her first appearance.</t>
        </is>
      </c>
      <c r="AM65" s="5" t="inlineStr">
        <is>
          <t>The article records that Dushyant and Shakuntala end up together.</t>
        </is>
      </c>
      <c r="AN65" s="5" t="inlineStr">
        <is>
          <t>Yes</t>
        </is>
      </c>
      <c r="AO65" s="5" t="inlineStr">
        <is>
          <t>Happy</t>
        </is>
      </c>
      <c r="AP65" s="5" t="n"/>
      <c r="AQ65" s="19" t="inlineStr">
        <is>
          <t>One of very few films in the filmography in which the woman is the pursuer throughout and the Kapoor character the reluctant party. Female agency at eight is earned by the structure rather than by anything the film says about her: she does all the courting, and his arc is simply to stop refusing.</t>
        </is>
      </c>
      <c r="AR65" s="19" t="inlineStr">
        <is>
          <t>The premise, an association of men vowed against marriage, is played as farce and the film's sympathies are with the woman battering it down. The uncle's late infatuation with the same woman is the one element that turns uncomfortable, since it makes her the object of a contest between nephew and guardian rather than a party to her own courtship.</t>
        </is>
      </c>
      <c r="AS65" s="5" t="inlineStr">
        <is>
          <t>SOURCE-001; SOURCE-085</t>
        </is>
      </c>
      <c r="AT65" s="5" t="inlineStr">
        <is>
          <t>Low</t>
        </is>
      </c>
    </row>
    <row r="66" ht="139" customHeight="1">
      <c r="A66" s="15" t="inlineStr">
        <is>
          <t>PAIR-065</t>
        </is>
      </c>
      <c r="B66" s="18" t="inlineStr">
        <is>
          <t>FILM-093</t>
        </is>
      </c>
      <c r="C66" s="5" t="inlineStr">
        <is>
          <t>Damini</t>
        </is>
      </c>
      <c r="D66" s="17" t="n">
        <v>1993</v>
      </c>
      <c r="E66" s="5" t="inlineStr">
        <is>
          <t>Shekhar Gupta</t>
        </is>
      </c>
      <c r="F66" s="5" t="inlineStr">
        <is>
          <t>Meenakshi Seshadri</t>
        </is>
      </c>
      <c r="G66" s="5" t="inlineStr">
        <is>
          <t>Damini</t>
        </is>
      </c>
      <c r="H66" s="5" t="inlineStr">
        <is>
          <t>Female lead and title role</t>
        </is>
      </c>
      <c r="I66" s="5" t="inlineStr">
        <is>
          <t>Yes</t>
        </is>
      </c>
      <c r="J66" s="19" t="inlineStr">
        <is>
          <t>Marriage under strain</t>
        </is>
      </c>
      <c r="K66" s="5" t="inlineStr">
        <is>
          <t>Strangers; he sees her perform</t>
        </is>
      </c>
      <c r="L66" s="5" t="inlineStr">
        <is>
          <t>Shekhar falls in love at first sight after watching Damini's dance performance at a charity event.</t>
        </is>
      </c>
      <c r="M66" s="5" t="inlineStr">
        <is>
          <t>Shekhar</t>
        </is>
      </c>
      <c r="N66" s="19" t="inlineStr">
        <is>
          <t>Brief and untroubled, and over within the film's opening movement: he marries her across a sharp class divide and she moves into the Gupta bungalow. Everything that matters happens afterwards.</t>
        </is>
      </c>
      <c r="O66" s="19" t="inlineStr">
        <is>
          <t>Genuine affection on both sides, progressively unable to survive what his family requires of her.</t>
        </is>
      </c>
      <c r="P66" s="19" t="inlineStr">
        <is>
          <t>She witnesses his brother and his friends gang-raping the family's maid and resolves to testify; he asks her not to speak to the police, and then cannot protect her from his family's lawyer.</t>
        </is>
      </c>
      <c r="Q66" s="20" t="n">
        <v>7</v>
      </c>
      <c r="R66" s="19" t="inlineStr">
        <is>
          <t>The rupture is squarely between them: Shekhar tries to talk his wife out of going to the police, which puts him on his family's side at the decisive moment. He objects to what they do to her afterwards and never acts against them, and she is committed to a mental institution on his family's motion while he is still objecting. That is conflict inside the marriage, not opposition from outside it.</t>
        </is>
      </c>
      <c r="S66" s="20" t="n">
        <v>8</v>
      </c>
      <c r="T66" s="5" t="inlineStr">
        <is>
          <t>Family; Class; Crime</t>
        </is>
      </c>
      <c r="U66" s="19" t="inlineStr">
        <is>
          <t>The Gupta family conspires to bury the rape; Tolu Bajaj bribes the police to escalate it in order to damage them; the barrister Chaddha portrays Damini in court as mentally unstable and has her confined by judicial order for two weeks; and inside the institution Rakesh asks a doctor to make her genuinely ill or kill her and pass it off as suicide.</t>
        </is>
      </c>
      <c r="V66" s="20" t="n">
        <v>4</v>
      </c>
      <c r="W66" s="19" t="inlineStr">
        <is>
          <t>The film opens with a full romantic gesture, love at first sight and a marriage across class, and then systematically dismantles it. Shekhar's defining acts are failures of nerve rather than devotion, and the man who actually fights for Damini is a stranger, the alcoholic advocate Govind. The score records real initial ardour against a role whose function is insufficiency.</t>
        </is>
      </c>
      <c r="X66" s="20" t="n">
        <v>8</v>
      </c>
      <c r="Y66" s="20" t="n">
        <v>4</v>
      </c>
      <c r="Z66" s="20" t="n">
        <v>5</v>
      </c>
      <c r="AA66" s="20" t="n">
        <v>9</v>
      </c>
      <c r="AB66" s="20" t="n">
        <v>7</v>
      </c>
      <c r="AC66" s="19" t="inlineStr">
        <is>
          <t>Interpretive reading; no located review assesses this pairing. The part requires Kapoor to be sympathetic and inadequate at once, a husband the audience believes loves his wife and still watches him fail her, and the early courtship has to be warm enough to make the later collapse land.</t>
        </is>
      </c>
      <c r="AD66" s="5" t="inlineStr">
        <is>
          <t>Partial</t>
        </is>
      </c>
      <c r="AE66" s="5" t="inlineStr">
        <is>
          <t>Yes</t>
        </is>
      </c>
      <c r="AF66" s="5" t="inlineStr">
        <is>
          <t>No</t>
        </is>
      </c>
      <c r="AG66" s="5" t="inlineStr">
        <is>
          <t>Partial</t>
        </is>
      </c>
      <c r="AH66" s="5" t="inlineStr">
        <is>
          <t>Yes</t>
        </is>
      </c>
      <c r="AI66" s="5" t="inlineStr">
        <is>
          <t>No</t>
        </is>
      </c>
      <c r="AJ66" s="5" t="inlineStr">
        <is>
          <t>No</t>
        </is>
      </c>
      <c r="AK66" s="19" t="inlineStr">
        <is>
          <t>From an ardent husband to a man whose decency is exhausted by objecting to his family while his wife is institutionalised.</t>
        </is>
      </c>
      <c r="AL66" s="19" t="inlineStr">
        <is>
          <t>From a woman who raises her voice against injustice to one who acts on it at the cost of her home, her liberty and nearly her life, and who escapes the institution alone.</t>
        </is>
      </c>
      <c r="AM66" s="5" t="inlineStr">
        <is>
          <t>Not documented in full; the article records Shekhar becoming upset with his family while the Guptas and Bajaj reconcile, and Damini escaping and finding Govind.</t>
        </is>
      </c>
      <c r="AN66" s="5" t="inlineStr">
        <is>
          <t>Yes</t>
        </is>
      </c>
      <c r="AO66" s="5" t="inlineStr">
        <is>
          <t>Unresolved</t>
        </is>
      </c>
      <c r="AP66" s="5" t="n"/>
      <c r="AQ66" s="19" t="inlineStr">
        <is>
          <t>Female agency at nine is the highest reading in the filmography, and it is earned against her husband rather than with him: Damini's every consequential act is taken in opposition to the family Shekhar will not break with. The pairing is the fullest statement of the role type Kapoor occupied through the 1990s, the decent husband who is not equal to the moment, which runs from Ghar Ghar Ki Kahani through Saajan Ka Ghar to this.</t>
        </is>
      </c>
      <c r="AR66" s="19" t="inlineStr">
        <is>
          <t>The film is unambiguous that the cover-up is monstrous and that the courts and psychiatry are available as instruments of it, which is why it endured. Its treatment of Shekhar is its most interesting choice: he is not a villain and is never redeemed either, and the film declines to let marital affection count as a defence. The rape of the maid Urmi remains a device, and she is given far less interiority than the wife who witnesses it.</t>
        </is>
      </c>
      <c r="AS66" s="5" t="inlineStr">
        <is>
          <t>SOURCE-001; SOURCE-086</t>
        </is>
      </c>
      <c r="AT66" s="5" t="inlineStr">
        <is>
          <t>Medium</t>
        </is>
      </c>
    </row>
    <row r="67" ht="79" customHeight="1">
      <c r="A67" s="15" t="inlineStr">
        <is>
          <t>PAIR-066</t>
        </is>
      </c>
      <c r="B67" s="18" t="inlineStr">
        <is>
          <t>FILM-095</t>
        </is>
      </c>
      <c r="C67" s="5" t="inlineStr">
        <is>
          <t>Izzat Ki Roti</t>
        </is>
      </c>
      <c r="D67" s="17" t="n">
        <v>1993</v>
      </c>
      <c r="E67" s="5" t="inlineStr">
        <is>
          <t>Krishna</t>
        </is>
      </c>
      <c r="F67" s="5" t="inlineStr">
        <is>
          <t>Farah</t>
        </is>
      </c>
      <c r="G67" s="5" t="inlineStr">
        <is>
          <t>Pinky</t>
        </is>
      </c>
      <c r="H67" s="5" t="inlineStr">
        <is>
          <t>Supporting female lead</t>
        </is>
      </c>
      <c r="I67" s="5" t="inlineStr">
        <is>
          <t>No</t>
        </is>
      </c>
      <c r="J67" s="19" t="inlineStr">
        <is>
          <t>Established relationship</t>
        </is>
      </c>
      <c r="K67" s="5" t="inlineStr">
        <is>
          <t>Not documented</t>
        </is>
      </c>
      <c r="L67" s="5" t="inlineStr">
        <is>
          <t>Not documented; the article records only that Krishna loves Pinky and marries her.</t>
        </is>
      </c>
      <c r="M67" s="5" t="inlineStr">
        <is>
          <t>Not documented</t>
        </is>
      </c>
      <c r="N67" s="19" t="inlineStr">
        <is>
          <t>Not documented. The marriage is stated in a single clause and the film's attention is on the two brothers and the returning father.</t>
        </is>
      </c>
      <c r="O67" s="19" t="inlineStr">
        <is>
          <t>Not documented.</t>
        </is>
      </c>
      <c r="P67" s="19" t="inlineStr">
        <is>
          <t>None recorded between them.</t>
        </is>
      </c>
      <c r="Q67" s="20" t="n">
        <v>2</v>
      </c>
      <c r="R67" s="19" t="inlineStr">
        <is>
          <t>No conflict between Krishna and Pinky is recorded. Scored low and provisionally: the article gives the marriage a clause and no development.</t>
        </is>
      </c>
      <c r="S67" s="20" t="n">
        <v>5</v>
      </c>
      <c r="T67" s="5" t="inlineStr">
        <is>
          <t>Family; Crime</t>
        </is>
      </c>
      <c r="U67" s="19" t="inlineStr">
        <is>
          <t>Krishna's biological father Veerendra returns from prison and schemes to split the two brothers over their inheritance, which threatens the household the marriage sits inside. Nothing is aimed at the marriage itself.</t>
        </is>
      </c>
      <c r="V67" s="20" t="n">
        <v>3</v>
      </c>
      <c r="W67" s="19" t="inlineStr">
        <is>
          <t>The marriage is settled before the plot engages and produces no courtship, devotion or sacrifice. Kapoor's role is organised around the adoptive brotherhood and the returning father.</t>
        </is>
      </c>
      <c r="X67" s="20" t="n">
        <v>4</v>
      </c>
      <c r="Y67" s="20" t="n">
        <v>6</v>
      </c>
      <c r="Z67" s="20" t="n">
        <v>5</v>
      </c>
      <c r="AA67" s="20" t="n">
        <v>4</v>
      </c>
      <c r="AB67" s="20" t="n">
        <v>5</v>
      </c>
      <c r="AC67" s="19" t="inlineStr">
        <is>
          <t>Interpretive reading; no located review assesses this pairing, and the article documents almost nothing of it. There is not enough recorded interaction to judge.</t>
        </is>
      </c>
      <c r="AD67" s="5" t="inlineStr">
        <is>
          <t>Unclear</t>
        </is>
      </c>
      <c r="AE67" s="5" t="inlineStr">
        <is>
          <t>No</t>
        </is>
      </c>
      <c r="AF67" s="5" t="inlineStr">
        <is>
          <t>No</t>
        </is>
      </c>
      <c r="AG67" s="5" t="inlineStr">
        <is>
          <t>No</t>
        </is>
      </c>
      <c r="AH67" s="5" t="inlineStr">
        <is>
          <t>Unclear</t>
        </is>
      </c>
      <c r="AI67" s="5" t="inlineStr">
        <is>
          <t>Unclear</t>
        </is>
      </c>
      <c r="AJ67" s="5" t="inlineStr">
        <is>
          <t>Unclear</t>
        </is>
      </c>
      <c r="AK67" s="19" t="inlineStr">
        <is>
          <t>Not documented.</t>
        </is>
      </c>
      <c r="AL67" s="19" t="inlineStr">
        <is>
          <t>Not documented.</t>
        </is>
      </c>
      <c r="AM67" s="5" t="inlineStr">
        <is>
          <t>Not documented; the article's resolution concerns the brothers and Jyoti rather than this marriage.</t>
        </is>
      </c>
      <c r="AN67" s="5" t="inlineStr">
        <is>
          <t>Yes</t>
        </is>
      </c>
      <c r="AO67" s="5" t="inlineStr">
        <is>
          <t>Happy</t>
        </is>
      </c>
      <c r="AP67" s="5" t="n"/>
      <c r="AQ67" s="19" t="inlineStr">
        <is>
          <t>Recorded because the article states the marriage directly, but scored thinly throughout. Its only structural interest is the contrast with the film's other couple, Sunny Deol's Jeet and Juhi Chawla's Jyoti, who carry the romance the film is actually interested in.</t>
        </is>
      </c>
      <c r="AR67" s="19" t="inlineStr">
        <is>
          <t>Too little survives to read the film's framing. Pinky is identified in the cast list by her relationships to two men, her husband and her maternal uncle, and the article adds nothing to that.</t>
        </is>
      </c>
      <c r="AS67" s="5" t="inlineStr">
        <is>
          <t>SOURCE-001; SOURCE-087</t>
        </is>
      </c>
      <c r="AT67" s="5" t="inlineStr">
        <is>
          <t>Low</t>
        </is>
      </c>
    </row>
    <row r="68" ht="94" customHeight="1">
      <c r="A68" s="15" t="inlineStr">
        <is>
          <t>PAIR-067</t>
        </is>
      </c>
      <c r="B68" s="18" t="inlineStr">
        <is>
          <t>FILM-099</t>
        </is>
      </c>
      <c r="C68" s="5" t="inlineStr">
        <is>
          <t>Eena Meena Deeka</t>
        </is>
      </c>
      <c r="D68" s="17" t="n">
        <v>1994</v>
      </c>
      <c r="E68" s="5" t="inlineStr">
        <is>
          <t>Indar "Eena"</t>
        </is>
      </c>
      <c r="F68" s="5" t="inlineStr">
        <is>
          <t>Juhi Chawla</t>
        </is>
      </c>
      <c r="G68" s="5" t="inlineStr">
        <is>
          <t>Meena</t>
        </is>
      </c>
      <c r="H68" s="5" t="inlineStr">
        <is>
          <t>Female lead</t>
        </is>
      </c>
      <c r="I68" s="5" t="inlineStr">
        <is>
          <t>Yes</t>
        </is>
      </c>
      <c r="J68" s="19" t="inlineStr">
        <is>
          <t>Romance subordinate to another genre</t>
        </is>
      </c>
      <c r="K68" s="5" t="inlineStr">
        <is>
          <t>Strangers; she is abducted by his companion</t>
        </is>
      </c>
      <c r="L68" s="5" t="inlineStr">
        <is>
          <t>Deeka kidnaps Meena, the daughter of DCP Ujwal Raja Bully, as leverage while trying to force Eena to confess and clear his name; Eena and Meena fall in love afterwards.</t>
        </is>
      </c>
      <c r="M68" s="5" t="inlineStr">
        <is>
          <t>Not documented; the attachment forms during her captivity</t>
        </is>
      </c>
      <c r="N68" s="19" t="inlineStr">
        <is>
          <t>Begins with her abduction and proceeds in flight, so the courtship is conducted between a hostage and one of the two men holding her.</t>
        </is>
      </c>
      <c r="O68" s="19" t="inlineStr">
        <is>
          <t>Not documented beyond the fact of the attachment and its improbable origin.</t>
        </is>
      </c>
      <c r="P68" s="19" t="inlineStr">
        <is>
          <t>She is a captive and he is a bank robber unwilling to confess to the crime that put them all in flight.</t>
        </is>
      </c>
      <c r="Q68" s="20" t="n">
        <v>3</v>
      </c>
      <c r="R68" s="19" t="inlineStr">
        <is>
          <t>No quarrel between them is recorded, and the film treats the situation comically. The friction is the circumstance rather than anything between the two, which is why it is scored low despite the abduction.</t>
        </is>
      </c>
      <c r="S68" s="20" t="n">
        <v>6</v>
      </c>
      <c r="T68" s="5" t="inlineStr">
        <is>
          <t>Family; Crime; Villain</t>
        </is>
      </c>
      <c r="U68" s="19" t="inlineStr">
        <is>
          <t>Her father is a Deputy Commissioner of Police pursuing them; Bhujang, who kidnapped Deeka as a child, wants his own son Sunny to marry Meena; and a police manhunt runs under the whole romance.</t>
        </is>
      </c>
      <c r="V68" s="20" t="n">
        <v>4</v>
      </c>
      <c r="W68" s="19" t="inlineStr">
        <is>
          <t>Eena's governing motive is money for his mother's treatment and then avoiding the confession that would clear Deeka. The romance arrives late and is resolved by the plot's general amnesty rather than by anything he does for it.</t>
        </is>
      </c>
      <c r="X68" s="20" t="n">
        <v>5</v>
      </c>
      <c r="Y68" s="20" t="n">
        <v>5</v>
      </c>
      <c r="Z68" s="20" t="n">
        <v>5</v>
      </c>
      <c r="AA68" s="20" t="n">
        <v>4</v>
      </c>
      <c r="AB68" s="20" t="n">
        <v>6</v>
      </c>
      <c r="AC68" s="19" t="inlineStr">
        <is>
          <t>Interpretive reading; no located review assesses this pairing. The fourth of eleven Kapoor and Juhi Chawla films, three of them released in 1994 alone, and the David Dhawan register asks for broad comic playing rather than romantic charge.</t>
        </is>
      </c>
      <c r="AD68" s="5" t="inlineStr">
        <is>
          <t>Yes</t>
        </is>
      </c>
      <c r="AE68" s="5" t="inlineStr">
        <is>
          <t>No</t>
        </is>
      </c>
      <c r="AF68" s="5" t="inlineStr">
        <is>
          <t>No</t>
        </is>
      </c>
      <c r="AG68" s="5" t="inlineStr">
        <is>
          <t>Partial</t>
        </is>
      </c>
      <c r="AH68" s="5" t="inlineStr">
        <is>
          <t>No</t>
        </is>
      </c>
      <c r="AI68" s="5" t="inlineStr">
        <is>
          <t>Partial</t>
        </is>
      </c>
      <c r="AJ68" s="5" t="inlineStr">
        <is>
          <t>Partial</t>
        </is>
      </c>
      <c r="AK68" s="19" t="inlineStr">
        <is>
          <t>From a selfish incompetent who will not own his crime to a man restored to a brother and married.</t>
        </is>
      </c>
      <c r="AL68" s="19" t="inlineStr">
        <is>
          <t>Not documented; she moves from hostage to bride without a recorded change.</t>
        </is>
      </c>
      <c r="AM68" s="5" t="inlineStr">
        <is>
          <t>Eena and Meena marry once Bhujang and his sons are arrested and Deeka is reunited with the family.</t>
        </is>
      </c>
      <c r="AN68" s="5" t="inlineStr">
        <is>
          <t>Yes</t>
        </is>
      </c>
      <c r="AO68" s="5" t="inlineStr">
        <is>
          <t>Happy</t>
        </is>
      </c>
      <c r="AP68" s="5" t="n"/>
      <c r="AQ68" s="19" t="inlineStr">
        <is>
          <t>A comedy romance whose origin is an abduction, recorded because the article states both the kidnapping and the subsequent love plainly. It belongs with Barood (1976) among the small group of films in which a Kapoor character's romance begins in the instrumental use of a woman, though here the instrument is his brother's rather than his own.</t>
        </is>
      </c>
      <c r="AR68" s="19" t="inlineStr">
        <is>
          <t>The film treats the kidnapping of a police officer's daughter as a comic premise and her falling in love with one of her captors as an unremarkable development, which is the period's convention and reads poorly now. Meena is given no recorded response to her own abduction.</t>
        </is>
      </c>
      <c r="AS68" s="5" t="inlineStr">
        <is>
          <t>SOURCE-001; SOURCE-094</t>
        </is>
      </c>
      <c r="AT68" s="5" t="inlineStr">
        <is>
          <t>Low</t>
        </is>
      </c>
    </row>
    <row r="69" ht="124" customHeight="1">
      <c r="A69" s="15" t="inlineStr">
        <is>
          <t>PAIR-068</t>
        </is>
      </c>
      <c r="B69" s="18" t="inlineStr">
        <is>
          <t>FILM-100</t>
        </is>
      </c>
      <c r="C69" s="5" t="inlineStr">
        <is>
          <t>Saajan Ka Ghar</t>
        </is>
      </c>
      <c r="D69" s="17" t="n">
        <v>1994</v>
      </c>
      <c r="E69" s="5" t="inlineStr">
        <is>
          <t>Amar Khanna</t>
        </is>
      </c>
      <c r="F69" s="5" t="inlineStr">
        <is>
          <t>Juhi Chawla</t>
        </is>
      </c>
      <c r="G69" s="5" t="inlineStr">
        <is>
          <t>Laxmi Khanna</t>
        </is>
      </c>
      <c r="H69" s="5" t="inlineStr">
        <is>
          <t>Female lead</t>
        </is>
      </c>
      <c r="I69" s="5" t="inlineStr">
        <is>
          <t>Yes</t>
        </is>
      </c>
      <c r="J69" s="19" t="inlineStr">
        <is>
          <t>Marriage under strain</t>
        </is>
      </c>
      <c r="K69" s="5" t="inlineStr">
        <is>
          <t>Strangers married by her father and stepmother</t>
        </is>
      </c>
      <c r="L69" s="5" t="inlineStr">
        <is>
          <t>They do not meet before the wedding. Laxmi's father Dhanraj and her stepmother, who have mistreated her since her birth, arrange her marriage to Amar, an army officer.</t>
        </is>
      </c>
      <c r="M69" s="5" t="inlineStr">
        <is>
          <t>Neither; the marriage is arranged by the family that wanted rid of her</t>
        </is>
      </c>
      <c r="N69" s="19" t="inlineStr">
        <is>
          <t>None. The film begins the relationship at the wedding and is concerned with a medical secret and its consequences rather than with courtship.</t>
        </is>
      </c>
      <c r="O69" s="19" t="inlineStr">
        <is>
          <t>Affection constrained by a fact he will not tell her, and then by his flight from what the concealment produced.</t>
        </is>
      </c>
      <c r="P69" s="19" t="inlineStr">
        <is>
          <t>After her miscarriage he is told she will die if she carries another pregnancy to term, and decides to tell nobody, including her; she overhears, resolves to have a child anyway, and provokes him into the night that will kill her.</t>
        </is>
      </c>
      <c r="Q69" s="20" t="n">
        <v>7</v>
      </c>
      <c r="R69" s="19" t="inlineStr">
        <is>
          <t>The friction is entirely internal and largely his: a concealment that deprives her of the one fact she most needed, followed by a night he was provoked into and was horrified by, followed by his departure for duty instead of consulting a doctor or discussing an abortion. His mother's murder plot is external, but the marriage's wound is his own.</t>
        </is>
      </c>
      <c r="S69" s="20" t="n">
        <v>8</v>
      </c>
      <c r="T69" s="5" t="inlineStr">
        <is>
          <t>Family; Illness</t>
        </is>
      </c>
      <c r="U69" s="19" t="inlineStr">
        <is>
          <t>Her own father and stepmother abused her from birth and blamed her for her brother's amputation; Amar's mother plots her murder when she does not conceive, and later slaps her and throws her out of the house, after which she works in the village and sleeps in a barn. The medical condition itself is the other implacable fact.</t>
        </is>
      </c>
      <c r="V69" s="20" t="n">
        <v>3</v>
      </c>
      <c r="W69" s="19" t="inlineStr">
        <is>
          <t>Amar's intention towards his wife is protective and the concealment is meant kindly, but nothing in the role is courtship, devotion or sacrifice, and his decisive act is to leave. The register is a husband failing rather than a lover.</t>
        </is>
      </c>
      <c r="X69" s="20" t="n">
        <v>9</v>
      </c>
      <c r="Y69" s="20" t="n">
        <v>3</v>
      </c>
      <c r="Z69" s="20" t="n">
        <v>4</v>
      </c>
      <c r="AA69" s="20" t="n">
        <v>7</v>
      </c>
      <c r="AB69" s="20" t="n">
        <v>6</v>
      </c>
      <c r="AC69" s="19" t="inlineStr">
        <is>
          <t>Interpretive reading; no located review assesses this pairing. Juhi Chawla is first-billed and the film is Laxmi's ordeal; Kapoor's part is to be well-meaning and absent, which gives the pairing little to build on by design.</t>
        </is>
      </c>
      <c r="AD69" s="5" t="inlineStr">
        <is>
          <t>No</t>
        </is>
      </c>
      <c r="AE69" s="5" t="inlineStr">
        <is>
          <t>Yes</t>
        </is>
      </c>
      <c r="AF69" s="5" t="inlineStr">
        <is>
          <t>No</t>
        </is>
      </c>
      <c r="AG69" s="5" t="inlineStr">
        <is>
          <t>Yes</t>
        </is>
      </c>
      <c r="AH69" s="5" t="inlineStr">
        <is>
          <t>Yes</t>
        </is>
      </c>
      <c r="AI69" s="5" t="inlineStr">
        <is>
          <t>Partial</t>
        </is>
      </c>
      <c r="AJ69" s="5" t="inlineStr">
        <is>
          <t>No</t>
        </is>
      </c>
      <c r="AK69" s="19" t="inlineStr">
        <is>
          <t>From a husband protecting his wife by silence to one whose silence produced the pregnancy that will kill her, and who goes off to duty rather than face it.</t>
        </is>
      </c>
      <c r="AL69" s="19" t="inlineStr">
        <is>
          <t>From a woman mistreated by her own family into a marriage to one who chooses a fatal pregnancy as the only decision available to her, and is then thrown out to sleep in a barn.</t>
        </is>
      </c>
      <c r="AM69" s="5" t="inlineStr">
        <is>
          <t>Not documented in full; he departs for duty and the article follows Laxmi, evicted by his mother and giving birth alone.</t>
        </is>
      </c>
      <c r="AN69" s="5" t="inlineStr">
        <is>
          <t>Yes</t>
        </is>
      </c>
      <c r="AO69" s="5" t="inlineStr">
        <is>
          <t>Unresolved</t>
        </is>
      </c>
      <c r="AP69" s="5" t="n"/>
      <c r="AQ69" s="19" t="inlineStr">
        <is>
          <t>The most severe of the 1990s failing-husband roles: pair friction at seven with external opposition at eight, and a wife worse off at every stage of the marriage. What distinguishes it from Damini is that here the husband's failure is an act of intended kindness, which the film shows producing a worse outcome than candour would have.</t>
        </is>
      </c>
      <c r="AR69" s="19" t="inlineStr">
        <is>
          <t>The article's own account is damning without editorialising: rather than consult a doctor or discuss a termination, Amar leaves for duty. The film's melodramatic machinery treats Laxmi's decision to risk death for a child as noble womanhood, which is the framing to resist; read now, it is a woman with no other means of asserting anything, handed a fatal choice because her husband would not give her a fact.</t>
        </is>
      </c>
      <c r="AS69" s="5" t="inlineStr">
        <is>
          <t>SOURCE-001; SOURCE-092</t>
        </is>
      </c>
      <c r="AT69" s="5" t="inlineStr">
        <is>
          <t>Medium</t>
        </is>
      </c>
    </row>
    <row r="70" ht="94" customHeight="1">
      <c r="A70" s="15" t="inlineStr">
        <is>
          <t>PAIR-069</t>
        </is>
      </c>
      <c r="B70" s="18" t="inlineStr">
        <is>
          <t>FILM-101</t>
        </is>
      </c>
      <c r="C70" s="5" t="inlineStr">
        <is>
          <t>Pehla Pehla Pyar</t>
        </is>
      </c>
      <c r="D70" s="17" t="n">
        <v>1994</v>
      </c>
      <c r="E70" s="5" t="inlineStr">
        <is>
          <t>Raj</t>
        </is>
      </c>
      <c r="F70" s="5" t="inlineStr">
        <is>
          <t>Tabu</t>
        </is>
      </c>
      <c r="G70" s="5" t="inlineStr">
        <is>
          <t>Sapna</t>
        </is>
      </c>
      <c r="H70" s="5" t="inlineStr">
        <is>
          <t>Female lead</t>
        </is>
      </c>
      <c r="I70" s="5" t="inlineStr">
        <is>
          <t>Yes</t>
        </is>
      </c>
      <c r="J70" s="19" t="inlineStr">
        <is>
          <t>Playful conflict masking attraction</t>
        </is>
      </c>
      <c r="K70" s="5" t="inlineStr">
        <is>
          <t>Strangers; she arrives as an unwanted encumbrance</t>
        </is>
      </c>
      <c r="L70" s="5" t="inlineStr">
        <is>
          <t>Sapna runs away from her aristocratic home, fed up with the hatred and family politics in it, and meets Raj, to whom she is attracted.</t>
        </is>
      </c>
      <c r="M70" s="5" t="inlineStr">
        <is>
          <t>Sapna, by attaching herself to him; his first instinct is to get rid of her</t>
        </is>
      </c>
      <c r="N70" s="19" t="inlineStr">
        <is>
          <t>The reluctant-host pattern of Roman Holiday: he wants her off his hands, keeps her anyway, and falls in love in the course of trying to be rid of her, after which the courtship becomes a flight.</t>
        </is>
      </c>
      <c r="O70" s="19" t="inlineStr">
        <is>
          <t>Her interest against his irritation, resolving into a shared predicament once her family starts hunting her.</t>
        </is>
      </c>
      <c r="P70" s="19" t="inlineStr">
        <is>
          <t>He does not want her there and spends the first stretch trying to hand her back.</t>
        </is>
      </c>
      <c r="Q70" s="20" t="n">
        <v>4</v>
      </c>
      <c r="R70" s="19" t="inlineStr">
        <is>
          <t>The friction is his resistance to her presence, which is real and sustained before it converts. It is comic rather than hostile, and it sits inside the pair rather than being imposed on it.</t>
        </is>
      </c>
      <c r="S70" s="20" t="n">
        <v>8</v>
      </c>
      <c r="T70" s="5" t="inlineStr">
        <is>
          <t>Family; Class</t>
        </is>
      </c>
      <c r="U70" s="19" t="inlineStr">
        <is>
          <t>The aristocratic household she fled puts up a reward for information on her whereabouts, which turns the relationship into a pursuit and forces the pair onto the run; Amrish Puri and Gulshan Grover play the family's enforcers.</t>
        </is>
      </c>
      <c r="V70" s="20" t="n">
        <v>6</v>
      </c>
      <c r="W70" s="19" t="inlineStr">
        <is>
          <t>Kapoor begins the film trying to get rid of the heroine, which is the archetype's opposite, and ends it in flight with her against her family, which is the archetype's classic position. The score sits in the middle to record both halves.</t>
        </is>
      </c>
      <c r="X70" s="20" t="n">
        <v>9</v>
      </c>
      <c r="Y70" s="20" t="n">
        <v>7</v>
      </c>
      <c r="Z70" s="20" t="n">
        <v>6</v>
      </c>
      <c r="AA70" s="20" t="n">
        <v>7</v>
      </c>
      <c r="AB70" s="20" t="n">
        <v>7</v>
      </c>
      <c r="AC70" s="19" t="inlineStr">
        <is>
          <t>Interpretive reading; no located review assesses this pairing. The structure requires a comic antagonism to carry the first half and warmth to carry the second, and the article's account describes exactly that progression without commenting on the playing.</t>
        </is>
      </c>
      <c r="AD70" s="5" t="inlineStr">
        <is>
          <t>Yes</t>
        </is>
      </c>
      <c r="AE70" s="5" t="inlineStr">
        <is>
          <t>No</t>
        </is>
      </c>
      <c r="AF70" s="5" t="inlineStr">
        <is>
          <t>No</t>
        </is>
      </c>
      <c r="AG70" s="5" t="inlineStr">
        <is>
          <t>No</t>
        </is>
      </c>
      <c r="AH70" s="5" t="inlineStr">
        <is>
          <t>No</t>
        </is>
      </c>
      <c r="AI70" s="5" t="inlineStr">
        <is>
          <t>Partial</t>
        </is>
      </c>
      <c r="AJ70" s="5" t="inlineStr">
        <is>
          <t>Yes</t>
        </is>
      </c>
      <c r="AK70" s="19" t="inlineStr">
        <is>
          <t>From a man trying to return a runaway to the family she escaped to one running from that family beside her.</t>
        </is>
      </c>
      <c r="AL70" s="19" t="inlineStr">
        <is>
          <t>From a woman fleeing a household of hatred and politics to one with somewhere and someone to flee towards.</t>
        </is>
      </c>
      <c r="AM70" s="5" t="inlineStr">
        <is>
          <t>Not documented; the article's summary ends with the two of them on the run from her family.</t>
        </is>
      </c>
      <c r="AN70" s="5" t="inlineStr">
        <is>
          <t>Unclear</t>
        </is>
      </c>
      <c r="AO70" s="5" t="inlineStr">
        <is>
          <t>Unresolved</t>
        </is>
      </c>
      <c r="AP70" s="5" t="n"/>
      <c r="AQ70" s="19" t="inlineStr">
        <is>
          <t>Recovered late in this research, because the article keeps its plot under a Summary heading the extraction script does not read; without it the film would have been recorded as undocumented. The pairing is one of the few in the filmography where the heroine's flight, not the hero's pursuit, sets the romance going, and where he has to be talked round rather than she.</t>
        </is>
      </c>
      <c r="AR70" s="19" t="inlineStr">
        <is>
          <t>Sapna is given the film's only decisive act before the romance starts, leaving a family she found intolerable, and the plot then makes her a fugitive with a price on her location. The Roman Holiday borrowing is inverted in one important respect: there the runaway returns to her duty, while here the aristocratic family is simply the antagonist.</t>
        </is>
      </c>
      <c r="AS70" s="5" t="inlineStr">
        <is>
          <t>SOURCE-001; SOURCE-093</t>
        </is>
      </c>
      <c r="AT70" s="5" t="inlineStr">
        <is>
          <t>Low</t>
        </is>
      </c>
    </row>
    <row r="71" ht="109" customHeight="1">
      <c r="A71" s="15" t="inlineStr">
        <is>
          <t>PAIR-070</t>
        </is>
      </c>
      <c r="B71" s="18" t="inlineStr">
        <is>
          <t>FILM-102</t>
        </is>
      </c>
      <c r="C71" s="5" t="inlineStr">
        <is>
          <t>Prem Yog</t>
        </is>
      </c>
      <c r="D71" s="17" t="n">
        <v>1994</v>
      </c>
      <c r="E71" s="5" t="inlineStr">
        <is>
          <t>Yuvraaj</t>
        </is>
      </c>
      <c r="F71" s="5" t="inlineStr">
        <is>
          <t>Madhoo</t>
        </is>
      </c>
      <c r="G71" s="5" t="inlineStr">
        <is>
          <t>Anita Sethi</t>
        </is>
      </c>
      <c r="H71" s="5" t="inlineStr">
        <is>
          <t>Female lead</t>
        </is>
      </c>
      <c r="I71" s="5" t="inlineStr">
        <is>
          <t>Yes</t>
        </is>
      </c>
      <c r="J71" s="19" t="inlineStr">
        <is>
          <t>Forbidden love</t>
        </is>
      </c>
      <c r="K71" s="5" t="inlineStr">
        <is>
          <t>Strangers; he is a waiter and she a performer</t>
        </is>
      </c>
      <c r="L71" s="5" t="inlineStr">
        <is>
          <t>Raju, having run away from his father's palace to Bombay and taken work as a waiter, meets Anita, a dancer and singer and the daughter of a wealthy man, and falls in love with her.</t>
        </is>
      </c>
      <c r="M71" s="5" t="inlineStr">
        <is>
          <t>Raju</t>
        </is>
      </c>
      <c r="N71" s="19" t="inlineStr">
        <is>
          <t>Conducted entirely under a suppressed identity: she believes she is being courted by a waiter, and the concealment of his rank is what eventually ruptures it.</t>
        </is>
      </c>
      <c r="O71" s="19" t="inlineStr">
        <is>
          <t>Mutual and unforced until the disclosure, after which her anger is at having been kept in the dark rather than at what he turned out to be.</t>
        </is>
      </c>
      <c r="P71" s="19" t="inlineStr">
        <is>
          <t>He never tells her he is the heir to Ramgarh, and she learns it from a rival.</t>
        </is>
      </c>
      <c r="Q71" s="20" t="n">
        <v>5</v>
      </c>
      <c r="R71" s="19" t="inlineStr">
        <is>
          <t>The rupture is a concealment of his own choosing, revealed by Jimmy Narang at the worst moment, and her anger is directed at Raju for suppressing it. That is friction between the partners, distinct from the fathers' opposition operating around them.</t>
        </is>
      </c>
      <c r="S71" s="20" t="n">
        <v>8</v>
      </c>
      <c r="T71" s="5" t="inlineStr">
        <is>
          <t>Family; Class</t>
        </is>
      </c>
      <c r="U71" s="19" t="inlineStr">
        <is>
          <t>His father has already arranged his marriage to a woman of noble parentage and sets off with an army to fetch him back for it; her father intends her for Jimmy Narang, son of the wealthy Mr. Narang, and Narang is the one who informs the Maharaj where Raju is.</t>
        </is>
      </c>
      <c r="V71" s="20" t="n">
        <v>7</v>
      </c>
      <c r="W71" s="19" t="inlineStr">
        <is>
          <t>Raju leaves a palace, takes work as a waiter and refuses an arranged royal marriage for a singer he met in Bombay, which is the archetype's substance. It falls short of the top band because the deception is his and because the article leaves him choosing between capture and further flight rather than acting.</t>
        </is>
      </c>
      <c r="X71" s="20" t="n">
        <v>9</v>
      </c>
      <c r="Y71" s="20" t="n">
        <v>6</v>
      </c>
      <c r="Z71" s="20" t="n">
        <v>7</v>
      </c>
      <c r="AA71" s="20" t="n">
        <v>6</v>
      </c>
      <c r="AB71" s="20" t="n">
        <v>6</v>
      </c>
      <c r="AC71" s="19" t="inlineStr">
        <is>
          <t>Interpretive reading; no located review assesses this pairing. The film is a transposition of Coming to America and the romance carries its comic premise, a man of rank passing as a servant, rather than a distinctive charge of its own.</t>
        </is>
      </c>
      <c r="AD71" s="5" t="inlineStr">
        <is>
          <t>Yes</t>
        </is>
      </c>
      <c r="AE71" s="5" t="inlineStr">
        <is>
          <t>Partial</t>
        </is>
      </c>
      <c r="AF71" s="5" t="inlineStr">
        <is>
          <t>Partial</t>
        </is>
      </c>
      <c r="AG71" s="5" t="inlineStr">
        <is>
          <t>Yes</t>
        </is>
      </c>
      <c r="AH71" s="5" t="inlineStr">
        <is>
          <t>Partial</t>
        </is>
      </c>
      <c r="AI71" s="5" t="inlineStr">
        <is>
          <t>Yes</t>
        </is>
      </c>
      <c r="AJ71" s="5" t="inlineStr">
        <is>
          <t>Partial</t>
        </is>
      </c>
      <c r="AK71" s="19" t="inlineStr">
        <is>
          <t>From a prince kept in seclusion by a prophecy to a waiter who would rather keep running than accept the marriage arranged for him.</t>
        </is>
      </c>
      <c r="AL71" s="19" t="inlineStr">
        <is>
          <t>From a performer courted by a waiter to a woman who discovers she was never told who she was being courted by.</t>
        </is>
      </c>
      <c r="AM71" s="5" t="inlineStr">
        <is>
          <t>Not documented; the article ends with Raju facing the choice between capture by his father's men and flight.</t>
        </is>
      </c>
      <c r="AN71" s="5" t="inlineStr">
        <is>
          <t>Unclear</t>
        </is>
      </c>
      <c r="AO71" s="5" t="inlineStr">
        <is>
          <t>Unresolved</t>
        </is>
      </c>
      <c r="AP71" s="5" t="n"/>
      <c r="AQ71" s="19" t="inlineStr">
        <is>
          <t>A late variation on the false-identity courtships that run through the 1970s work, from Rafoo Chakkar to Jhoota Kahin Ka, with the significant difference that here the concealment is of rank rather than of poverty or criminality, and the woman's grievance is treated as legitimate. Shammi Kapoor plays the opposing father, one of several films pairing the two as father and son.</t>
        </is>
      </c>
      <c r="AR71" s="19" t="inlineStr">
        <is>
          <t>The film gives Anita a real objection, that she was courted by a man who withheld who he was, and lets her be angry about it rather than flattered. Against that, both fathers are transacting her future between them and the resolution the article reaches is about what Raju will do, not what she will.</t>
        </is>
      </c>
      <c r="AS71" s="5" t="inlineStr">
        <is>
          <t>SOURCE-001; SOURCE-095</t>
        </is>
      </c>
      <c r="AT71" s="5" t="inlineStr">
        <is>
          <t>Low</t>
        </is>
      </c>
    </row>
    <row r="72" ht="124" customHeight="1">
      <c r="A72" s="15" t="inlineStr">
        <is>
          <t>PAIR-071</t>
        </is>
      </c>
      <c r="B72" s="18" t="inlineStr">
        <is>
          <t>FILM-103</t>
        </is>
      </c>
      <c r="C72" s="5" t="inlineStr">
        <is>
          <t>Ghar Ki Izzat</t>
        </is>
      </c>
      <c r="D72" s="17" t="n">
        <v>1994</v>
      </c>
      <c r="E72" s="5" t="inlineStr">
        <is>
          <t>Mohan Kumar</t>
        </is>
      </c>
      <c r="F72" s="5" t="inlineStr">
        <is>
          <t>Juhi Chawla</t>
        </is>
      </c>
      <c r="G72" s="5" t="inlineStr">
        <is>
          <t>Geeta</t>
        </is>
      </c>
      <c r="H72" s="5" t="inlineStr">
        <is>
          <t>Female lead</t>
        </is>
      </c>
      <c r="I72" s="5" t="inlineStr">
        <is>
          <t>Yes</t>
        </is>
      </c>
      <c r="J72" s="19" t="inlineStr">
        <is>
          <t>Forbidden love</t>
        </is>
      </c>
      <c r="K72" s="5" t="inlineStr">
        <is>
          <t>Members of the same joint household; she is his sister-in-law's younger sister and a child widow</t>
        </is>
      </c>
      <c r="L72" s="5" t="inlineStr">
        <is>
          <t>They are already living in the same joint family when the film opens, Geeta having come to the house as the younger sister of Seeta, the eldest brother's wife.</t>
        </is>
      </c>
      <c r="M72" s="5" t="inlineStr">
        <is>
          <t>Mutual; the article records that they always dispute and are in love</t>
        </is>
      </c>
      <c r="N72" s="19" t="inlineStr">
        <is>
          <t>Conducted as bickering inside a shared household, and interrupted when the family's new wives use her widowhood to have her expelled.</t>
        </is>
      </c>
      <c r="O72" s="19" t="inlineStr">
        <is>
          <t>Quarrelsome affection, and then a separation neither of them chooses.</t>
        </is>
      </c>
      <c r="P72" s="19" t="inlineStr">
        <is>
          <t>None of substance; the disputes are the form the attachment takes.</t>
        </is>
      </c>
      <c r="Q72" s="20" t="n">
        <v>3</v>
      </c>
      <c r="R72" s="19" t="inlineStr">
        <is>
          <t>The article describes constant dispute alongside constant love, which places this in the playful register rather than the damaging one. Nothing divides them by their own choice.</t>
        </is>
      </c>
      <c r="S72" s="20" t="n">
        <v>9</v>
      </c>
      <c r="T72" s="5" t="inlineStr">
        <is>
          <t>Family; Community</t>
        </is>
      </c>
      <c r="U72" s="19" t="inlineStr">
        <is>
          <t>Sheela and Mona, the two incoming wives, break the household's solidarity and in a quarrel publicly announce Geeta as a widow, which deprives her of her place and of Mohan and sends her to her in-laws' house, where the article records that she is subjected to torments. The prohibition on a widow remarrying is the barrier underneath it.</t>
        </is>
      </c>
      <c r="V72" s="20" t="n">
        <v>7</v>
      </c>
      <c r="W72" s="19" t="inlineStr">
        <is>
          <t>Mohan follows the collapsing family to the village, takes work and becomes a singer to support it, and marries the widow the household discarded. The devotion is sustained and materially costly, though it is directed at the family as much as at Geeta.</t>
        </is>
      </c>
      <c r="X72" s="20" t="n">
        <v>7</v>
      </c>
      <c r="Y72" s="20" t="n">
        <v>7</v>
      </c>
      <c r="Z72" s="20" t="n">
        <v>7</v>
      </c>
      <c r="AA72" s="20" t="n">
        <v>4</v>
      </c>
      <c r="AB72" s="20" t="n">
        <v>6</v>
      </c>
      <c r="AC72" s="19" t="inlineStr">
        <is>
          <t>Interpretive reading; no located review assesses this pairing. The article's plot is written in unusually compressed and idiosyncratic English and states the relationship rather than showing it, so the bickering-lovers register has to be taken on its word.</t>
        </is>
      </c>
      <c r="AD72" s="5" t="inlineStr">
        <is>
          <t>Yes</t>
        </is>
      </c>
      <c r="AE72" s="5" t="inlineStr">
        <is>
          <t>No</t>
        </is>
      </c>
      <c r="AF72" s="5" t="inlineStr">
        <is>
          <t>No</t>
        </is>
      </c>
      <c r="AG72" s="5" t="inlineStr">
        <is>
          <t>No</t>
        </is>
      </c>
      <c r="AH72" s="5" t="inlineStr">
        <is>
          <t>Yes</t>
        </is>
      </c>
      <c r="AI72" s="5" t="inlineStr">
        <is>
          <t>Yes</t>
        </is>
      </c>
      <c r="AJ72" s="5" t="inlineStr">
        <is>
          <t>Partial</t>
        </is>
      </c>
      <c r="AK72" s="19" t="inlineStr">
        <is>
          <t>From one of four brothers in a shared house to the earner who supports the family and marries the widow it cast out.</t>
        </is>
      </c>
      <c r="AL72" s="19" t="inlineStr">
        <is>
          <t>From a child widow tolerated in her sister's household to a woman publicly denounced, sent away to be tormented, and finally married.</t>
        </is>
      </c>
      <c r="AM72" s="5" t="inlineStr">
        <is>
          <t>The article records the film ending with the marriage of Mohan and Geeta.</t>
        </is>
      </c>
      <c r="AN72" s="5" t="inlineStr">
        <is>
          <t>Yes</t>
        </is>
      </c>
      <c r="AO72" s="5" t="inlineStr">
        <is>
          <t>Happy</t>
        </is>
      </c>
      <c r="AP72" s="5" t="n"/>
      <c r="AQ72" s="19" t="inlineStr">
        <is>
          <t>The third widow-remarriage plot of the career after Prem Rog (1982) and Deewana (1992), and the second in which Kapoor's character marries the widow himself. Placed beside Prem Rog it shows the same social barrier handled a decade later as domestic melodrama rather than as reform drama: the opposition here is two spiteful sisters-in-law rather than an armed aristocracy.</t>
        </is>
      </c>
      <c r="AR72" s="19" t="inlineStr">
        <is>
          <t>That Geeta is a child widow is stated and then used chiefly as ammunition for other women to deploy against her, which is a sharp observation about how such prohibitions actually operate. The film nonetheless gives her almost nothing to do: she is welcomed, denounced, expelled, tormented and finally married, in each case by someone else's decision.</t>
        </is>
      </c>
      <c r="AS72" s="5" t="inlineStr">
        <is>
          <t>SOURCE-001; SOURCE-096</t>
        </is>
      </c>
      <c r="AT72" s="5" t="inlineStr">
        <is>
          <t>Low</t>
        </is>
      </c>
    </row>
    <row r="73" ht="94" customHeight="1">
      <c r="A73" s="15" t="inlineStr">
        <is>
          <t>PAIR-072</t>
        </is>
      </c>
      <c r="B73" s="18" t="inlineStr">
        <is>
          <t>FILM-104</t>
        </is>
      </c>
      <c r="C73" s="5" t="inlineStr">
        <is>
          <t>Saajan Ki Baahon Mein</t>
        </is>
      </c>
      <c r="D73" s="17" t="n">
        <v>1995</v>
      </c>
      <c r="E73" s="5" t="inlineStr">
        <is>
          <t>Sagar</t>
        </is>
      </c>
      <c r="F73" s="5" t="inlineStr">
        <is>
          <t>Raveena Tandon</t>
        </is>
      </c>
      <c r="G73" s="5" t="inlineStr">
        <is>
          <t>Sapna</t>
        </is>
      </c>
      <c r="H73" s="5" t="inlineStr">
        <is>
          <t>Female lead</t>
        </is>
      </c>
      <c r="I73" s="5" t="inlineStr">
        <is>
          <t>Yes</t>
        </is>
      </c>
      <c r="J73" s="19" t="inlineStr">
        <is>
          <t>Forbidden love</t>
        </is>
      </c>
      <c r="K73" s="5" t="inlineStr">
        <is>
          <t>Performer and admirer; she is one of his followers</t>
        </is>
      </c>
      <c r="L73" s="5" t="inlineStr">
        <is>
          <t>Sagar is a well-known singer surrounded by female followers wherever he performs, and meets Sapna, one of them, in Srinagar; after some misunderstandings the two fall in love.</t>
        </is>
      </c>
      <c r="M73" s="5" t="inlineStr">
        <is>
          <t>Sapna, as an admirer, before it becomes mutual</t>
        </is>
      </c>
      <c r="N73" s="19" t="inlineStr">
        <is>
          <t>A holiday romance between a star and a follower, settled quickly into a decision to marry, and destroyed by an arrangement neither of them knew existed.</t>
        </is>
      </c>
      <c r="O73" s="19" t="inlineStr">
        <is>
          <t>Mutual and confident, then severed by two families' prior commitments.</t>
        </is>
      </c>
      <c r="P73" s="19" t="inlineStr">
        <is>
          <t>None between them; the obstruction is entirely her father's arrangement.</t>
        </is>
      </c>
      <c r="Q73" s="20" t="n">
        <v>3</v>
      </c>
      <c r="R73" s="19" t="inlineStr">
        <is>
          <t>The article records misunderstandings before the attachment forms and no conflict after it. The separation is imposed, and the couple's later meeting finds both of them promised elsewhere rather than at odds.</t>
        </is>
      </c>
      <c r="S73" s="20" t="n">
        <v>8</v>
      </c>
      <c r="T73" s="5" t="inlineStr">
        <is>
          <t>Family; Existing relationship</t>
        </is>
      </c>
      <c r="U73" s="19" t="inlineStr">
        <is>
          <t>Sapna's father Narang has already arranged her marriage to Rakesh, the only son of Ranveer Singh, who is Sagar's own childhood friend. The obligation therefore runs in two directions at once, and the couple separate as a result.</t>
        </is>
      </c>
      <c r="V73" s="20" t="n">
        <v>7</v>
      </c>
      <c r="W73" s="19" t="inlineStr">
        <is>
          <t>A singer-hero whose whole plot is a romance, with the songs and the devotion that implies. The score stops short of the upper band because he responds to losing her by announcing a marriage of his own rather than by fighting for her, and because the article withholds the ending.</t>
        </is>
      </c>
      <c r="X73" s="20" t="n">
        <v>9</v>
      </c>
      <c r="Y73" s="20" t="n">
        <v>6</v>
      </c>
      <c r="Z73" s="20" t="n">
        <v>7</v>
      </c>
      <c r="AA73" s="20" t="n">
        <v>5</v>
      </c>
      <c r="AB73" s="20" t="n">
        <v>6</v>
      </c>
      <c r="AC73" s="19" t="inlineStr">
        <is>
          <t>Interpretive reading; no located review assesses this pairing. The article's plot is four sentences long and explicitly reserves the outcome for the climax, so the relationship is available only in outline.</t>
        </is>
      </c>
      <c r="AD73" s="5" t="inlineStr">
        <is>
          <t>Partial</t>
        </is>
      </c>
      <c r="AE73" s="5" t="inlineStr">
        <is>
          <t>No</t>
        </is>
      </c>
      <c r="AF73" s="5" t="inlineStr">
        <is>
          <t>Partial</t>
        </is>
      </c>
      <c r="AG73" s="5" t="inlineStr">
        <is>
          <t>No</t>
        </is>
      </c>
      <c r="AH73" s="5" t="inlineStr">
        <is>
          <t>Yes</t>
        </is>
      </c>
      <c r="AI73" s="5" t="inlineStr">
        <is>
          <t>Partial</t>
        </is>
      </c>
      <c r="AJ73" s="5" t="inlineStr">
        <is>
          <t>No</t>
        </is>
      </c>
      <c r="AK73" s="19" t="inlineStr">
        <is>
          <t>From a bachelor performer to a man engaged to one woman while in love with another.</t>
        </is>
      </c>
      <c r="AL73" s="19" t="inlineStr">
        <is>
          <t>From an admirer who won the singer to a daughter engaged to the man her father chose.</t>
        </is>
      </c>
      <c r="AM73" s="5" t="inlineStr">
        <is>
          <t>Not documented; the article states only that what happens to the love story forms the climax.</t>
        </is>
      </c>
      <c r="AN73" s="5" t="inlineStr">
        <is>
          <t>No</t>
        </is>
      </c>
      <c r="AO73" s="5" t="inlineStr">
        <is>
          <t>Unresolved</t>
        </is>
      </c>
      <c r="AP73" s="5" t="n"/>
      <c r="AQ73" s="19" t="inlineStr">
        <is>
          <t>The obstacle here is doubled in a way that is unusual in the filmography: the rival is not merely wealthy but the son of the hero's own childhood friend, so the arrangement carries a claim of friendship as well as of paternal authority. The film's structure then gives Sagar a second engagement of his own, which is scored separately.</t>
        </is>
      </c>
      <c r="AR73" s="19" t="inlineStr">
        <is>
          <t>The premise, a famous singer and the follower who wins him, gives Sapna her position by admiration rather than by anything else, and the plot then transfers her between two families without her participation. The article's refusal to state the ending makes it impossible to say whether the film grants her a choice at the close.</t>
        </is>
      </c>
      <c r="AS73" s="5" t="inlineStr">
        <is>
          <t>SOURCE-001; SOURCE-097</t>
        </is>
      </c>
      <c r="AT73" s="5" t="inlineStr">
        <is>
          <t>Low</t>
        </is>
      </c>
    </row>
    <row r="74" ht="79" customHeight="1">
      <c r="A74" s="15" t="inlineStr">
        <is>
          <t>PAIR-073</t>
        </is>
      </c>
      <c r="B74" s="18" t="inlineStr">
        <is>
          <t>FILM-104</t>
        </is>
      </c>
      <c r="C74" s="5" t="inlineStr">
        <is>
          <t>Saajan Ki Baahon Mein</t>
        </is>
      </c>
      <c r="D74" s="17" t="n">
        <v>1995</v>
      </c>
      <c r="E74" s="5" t="inlineStr">
        <is>
          <t>Sagar</t>
        </is>
      </c>
      <c r="F74" s="5" t="inlineStr">
        <is>
          <t>Tabu</t>
        </is>
      </c>
      <c r="G74" s="5" t="inlineStr">
        <is>
          <t>Kavita</t>
        </is>
      </c>
      <c r="H74" s="5" t="inlineStr">
        <is>
          <t>Second female lead</t>
        </is>
      </c>
      <c r="I74" s="5" t="inlineStr">
        <is>
          <t>No</t>
        </is>
      </c>
      <c r="J74" s="19" t="inlineStr">
        <is>
          <t>Unrequited love</t>
        </is>
      </c>
      <c r="K74" s="5" t="inlineStr">
        <is>
          <t>Not documented</t>
        </is>
      </c>
      <c r="L74" s="5" t="inlineStr">
        <is>
          <t>Not documented; Sagar announces his marriage to Kavita after Sapna is engaged to Rakesh.</t>
        </is>
      </c>
      <c r="M74" s="5" t="inlineStr">
        <is>
          <t>Sagar, as a response to losing Sapna</t>
        </is>
      </c>
      <c r="N74" s="19" t="inlineStr">
        <is>
          <t>None documented. The engagement is announced rather than arrived at, and the article gives it as a counter-move to Sapna's.</t>
        </is>
      </c>
      <c r="O74" s="19" t="inlineStr">
        <is>
          <t>Not documented; whatever feeling exists in the relationship appears to be hers, since his is directed elsewhere.</t>
        </is>
      </c>
      <c r="P74" s="19" t="inlineStr">
        <is>
          <t>He is in love with another woman and the engagement is a response to losing her.</t>
        </is>
      </c>
      <c r="Q74" s="20" t="n">
        <v>4</v>
      </c>
      <c r="R74" s="19" t="inlineStr">
        <is>
          <t>No quarrel is recorded, but the relationship is founded on his attachment to someone else. Scored provisionally: the article gives the engagement one clause and does not follow it.</t>
        </is>
      </c>
      <c r="S74" s="20" t="n">
        <v>4</v>
      </c>
      <c r="T74" s="5" t="inlineStr">
        <is>
          <t>Existing relationship</t>
        </is>
      </c>
      <c r="U74" s="19" t="inlineStr">
        <is>
          <t>The obstacle is Sagar's own continuing love for Sapna rather than anything ranged against him and Kavita.</t>
        </is>
      </c>
      <c r="V74" s="20" t="n">
        <v>2</v>
      </c>
      <c r="W74" s="19" t="inlineStr">
        <is>
          <t>In this relationship Kapoor's character is contracting a marriage he does not want in order to answer a loss, which has none of the archetype's courtship, devotion or sacrifice.</t>
        </is>
      </c>
      <c r="X74" s="20" t="n">
        <v>9</v>
      </c>
      <c r="Y74" s="20" t="n">
        <v>4</v>
      </c>
      <c r="Z74" s="20" t="n">
        <v>3</v>
      </c>
      <c r="AA74" s="20" t="n">
        <v>4</v>
      </c>
      <c r="AB74" s="20" t="n">
        <v>5</v>
      </c>
      <c r="AC74" s="19" t="inlineStr">
        <is>
          <t>Interpretive reading; no located review assesses this pairing, and the article documents almost nothing of it beyond the announcement. There is not enough recorded interaction to judge.</t>
        </is>
      </c>
      <c r="AD74" s="5" t="inlineStr">
        <is>
          <t>Unclear</t>
        </is>
      </c>
      <c r="AE74" s="5" t="inlineStr">
        <is>
          <t>Unclear</t>
        </is>
      </c>
      <c r="AF74" s="5" t="inlineStr">
        <is>
          <t>Unclear</t>
        </is>
      </c>
      <c r="AG74" s="5" t="inlineStr">
        <is>
          <t>Partial</t>
        </is>
      </c>
      <c r="AH74" s="5" t="inlineStr">
        <is>
          <t>Unclear</t>
        </is>
      </c>
      <c r="AI74" s="5" t="inlineStr">
        <is>
          <t>No</t>
        </is>
      </c>
      <c r="AJ74" s="5" t="inlineStr">
        <is>
          <t>No</t>
        </is>
      </c>
      <c r="AK74" s="19" t="inlineStr">
        <is>
          <t>Not documented.</t>
        </is>
      </c>
      <c r="AL74" s="19" t="inlineStr">
        <is>
          <t>Not documented.</t>
        </is>
      </c>
      <c r="AM74" s="5" t="inlineStr">
        <is>
          <t>Not documented; the article reserves the resolution for the climax.</t>
        </is>
      </c>
      <c r="AN74" s="5" t="inlineStr">
        <is>
          <t>Unclear</t>
        </is>
      </c>
      <c r="AO74" s="5" t="inlineStr">
        <is>
          <t>Unresolved</t>
        </is>
      </c>
      <c r="AP74" s="5" t="n"/>
      <c r="AQ74" s="19" t="inlineStr">
        <is>
          <t>Recorded because the article states the engagement as one of the two romantic positions the climax has to resolve. It belongs with Yeh Ishq Nahin Aasaan (1984) among the small group of films in which a Kapoor character enters a second marriage while still attached to the first woman, and in both cases the second woman is the one the film examines least.</t>
        </is>
      </c>
      <c r="AR74" s="19" t="inlineStr">
        <is>
          <t>Kavita exists to be the alternative, and the article gives her neither a courtship nor a response to being chosen as a consolation. Whether the film ultimately treats her as a person or as a device cannot be determined from what is documented.</t>
        </is>
      </c>
      <c r="AS74" s="5" t="inlineStr">
        <is>
          <t>SOURCE-001; SOURCE-097</t>
        </is>
      </c>
      <c r="AT74" s="5" t="inlineStr">
        <is>
          <t>Low</t>
        </is>
      </c>
    </row>
    <row r="75" ht="124" customHeight="1">
      <c r="A75" s="15" t="inlineStr">
        <is>
          <t>PAIR-074</t>
        </is>
      </c>
      <c r="B75" s="18" t="inlineStr">
        <is>
          <t>FILM-106</t>
        </is>
      </c>
      <c r="C75" s="5" t="inlineStr">
        <is>
          <t>Yaraana</t>
        </is>
      </c>
      <c r="D75" s="17" t="n">
        <v>1995</v>
      </c>
      <c r="E75" s="5" t="inlineStr">
        <is>
          <t>Raj</t>
        </is>
      </c>
      <c r="F75" s="5" t="inlineStr">
        <is>
          <t>Madhuri Dixit</t>
        </is>
      </c>
      <c r="G75" s="5" t="inlineStr">
        <is>
          <t>Lalita, courting him under the name Shikha</t>
        </is>
      </c>
      <c r="H75" s="5" t="inlineStr">
        <is>
          <t>Female lead and protagonist</t>
        </is>
      </c>
      <c r="I75" s="5" t="inlineStr">
        <is>
          <t>Yes</t>
        </is>
      </c>
      <c r="J75" s="19" t="inlineStr">
        <is>
          <t>United couple versus external world</t>
        </is>
      </c>
      <c r="K75" s="5" t="inlineStr">
        <is>
          <t>Strangers; she uses him as cover while in hiding</t>
        </is>
      </c>
      <c r="L75" s="5" t="inlineStr">
        <is>
          <t>Lalita escapes JB on her wedding day, flees the city, and meets Raj, whom she at first uses as a cover under the assumed name Shikha; both then fall in love.</t>
        </is>
      </c>
      <c r="M75" s="5" t="inlineStr">
        <is>
          <t>Lalita, instrumentally at first</t>
        </is>
      </c>
      <c r="N75" s="19" t="inlineStr">
        <is>
          <t>Built on her false name and her need for concealment, and formalised quickly when Raj's grandfather Rai Sahib arranges the wedding.</t>
        </is>
      </c>
      <c r="O75" s="19" t="inlineStr">
        <is>
          <t>Her calculation converting into genuine attachment, with him unaware of what she is hiding from.</t>
        </is>
      </c>
      <c r="P75" s="19" t="inlineStr">
        <is>
          <t>She is courting him under an assumed identity and concealing a man who considers her his property.</t>
        </is>
      </c>
      <c r="Q75" s="20" t="n">
        <v>3</v>
      </c>
      <c r="R75" s="19" t="inlineStr">
        <is>
          <t>There is no quarrel between them, and the concealment is self-protective rather than exploitative. The friction is the undisclosed past, which JB exposes rather than she.</t>
        </is>
      </c>
      <c r="S75" s="20" t="n">
        <v>9</v>
      </c>
      <c r="T75" s="5" t="inlineStr">
        <is>
          <t>Villain; Family; Crime</t>
        </is>
      </c>
      <c r="U75" s="19" t="inlineStr">
        <is>
          <t>JB decided he must have Lalita, paid her uncle Madhi to arrange the marriage, kidnapped her when she refused and watched her daily until the wedding. After she escapes he traces her through her mother, exposes her identity to Raj and Rai Sahib with her uncle's help, and takes her back to be a dutiful wife on his terms.</t>
        </is>
      </c>
      <c r="V75" s="20" t="n">
        <v>7</v>
      </c>
      <c r="W75" s="19" t="inlineStr">
        <is>
          <t>Raj courts her, secures his grandfather's blessing, and finally kills the man holding her as he tries to kill her. The devotion is real and decisive, and falls short of the top band only because the film is structurally Madhuri Dixit's and his function for much of it is to be the safe place she reaches.</t>
        </is>
      </c>
      <c r="X75" s="20" t="n">
        <v>9</v>
      </c>
      <c r="Y75" s="20" t="n">
        <v>7</v>
      </c>
      <c r="Z75" s="20" t="n">
        <v>7</v>
      </c>
      <c r="AA75" s="20" t="n">
        <v>7</v>
      </c>
      <c r="AB75" s="20" t="n">
        <v>7</v>
      </c>
      <c r="AC75" s="19" t="inlineStr">
        <is>
          <t>Interpretive reading; no located review assesses this pairing. The second of three Kapoor and Madhuri Dixit films in four years; the relationship has to read as refuge rather than as conquest, which is a different register from his earlier romantic leads and suits the older man he was by then playing.</t>
        </is>
      </c>
      <c r="AD75" s="5" t="inlineStr">
        <is>
          <t>Yes</t>
        </is>
      </c>
      <c r="AE75" s="5" t="inlineStr">
        <is>
          <t>No</t>
        </is>
      </c>
      <c r="AF75" s="5" t="inlineStr">
        <is>
          <t>No</t>
        </is>
      </c>
      <c r="AG75" s="5" t="inlineStr">
        <is>
          <t>Yes</t>
        </is>
      </c>
      <c r="AH75" s="5" t="inlineStr">
        <is>
          <t>Yes</t>
        </is>
      </c>
      <c r="AI75" s="5" t="inlineStr">
        <is>
          <t>Yes</t>
        </is>
      </c>
      <c r="AJ75" s="5" t="inlineStr">
        <is>
          <t>Partial</t>
        </is>
      </c>
      <c r="AK75" s="19" t="inlineStr">
        <is>
          <t>From a man courting a woman under a name that is not hers to the one who kills her captor.</t>
        </is>
      </c>
      <c r="AL75" s="19" t="inlineStr">
        <is>
          <t>From a woman kidnapped and watched until her wedding day to one who engineers her own escape, builds a second identity, and is finally freed by force.</t>
        </is>
      </c>
      <c r="AM75" s="5" t="inlineStr">
        <is>
          <t>Raj kills JB as he tries to kill Lalita, and the two marry.</t>
        </is>
      </c>
      <c r="AN75" s="5" t="inlineStr">
        <is>
          <t>Yes</t>
        </is>
      </c>
      <c r="AO75" s="5" t="inlineStr">
        <is>
          <t>Happy</t>
        </is>
      </c>
      <c r="AP75" s="5" t="n"/>
      <c r="AQ75" s="19" t="inlineStr">
        <is>
          <t>Structurally the clearest inversion of Badaltey Rishtey (1978) in the whole filmography. There Kapoor played the suitor whose pursuit turned into a standing threat against a married woman; here the obsessive pursuer is the villain and Kapoor is the refuge, and the film treats the behaviour it once gave him as grounds for killing. Read as a pair, the two films measure how the persona's relation to coercion changed across seventeen years.</t>
        </is>
      </c>
      <c r="AR75" s="19" t="inlineStr">
        <is>
          <t>The film is unambiguous that JB's conduct, buying a bride from her uncle, kidnapping her and calling permanent confinement being a dutiful wife, is monstrous, and it gives Lalita the intelligence to escape it herself rather than waiting to be rescued. Her deception of Raj is treated as reasonable self-protection, which is a notable shift from the films of the 1970s in which a woman courted under a false name was the joke.</t>
        </is>
      </c>
      <c r="AS75" s="5" t="inlineStr">
        <is>
          <t>SOURCE-001; SOURCE-099</t>
        </is>
      </c>
      <c r="AT75" s="5" t="inlineStr">
        <is>
          <t>Medium</t>
        </is>
      </c>
    </row>
    <row r="76" ht="139" customHeight="1">
      <c r="A76" s="15" t="inlineStr">
        <is>
          <t>PAIR-075</t>
        </is>
      </c>
      <c r="B76" s="18" t="inlineStr">
        <is>
          <t>FILM-107</t>
        </is>
      </c>
      <c r="C76" s="5" t="inlineStr">
        <is>
          <t>Prem Granth</t>
        </is>
      </c>
      <c r="D76" s="17" t="n">
        <v>1996</v>
      </c>
      <c r="E76" s="5" t="inlineStr">
        <is>
          <t>Somen</t>
        </is>
      </c>
      <c r="F76" s="5" t="inlineStr">
        <is>
          <t>Madhuri Dixit</t>
        </is>
      </c>
      <c r="G76" s="5" t="inlineStr">
        <is>
          <t>Kajri</t>
        </is>
      </c>
      <c r="H76" s="5" t="inlineStr">
        <is>
          <t>Female lead</t>
        </is>
      </c>
      <c r="I76" s="5" t="inlineStr">
        <is>
          <t>Yes</t>
        </is>
      </c>
      <c r="J76" s="19" t="inlineStr">
        <is>
          <t>Forbidden love</t>
        </is>
      </c>
      <c r="K76" s="5" t="inlineStr">
        <is>
          <t>Strangers of different castes</t>
        </is>
      </c>
      <c r="L76" s="5" t="inlineStr">
        <is>
          <t>Somen meets Kajri at the annual festival and is immediately drawn to her despite her lower caste status; the article records that they fall in love and then part unexpectedly.</t>
        </is>
      </c>
      <c r="M76" s="5" t="inlineStr">
        <is>
          <t>Somen</t>
        </is>
      </c>
      <c r="N76" s="19" t="inlineStr">
        <is>
          <t>Two courtships separated by a year and a catastrophe: an immediate festival attraction, then a second approach at his uncle's dairy farm to a woman who now has a reason to evade him and cannot say it aloud.</t>
        </is>
      </c>
      <c r="O76" s="19" t="inlineStr">
        <is>
          <t>Mutual and open at first; afterwards her love is intact and unspeakable, and his is confident and uninformed.</t>
        </is>
      </c>
      <c r="P76" s="19" t="inlineStr">
        <is>
          <t>She cannot tell him she was raped and bore and buried a child, and when his father discloses it at their engagement he walks out.</t>
        </is>
      </c>
      <c r="Q76" s="20" t="n">
        <v>6</v>
      </c>
      <c r="R76" s="19" t="inlineStr">
        <is>
          <t>The decisive rupture is his: told at the engagement that Kajri had asked his father to cremate a child whose father she could not name, Somen leaves. He had not read the letter in which she explained it, and he returns only after his uncle shows it to him. That failure sits between the partners rather than outside them.</t>
        </is>
      </c>
      <c r="S76" s="20" t="n">
        <v>9</v>
      </c>
      <c r="T76" s="5" t="inlineStr">
        <is>
          <t>Caste; Religion; Family; Crime</t>
        </is>
      </c>
      <c r="U76" s="19" t="inlineStr">
        <is>
          <t>Her lower caste status, his father's orthodoxy as head priest, the rape by Roop Sahai that leaves her pregnant, a priest who refuses to cremate her dead infant, an aunt who wants to marry her to a shoemaker, and the village order that ostracises an unwed mother. Kedarnath, who burns a woman alive to protect the same man, marks how far that order will go.</t>
        </is>
      </c>
      <c r="V76" s="20" t="n">
        <v>6</v>
      </c>
      <c r="W76" s="19" t="inlineStr">
        <is>
          <t>Somen courts across caste, defies his father on principle and finally acts with Kajri against her rapist, which is substantial. The score is held down because the film's central test of his devotion is one he fails: he abandons her at the engagement on his father's word, without having read her account.</t>
        </is>
      </c>
      <c r="X76" s="20" t="n">
        <v>10</v>
      </c>
      <c r="Y76" s="20" t="n">
        <v>5</v>
      </c>
      <c r="Z76" s="20" t="n">
        <v>6</v>
      </c>
      <c r="AA76" s="20" t="n">
        <v>7</v>
      </c>
      <c r="AB76" s="20" t="n">
        <v>7</v>
      </c>
      <c r="AC76" s="19" t="inlineStr">
        <is>
          <t>Interpretive reading; no located review assesses this pairing. The third Kapoor and Madhuri Dixit film, and the demand on the pairing is unusual: for most of the second half she is playing concealment and he is playing an ignorance the audience can see through.</t>
        </is>
      </c>
      <c r="AD76" s="5" t="inlineStr">
        <is>
          <t>No</t>
        </is>
      </c>
      <c r="AE76" s="5" t="inlineStr">
        <is>
          <t>Yes</t>
        </is>
      </c>
      <c r="AF76" s="5" t="inlineStr">
        <is>
          <t>No</t>
        </is>
      </c>
      <c r="AG76" s="5" t="inlineStr">
        <is>
          <t>Partial</t>
        </is>
      </c>
      <c r="AH76" s="5" t="inlineStr">
        <is>
          <t>Yes</t>
        </is>
      </c>
      <c r="AI76" s="5" t="inlineStr">
        <is>
          <t>Yes</t>
        </is>
      </c>
      <c r="AJ76" s="5" t="inlineStr">
        <is>
          <t>Partial</t>
        </is>
      </c>
      <c r="AK76" s="19" t="inlineStr">
        <is>
          <t>From a man confident in his own progressivism to one who discovers he abandoned her at the first real test of it, and has to be brought back by a letter and his uncle.</t>
        </is>
      </c>
      <c r="AL76" s="19" t="inlineStr">
        <is>
          <t>From a village girl in love to a rape survivor who bears a child alone, begs so she can feed it, buries it when it dies, and finally names her attacker and acts against him.</t>
        </is>
      </c>
      <c r="AM76" s="5" t="inlineStr">
        <is>
          <t>Not documented in full; Kajri identifies Roop Sahai as the rapist and she, Somen and her father Baliram burn him.</t>
        </is>
      </c>
      <c r="AN76" s="5" t="inlineStr">
        <is>
          <t>Unclear</t>
        </is>
      </c>
      <c r="AO76" s="5" t="inlineStr">
        <is>
          <t>Unresolved</t>
        </is>
      </c>
      <c r="AP76" s="5" t="n"/>
      <c r="AQ76" s="19" t="inlineStr">
        <is>
          <t>The deliberate counterpart to Prem Rog fourteen years earlier, and the more honest of the two. Both films pair Kapoor with a woman destroyed by a sexual violation and a social order that blames her; in 1982 Devdhar rebuilds her life against an armed aristocracy, while here Somen walks out at the engagement. Directed by his younger brother Rajiv Kapoor, it is the film that tests the reform-hero persona and finds it conditional.</t>
        </is>
      </c>
      <c r="AR76" s="19" t="inlineStr">
        <is>
          <t>The film's treatment of Kajri is unusually unflinching for mainstream Hindi cinema of 1996: she is raped by a stranger, refused a cremation for her infant by a priest, driven out as an unwed mother, and it never suggests any of it is her fault. What it does with Somen is sharper still, since his walking out is presented as a real failure rather than a misunderstanding. The letter device, an explanation written and then not read, does let him off more lightly than his conduct warrants.</t>
        </is>
      </c>
      <c r="AS76" s="5" t="inlineStr">
        <is>
          <t>SOURCE-001; SOURCE-100</t>
        </is>
      </c>
      <c r="AT76" s="5" t="inlineStr">
        <is>
          <t>Medium</t>
        </is>
      </c>
    </row>
    <row r="77" ht="124" customHeight="1">
      <c r="A77" s="15" t="inlineStr">
        <is>
          <t>PAIR-076</t>
        </is>
      </c>
      <c r="B77" s="18" t="inlineStr">
        <is>
          <t>FILM-108</t>
        </is>
      </c>
      <c r="C77" s="5" t="inlineStr">
        <is>
          <t>Daraar</t>
        </is>
      </c>
      <c r="D77" s="17" t="n">
        <v>1996</v>
      </c>
      <c r="E77" s="5" t="inlineStr">
        <is>
          <t>Raj Malhotra</t>
        </is>
      </c>
      <c r="F77" s="5" t="inlineStr">
        <is>
          <t>Juhi Chawla</t>
        </is>
      </c>
      <c r="G77" s="5" t="inlineStr">
        <is>
          <t>Priya Bhatia</t>
        </is>
      </c>
      <c r="H77" s="5" t="inlineStr">
        <is>
          <t>Female lead</t>
        </is>
      </c>
      <c r="I77" s="5" t="inlineStr">
        <is>
          <t>Yes</t>
        </is>
      </c>
      <c r="J77" s="19" t="inlineStr">
        <is>
          <t>United couple versus external world</t>
        </is>
      </c>
      <c r="K77" s="5" t="inlineStr">
        <is>
          <t>Strangers; she is a wife in hiding and he does not know it</t>
        </is>
      </c>
      <c r="L77" s="5" t="inlineStr">
        <is>
          <t>Priya escapes her violent husband Vikram during a storm on a boat, swims ashore and runs to Shimla, where she meets Raj Malhotra.</t>
        </is>
      </c>
      <c r="M77" s="5" t="inlineStr">
        <is>
          <t>Raj, persistently enough that she tires of being followed</t>
        </is>
      </c>
      <c r="N77" s="19" t="inlineStr">
        <is>
          <t>A pursuit she keeps deflecting, then an attempt at honesty that miscarries: her mother tells her to reveal the marriage and let him choose, and the letter she writes is lost and replaced with a poem, so he learns the truth from the wrong source and leaves.</t>
        </is>
      </c>
      <c r="O77" s="19" t="inlineStr">
        <is>
          <t>His open courtship against her withdrawal, and after the letter finally reaches him, a decision taken with full knowledge.</t>
        </is>
      </c>
      <c r="P77" s="19" t="inlineStr">
        <is>
          <t>She is married and cannot say so, and when he finds out by another route he abandons her.</t>
        </is>
      </c>
      <c r="Q77" s="20" t="n">
        <v>4</v>
      </c>
      <c r="R77" s="19" t="inlineStr">
        <is>
          <t>Raj leaves her on discovering she is married, which is a real rupture and his own act, though it is produced by a letter going astray rather than by any bad faith on either side. He returns once he has her account, and the couple is united from then on.</t>
        </is>
      </c>
      <c r="S77" s="20" t="n">
        <v>9</v>
      </c>
      <c r="T77" s="5" t="inlineStr">
        <is>
          <t>Existing relationship; Villain; Crime</t>
        </is>
      </c>
      <c r="U77" s="19" t="inlineStr">
        <is>
          <t>Vikram is a suspicious and violently abusive husband who beat Priya, murdered the doctor who treated her and tried to help her blind mother, and believed her drowned. When he finds her picture in a newspaper he comes to Shimla, tries to kill Raj, has him imprisoned on a false charge of attempted murder, kills Priya's friend and attempts to kill her.</t>
        </is>
      </c>
      <c r="V77" s="20" t="n">
        <v>7</v>
      </c>
      <c r="W77" s="19" t="inlineStr">
        <is>
          <t>Raj courts persistently, chooses her knowing she is another man's wife, is imprisoned on a false charge for it and finally kills Vikram to save her. The devotion is unambiguous; the score is short of the top band because the film is a thriller in which the villain, not the lover, drives every turn.</t>
        </is>
      </c>
      <c r="X77" s="20" t="n">
        <v>9</v>
      </c>
      <c r="Y77" s="20" t="n">
        <v>7</v>
      </c>
      <c r="Z77" s="20" t="n">
        <v>7</v>
      </c>
      <c r="AA77" s="20" t="n">
        <v>6</v>
      </c>
      <c r="AB77" s="20" t="n">
        <v>7</v>
      </c>
      <c r="AC77" s="19" t="inlineStr">
        <is>
          <t>Interpretive reading; no located review assesses this pairing. The seventh of eleven Kapoor and Juhi Chawla films, and the part asks him to be the steady alternative to a young man's violence, which is where his screen presence had settled by the mid-1990s.</t>
        </is>
      </c>
      <c r="AD77" s="5" t="inlineStr">
        <is>
          <t>Partial</t>
        </is>
      </c>
      <c r="AE77" s="5" t="inlineStr">
        <is>
          <t>Partial</t>
        </is>
      </c>
      <c r="AF77" s="5" t="inlineStr">
        <is>
          <t>No</t>
        </is>
      </c>
      <c r="AG77" s="5" t="inlineStr">
        <is>
          <t>Partial</t>
        </is>
      </c>
      <c r="AH77" s="5" t="inlineStr">
        <is>
          <t>Yes</t>
        </is>
      </c>
      <c r="AI77" s="5" t="inlineStr">
        <is>
          <t>Yes</t>
        </is>
      </c>
      <c r="AJ77" s="5" t="inlineStr">
        <is>
          <t>Yes</t>
        </is>
      </c>
      <c r="AK77" s="19" t="inlineStr">
        <is>
          <t>From a suitor deterred by the discovery of a marriage to a man who marries her anyway and kills her husband to keep her alive.</t>
        </is>
      </c>
      <c r="AL77" s="19" t="inlineStr">
        <is>
          <t>From a battered wife who escapes by swimming ashore to a woman who insists on telling the truth before accepting a second man, and who tries to save even Vikram at the end.</t>
        </is>
      </c>
      <c r="AM77" s="5" t="inlineStr">
        <is>
          <t>Raj clears himself, drowns Vikram in a bathtub, and survives the final attack at the railway station where Vikram is killed by a train.</t>
        </is>
      </c>
      <c r="AN77" s="5" t="inlineStr">
        <is>
          <t>Yes</t>
        </is>
      </c>
      <c r="AO77" s="5" t="inlineStr">
        <is>
          <t>Happy</t>
        </is>
      </c>
      <c r="AP77" s="5" t="n"/>
      <c r="AQ77" s="19" t="inlineStr">
        <is>
          <t>The second film in two years, after Yaraana, to cast Kapoor as the safe attachment against a violent prior claim on the heroine, and by 1996 that had become his settled position in a romance. It is also the exact inverse of Deewana four years earlier, where he was the first husband whose survival threatened a second marriage; here he is the second man and the first husband is the monster.</t>
        </is>
      </c>
      <c r="AR77" s="19" t="inlineStr">
        <is>
          <t>The film's account of domestic violence is direct and its sympathies are not in doubt, and Priya's insistence on disclosing her marriage before accepting Raj gives her a moral initiative the plot then frustrates through pure accident. Vikram's dying line, freeing her from all bonds as the train takes him, is the one false note: it grants an abuser a redemptive exit the rest of the film has earned no reason to give him.</t>
        </is>
      </c>
      <c r="AS77" s="5" t="inlineStr">
        <is>
          <t>SOURCE-001; SOURCE-101</t>
        </is>
      </c>
      <c r="AT77" s="5" t="inlineStr">
        <is>
          <t>Medium</t>
        </is>
      </c>
    </row>
    <row r="78" ht="109" customHeight="1">
      <c r="A78" s="15" t="inlineStr">
        <is>
          <t>PAIR-077</t>
        </is>
      </c>
      <c r="B78" s="18" t="inlineStr">
        <is>
          <t>FILM-109</t>
        </is>
      </c>
      <c r="C78" s="5" t="inlineStr">
        <is>
          <t>Kaun Sachcha Kaun Jhootha</t>
        </is>
      </c>
      <c r="D78" s="17" t="n">
        <v>1997</v>
      </c>
      <c r="E78" s="5" t="inlineStr">
        <is>
          <t>CBI Officer Karan</t>
        </is>
      </c>
      <c r="F78" s="5" t="inlineStr">
        <is>
          <t>Sridevi</t>
        </is>
      </c>
      <c r="G78" s="5" t="inlineStr">
        <is>
          <t>Dr. Sapna Mathur, also credited as Madhu Mathur</t>
        </is>
      </c>
      <c r="H78" s="5" t="inlineStr">
        <is>
          <t>Female lead</t>
        </is>
      </c>
      <c r="I78" s="5" t="inlineStr">
        <is>
          <t>Yes</t>
        </is>
      </c>
      <c r="J78" s="19" t="inlineStr">
        <is>
          <t>Forbidden love</t>
        </is>
      </c>
      <c r="K78" s="5" t="inlineStr">
        <is>
          <t>Investigating officer and murder suspect</t>
        </is>
      </c>
      <c r="L78" s="5" t="inlineStr">
        <is>
          <t>Karan Saxena is assigned to apprehend the killer of a fellow officer, and the killer is Dr. Sapna Mathur; he arrests her and obtains a taped confession.</t>
        </is>
      </c>
      <c r="M78" s="5" t="inlineStr">
        <is>
          <t>Karan, whose professional interest becomes personal</t>
        </is>
      </c>
      <c r="N78" s="19" t="inlineStr">
        <is>
          <t>There is no courtship. The relationship develops through his refusal to close a case he has already won, and is consummated as an act of law-breaking when he helps her escape a death sentence.</t>
        </is>
      </c>
      <c r="O78" s="19" t="inlineStr">
        <is>
          <t>An officer's intrigue turning into attachment to a woman he himself convicted.</t>
        </is>
      </c>
      <c r="P78" s="19" t="inlineStr">
        <is>
          <t>He arrested her and secured the confession that condemned her.</t>
        </is>
      </c>
      <c r="Q78" s="20" t="n">
        <v>4</v>
      </c>
      <c r="R78" s="19" t="inlineStr">
        <is>
          <t>There is no quarrel recorded, but the relationship's foundation is that he is the man who put her under sentence of death. That asymmetry sits inside the pair, though the film treats it as the reason for his devotion rather than as a division.</t>
        </is>
      </c>
      <c r="S78" s="20" t="n">
        <v>9</v>
      </c>
      <c r="T78" s="5" t="inlineStr">
        <is>
          <t>Crime; War or politics; Fate</t>
        </is>
      </c>
      <c r="U78" s="19" t="inlineStr">
        <is>
          <t>A death sentence handed down despite his efforts, a police manhunt launched for them both after he helps her escape, a conspiracy reaching into the state's chief minister and Karan's own friends, and a mysterious adversary following him everywhere.</t>
        </is>
      </c>
      <c r="V78" s="20" t="n">
        <v>6</v>
      </c>
      <c r="W78" s="19" t="inlineStr">
        <is>
          <t>Karan destroys his own career and becomes a fugitive for a woman under sentence of death, which is sacrifice on the archetype's scale. The register is investigative rather than romantic, though: there is no courtship, no songs of pursuit and no rival, and the film is a thriller throughout.</t>
        </is>
      </c>
      <c r="X78" s="20" t="n">
        <v>8</v>
      </c>
      <c r="Y78" s="20" t="n">
        <v>6</v>
      </c>
      <c r="Z78" s="20" t="n">
        <v>6</v>
      </c>
      <c r="AA78" s="20" t="n">
        <v>5</v>
      </c>
      <c r="AB78" s="20" t="n">
        <v>6</v>
      </c>
      <c r="AC78" s="19" t="inlineStr">
        <is>
          <t>Interpretive reading; no located review assesses this pairing. The fifth and last Kapoor and Sridevi film, after Nagina, Chandni, Banjaran and Gurudev, and the only one in which the relationship is conducted almost entirely across an interrogation and a prison rather than in song.</t>
        </is>
      </c>
      <c r="AD78" s="5" t="inlineStr">
        <is>
          <t>No</t>
        </is>
      </c>
      <c r="AE78" s="5" t="inlineStr">
        <is>
          <t>Partial</t>
        </is>
      </c>
      <c r="AF78" s="5" t="inlineStr">
        <is>
          <t>No</t>
        </is>
      </c>
      <c r="AG78" s="5" t="inlineStr">
        <is>
          <t>Partial</t>
        </is>
      </c>
      <c r="AH78" s="5" t="inlineStr">
        <is>
          <t>Yes</t>
        </is>
      </c>
      <c r="AI78" s="5" t="inlineStr">
        <is>
          <t>Yes</t>
        </is>
      </c>
      <c r="AJ78" s="5" t="inlineStr">
        <is>
          <t>Yes</t>
        </is>
      </c>
      <c r="AK78" s="19" t="inlineStr">
        <is>
          <t>From the officer who secured her conviction to a fugitive who broke his own case open and is hunted for it.</t>
        </is>
      </c>
      <c r="AL78" s="19" t="inlineStr">
        <is>
          <t>From a woman who confessed to murder and was sentenced to death to an escapee whose case turns out to implicate people in power.</t>
        </is>
      </c>
      <c r="AM78" s="5" t="inlineStr">
        <is>
          <t>Not documented; the article ends with neither of them knowing what will happen next.</t>
        </is>
      </c>
      <c r="AN78" s="5" t="inlineStr">
        <is>
          <t>Unclear</t>
        </is>
      </c>
      <c r="AO78" s="5" t="inlineStr">
        <is>
          <t>Unresolved</t>
        </is>
      </c>
      <c r="AP78" s="5" t="n"/>
      <c r="AQ78" s="19" t="inlineStr">
        <is>
          <t>The barrier here is unique in the filmography: not a family, a class or a religion but a conviction, a death sentence and the hero's own duty, which he abandons. It is the last of the five Sridevi pairings and the furthest from the register of the first, Nagina, where he was the ordinary man protected by a supernatural wife.</t>
        </is>
      </c>
      <c r="AR78" s="19" t="inlineStr">
        <is>
          <t>The film's premise, an officer who cannot accept the confession he himself extracted, is a genuinely interesting one and it treats Sapna's guilt as a question rather than a given. What it does not examine is the power he holds over her throughout: she is in custody, then condemned, then dependent on him for her escape, and the article records no point at which the relationship is negotiated between equals.</t>
        </is>
      </c>
      <c r="AS78" s="5" t="inlineStr">
        <is>
          <t>SOURCE-001; SOURCE-102</t>
        </is>
      </c>
      <c r="AT78" s="5" t="inlineStr">
        <is>
          <t>Low</t>
        </is>
      </c>
    </row>
    <row r="79" ht="94" customHeight="1">
      <c r="A79" s="15" t="inlineStr">
        <is>
          <t>PAIR-078</t>
        </is>
      </c>
      <c r="B79" s="18" t="inlineStr">
        <is>
          <t>FILM-111</t>
        </is>
      </c>
      <c r="C79" s="5" t="inlineStr">
        <is>
          <t>Karobaar</t>
        </is>
      </c>
      <c r="D79" s="17" t="n">
        <v>2000</v>
      </c>
      <c r="E79" s="5" t="inlineStr">
        <is>
          <t>Amar Saxena</t>
        </is>
      </c>
      <c r="F79" s="5" t="inlineStr">
        <is>
          <t>Juhi Chawla</t>
        </is>
      </c>
      <c r="G79" s="5" t="inlineStr">
        <is>
          <t>Seema Saxena</t>
        </is>
      </c>
      <c r="H79" s="5" t="inlineStr">
        <is>
          <t>Female lead</t>
        </is>
      </c>
      <c r="I79" s="5" t="inlineStr">
        <is>
          <t>Yes</t>
        </is>
      </c>
      <c r="J79" s="19" t="inlineStr">
        <is>
          <t>Love triangle</t>
        </is>
      </c>
      <c r="K79" s="5" t="inlineStr">
        <is>
          <t>Strangers courted by two friends at once</t>
        </is>
      </c>
      <c r="L79" s="5" t="inlineStr">
        <is>
          <t>Not documented in detail; the article records that Amar and the wealthy Rajiv Sinha, childhood friends with similar tastes, coincidentally fall in love with the same woman.</t>
        </is>
      </c>
      <c r="M79" s="5" t="inlineStr">
        <is>
          <t>Both men independently</t>
        </is>
      </c>
      <c r="N79" s="19" t="inlineStr">
        <is>
          <t>A rivalry conducted as friendship: Rajiv invents a pretext to talk Amar out of the marriage rather than compete openly, and Amar marries her in spite of it.</t>
        </is>
      </c>
      <c r="O79" s="19" t="inlineStr">
        <is>
          <t>Mutual and firm on Amar's side, and undermined by a friend operating behind it.</t>
        </is>
      </c>
      <c r="P79" s="19" t="inlineStr">
        <is>
          <t>None between them; Amar is adamant and marries her.</t>
        </is>
      </c>
      <c r="Q79" s="20" t="n">
        <v>3</v>
      </c>
      <c r="R79" s="19" t="inlineStr">
        <is>
          <t>No conflict between Amar and Seema is recorded. The pressure is Rajiv's manipulation, and Amar's resistance to it is what makes the marriage happen.</t>
        </is>
      </c>
      <c r="S79" s="20" t="n">
        <v>7</v>
      </c>
      <c r="T79" s="5" t="inlineStr">
        <is>
          <t>Existing relationship; Class</t>
        </is>
      </c>
      <c r="U79" s="19" t="inlineStr">
        <is>
          <t>Rajiv is wealthy, is Amar's closest friend, wants the same woman, and invents a pretext designed to separate them; when Amar learns what the pretext was for, the friendship becomes open enmity and Rajiv is later charged with killing a girl.</t>
        </is>
      </c>
      <c r="V79" s="20" t="n">
        <v>6</v>
      </c>
      <c r="W79" s="19" t="inlineStr">
        <is>
          <t>Amar marries her against a deliberate attempt to talk him out of it, which is a real romantic assertion, and the film's second half is his retaliation for it. The score sits mid-scale because there is no courtship dramatised and the plot converts quickly into a legal revenge.</t>
        </is>
      </c>
      <c r="X79" s="20" t="n">
        <v>8</v>
      </c>
      <c r="Y79" s="20" t="n">
        <v>7</v>
      </c>
      <c r="Z79" s="20" t="n">
        <v>7</v>
      </c>
      <c r="AA79" s="20" t="n">
        <v>4</v>
      </c>
      <c r="AB79" s="20" t="n">
        <v>6</v>
      </c>
      <c r="AC79" s="19" t="inlineStr">
        <is>
          <t>Interpretive reading; no located review assesses this pairing, and the located review of the film is a retrospective one concerning its borrowing from Indecent Proposal. The eighth of eleven Kapoor and Juhi Chawla films.</t>
        </is>
      </c>
      <c r="AD79" s="5" t="inlineStr">
        <is>
          <t>Unclear</t>
        </is>
      </c>
      <c r="AE79" s="5" t="inlineStr">
        <is>
          <t>No</t>
        </is>
      </c>
      <c r="AF79" s="5" t="inlineStr">
        <is>
          <t>No</t>
        </is>
      </c>
      <c r="AG79" s="5" t="inlineStr">
        <is>
          <t>Yes</t>
        </is>
      </c>
      <c r="AH79" s="5" t="inlineStr">
        <is>
          <t>No</t>
        </is>
      </c>
      <c r="AI79" s="5" t="inlineStr">
        <is>
          <t>No</t>
        </is>
      </c>
      <c r="AJ79" s="5" t="inlineStr">
        <is>
          <t>Partial</t>
        </is>
      </c>
      <c r="AK79" s="19" t="inlineStr">
        <is>
          <t>From a man who almost surrendered his marriage on a friend's word to a lawyer prosecuting that friend.</t>
        </is>
      </c>
      <c r="AL79" s="19" t="inlineStr">
        <is>
          <t>Not documented; the article gives Seema no action of her own.</t>
        </is>
      </c>
      <c r="AM79" s="5" t="inlineStr">
        <is>
          <t>They marry; the article's plot then follows the enmity and ends with Amar deciding to retaliate against Rajiv.</t>
        </is>
      </c>
      <c r="AN79" s="5" t="inlineStr">
        <is>
          <t>Yes</t>
        </is>
      </c>
      <c r="AO79" s="5" t="inlineStr">
        <is>
          <t>Unresolved</t>
        </is>
      </c>
      <c r="AP79" s="5" t="n"/>
      <c r="AQ79" s="19" t="inlineStr">
        <is>
          <t>The last of the 1990s Juhi Chawla pairings and the thinnest, because the film's interest moves quickly from the marriage to the vendetta. Its one distinctive feature is that the rival tries to win by deceiving his friend rather than the woman, which keeps Seema outside the contest entirely.</t>
        </is>
      </c>
      <c r="AR79" s="19" t="inlineStr">
        <is>
          <t>Seema is the object of a rivalry she is never shown participating in: two men fall in love with her, one manipulates the other about her, and the article records no preference or action of hers at any point. The retrospective review's verdict, that the film added local twists to Indecent Proposal and failed, points at the same problem.</t>
        </is>
      </c>
      <c r="AS79" s="5" t="inlineStr">
        <is>
          <t>SOURCE-001; SOURCE-103</t>
        </is>
      </c>
      <c r="AT79" s="5" t="inlineStr">
        <is>
          <t>Low</t>
        </is>
      </c>
    </row>
    <row r="80" ht="94" customHeight="1">
      <c r="A80" s="15" t="inlineStr">
        <is>
          <t>PAIR-079</t>
        </is>
      </c>
      <c r="B80" s="18" t="inlineStr">
        <is>
          <t>FILM-113</t>
        </is>
      </c>
      <c r="C80" s="5" t="inlineStr">
        <is>
          <t>Kuch Khatti Kuch Meethi</t>
        </is>
      </c>
      <c r="D80" s="17" t="n">
        <v>2001</v>
      </c>
      <c r="E80" s="5" t="inlineStr">
        <is>
          <t>Raj Khanna</t>
        </is>
      </c>
      <c r="F80" s="5" t="inlineStr">
        <is>
          <t>Rati Agnihotri</t>
        </is>
      </c>
      <c r="G80" s="5" t="inlineStr">
        <is>
          <t>Archana Khanna</t>
        </is>
      </c>
      <c r="H80" s="5" t="inlineStr">
        <is>
          <t>Female lead of the parents' generation</t>
        </is>
      </c>
      <c r="I80" s="5" t="inlineStr">
        <is>
          <t>Partial</t>
        </is>
      </c>
      <c r="J80" s="19" t="inlineStr">
        <is>
          <t>Relationship damaged by mistrust</t>
        </is>
      </c>
      <c r="K80" s="5" t="inlineStr">
        <is>
          <t>Married, and expecting a child when the film's action begins</t>
        </is>
      </c>
      <c r="L80" s="5" t="inlineStr">
        <is>
          <t>They do not meet in the film; the marriage is established and then destroyed in the opening movement.</t>
        </is>
      </c>
      <c r="M80" s="5" t="inlineStr">
        <is>
          <t>Not applicable</t>
        </is>
      </c>
      <c r="N80" s="19" t="inlineStr">
        <is>
          <t>None shown. The film is about a separation being undone twenty years later by the children it divided.</t>
        </is>
      </c>
      <c r="O80" s="19" t="inlineStr">
        <is>
          <t>A marriage ended on a manufactured suspicion, and two decades of separate lives on either side of it.</t>
        </is>
      </c>
      <c r="P80" s="19" t="inlineStr">
        <is>
          <t>He believes his stepsister's claim that Archana is having an affair, and they separate; by the time the twins intervene he is himself conducting an affair with Savitri.</t>
        </is>
      </c>
      <c r="Q80" s="20" t="n">
        <v>6</v>
      </c>
      <c r="R80" s="19" t="inlineStr">
        <is>
          <t>The separation rests on his willingness to believe a lie about his wife without testing it, which is his failure, and the affair with Savitri is a second one. Both sit inside the marriage rather than outside it, even though the lie was planted.</t>
        </is>
      </c>
      <c r="S80" s="20" t="n">
        <v>7</v>
      </c>
      <c r="T80" s="5" t="inlineStr">
        <is>
          <t>Family</t>
        </is>
      </c>
      <c r="U80" s="19" t="inlineStr">
        <is>
          <t>Devyani, Raj's stepsister, wants his wealth and manufactures the accusation of infidelity that ends the marriage; the separation then divides the newborn twins between two countries, which keeps it in place for twenty years.</t>
        </is>
      </c>
      <c r="V80" s="20" t="n">
        <v>3</v>
      </c>
      <c r="W80" s="19" t="inlineStr">
        <is>
          <t>Kapoor plays the father in a twin-swap comedy: there is no courtship, and his romantic conduct in the film consists of believing a lie about his wife and taking up with another woman. The reconciliation is achieved by his daughters rather than by him.</t>
        </is>
      </c>
      <c r="X80" s="20" t="n">
        <v>8</v>
      </c>
      <c r="Y80" s="20" t="n">
        <v>4</v>
      </c>
      <c r="Z80" s="20" t="n">
        <v>5</v>
      </c>
      <c r="AA80" s="20" t="n">
        <v>5</v>
      </c>
      <c r="AB80" s="20" t="n">
        <v>6</v>
      </c>
      <c r="AC80" s="19" t="inlineStr">
        <is>
          <t>Interpretive reading; no located review assesses this pairing. The two are kept apart for almost the whole film by design and meet only at the close, so the relationship is carried by the children's efforts rather than by any interaction between the couple.</t>
        </is>
      </c>
      <c r="AD80" s="5" t="inlineStr">
        <is>
          <t>No</t>
        </is>
      </c>
      <c r="AE80" s="5" t="inlineStr">
        <is>
          <t>Yes</t>
        </is>
      </c>
      <c r="AF80" s="5" t="inlineStr">
        <is>
          <t>Yes</t>
        </is>
      </c>
      <c r="AG80" s="5" t="inlineStr">
        <is>
          <t>Yes</t>
        </is>
      </c>
      <c r="AH80" s="5" t="inlineStr">
        <is>
          <t>Yes</t>
        </is>
      </c>
      <c r="AI80" s="5" t="inlineStr">
        <is>
          <t>No</t>
        </is>
      </c>
      <c r="AJ80" s="5" t="inlineStr">
        <is>
          <t>No</t>
        </is>
      </c>
      <c r="AK80" s="19" t="inlineStr">
        <is>
          <t>From a husband who believed a lie to a father brought back to his wife by the daughters his suspicion separated.</t>
        </is>
      </c>
      <c r="AL80" s="19" t="inlineStr">
        <is>
          <t>From a wife accused of an affair she did not have to a woman who raised one daughter alone in London for twenty years.</t>
        </is>
      </c>
      <c r="AM80" s="5" t="inlineStr">
        <is>
          <t>Raj and Archana finally meet and consider living together again.</t>
        </is>
      </c>
      <c r="AN80" s="5" t="inlineStr">
        <is>
          <t>Yes</t>
        </is>
      </c>
      <c r="AO80" s="5" t="inlineStr">
        <is>
          <t>Happy</t>
        </is>
      </c>
      <c r="AP80" s="5" t="n"/>
      <c r="AQ80" s="19" t="inlineStr">
        <is>
          <t>The last of the jealous-husband roles that run through Kapoor's 1990s work, from Ghar Ghar Ki Kahani onward, and the most lightly treated: here the suspicion is a comedy premise rather than a tragedy, and the reconciliation is a children's project. The structure is that of The Parent Trap grafted onto a Hindi family melodrama.</t>
        </is>
      </c>
      <c r="AR80" s="19" t="inlineStr">
        <is>
          <t>The film asks very little of Raj: he destroys his marriage on a lie, separates infant twins, conducts an affair, and is reunited with his wife by his daughters' ingenuity without having to account for any of it. Archana, who was falsely accused and raised a child alone, is the one who has to be brought round at the end.</t>
        </is>
      </c>
      <c r="AS80" s="5" t="inlineStr">
        <is>
          <t>SOURCE-001; SOURCE-105</t>
        </is>
      </c>
      <c r="AT80" s="5" t="inlineStr">
        <is>
          <t>Low</t>
        </is>
      </c>
    </row>
    <row r="81" ht="109" customHeight="1">
      <c r="A81" s="15" t="inlineStr">
        <is>
          <t>PAIR-080</t>
        </is>
      </c>
      <c r="B81" s="18" t="inlineStr">
        <is>
          <t>FILM-117</t>
        </is>
      </c>
      <c r="C81" s="5" t="inlineStr">
        <is>
          <t>Tehzeeb</t>
        </is>
      </c>
      <c r="D81" s="17" t="n">
        <v>2003</v>
      </c>
      <c r="E81" s="5" t="inlineStr">
        <is>
          <t>Anwar Jamaal</t>
        </is>
      </c>
      <c r="F81" s="5" t="inlineStr">
        <is>
          <t>Shabana Azmi</t>
        </is>
      </c>
      <c r="G81" s="5" t="inlineStr">
        <is>
          <t>Rukhsana Jamal</t>
        </is>
      </c>
      <c r="H81" s="5" t="inlineStr">
        <is>
          <t>Female lead</t>
        </is>
      </c>
      <c r="I81" s="5" t="inlineStr">
        <is>
          <t>Yes</t>
        </is>
      </c>
      <c r="J81" s="19" t="inlineStr">
        <is>
          <t>Marriage under strain</t>
        </is>
      </c>
      <c r="K81" s="5" t="inlineStr">
        <is>
          <t>Married for years, with two daughters</t>
        </is>
      </c>
      <c r="L81" s="5" t="inlineStr">
        <is>
          <t>Not documented; the article records only that Anwar and Rukhsana had been married for years.</t>
        </is>
      </c>
      <c r="M81" s="5" t="inlineStr">
        <is>
          <t>Not applicable</t>
        </is>
      </c>
      <c r="N81" s="19" t="inlineStr">
        <is>
          <t>None shown. The marriage exists in flashback and in the accusation that survives it.</t>
        </is>
      </c>
      <c r="O81" s="19" t="inlineStr">
        <is>
          <t>Not documented; an ambitious and popular singer on one side and a husband sinking into depression on the other.</t>
        </is>
      </c>
      <c r="P81" s="19" t="inlineStr">
        <is>
          <t>After the birth of their daughters he goes into depression and kills himself, and his elder daughter spends twenty years holding his wife responsible.</t>
        </is>
      </c>
      <c r="Q81" s="20" t="n">
        <v>5</v>
      </c>
      <c r="R81" s="19" t="inlineStr">
        <is>
          <t>The article gives a depression and a suicide without explaining either, and sets them against a wife whose career was ascending. Scored in the middle band and provisionally: something in the marriage failed, and nothing located says what.</t>
        </is>
      </c>
      <c r="S81" s="20" t="n">
        <v>4</v>
      </c>
      <c r="T81" s="5" t="inlineStr">
        <is>
          <t>Illness; Family</t>
        </is>
      </c>
      <c r="U81" s="19" t="inlineStr">
        <is>
          <t>There is no external force acting on the marriage. What survives it is the family consequence: a court case, a daughter's grievance, and a household divided for years over a death the court had already ruled Rukhsana innocent of.</t>
        </is>
      </c>
      <c r="V81" s="20" t="n">
        <v>2</v>
      </c>
      <c r="W81" s="19" t="inlineStr">
        <is>
          <t>The part is a husband in a marriage the film examines only after his death, and the character's defining act is suicide. There is no courtship, devotion or sacrifice in the archetype's sense, and Kapoor appears largely in flashback.</t>
        </is>
      </c>
      <c r="X81" s="20" t="n">
        <v>6</v>
      </c>
      <c r="Y81" s="20" t="n">
        <v>3</v>
      </c>
      <c r="Z81" s="20" t="n">
        <v>4</v>
      </c>
      <c r="AA81" s="20" t="n">
        <v>7</v>
      </c>
      <c r="AB81" s="20" t="n">
        <v>5</v>
      </c>
      <c r="AC81" s="19" t="inlineStr">
        <is>
          <t>Interpretive reading; no located review assesses this pairing, and the article records praise for Urmila Matondkar and Shabana Azmi rather than for the marriage scenes. The character exists in fragments, which leaves very little to judge.</t>
        </is>
      </c>
      <c r="AD81" s="5" t="inlineStr">
        <is>
          <t>Unclear</t>
        </is>
      </c>
      <c r="AE81" s="5" t="inlineStr">
        <is>
          <t>Partial</t>
        </is>
      </c>
      <c r="AF81" s="5" t="inlineStr">
        <is>
          <t>Unclear</t>
        </is>
      </c>
      <c r="AG81" s="5" t="inlineStr">
        <is>
          <t>No</t>
        </is>
      </c>
      <c r="AH81" s="5" t="inlineStr">
        <is>
          <t>Yes</t>
        </is>
      </c>
      <c r="AI81" s="5" t="inlineStr">
        <is>
          <t>No</t>
        </is>
      </c>
      <c r="AJ81" s="5" t="inlineStr">
        <is>
          <t>No</t>
        </is>
      </c>
      <c r="AK81" s="19" t="inlineStr">
        <is>
          <t>Not documented; the depression arrives after the daughters are born and the article offers no account of its course.</t>
        </is>
      </c>
      <c r="AL81" s="19" t="inlineStr">
        <is>
          <t>From a wife and ambitious singer to a widow accused by her own daughter of causing her husband's death, cleared in court and blamed anyway for twenty years.</t>
        </is>
      </c>
      <c r="AM81" s="5" t="inlineStr">
        <is>
          <t>Ended by his suicide; the film's disclosure is that he killed himself and Rukhsana was not responsible.</t>
        </is>
      </c>
      <c r="AN81" s="5" t="inlineStr">
        <is>
          <t>Yes</t>
        </is>
      </c>
      <c r="AO81" s="5" t="inlineStr">
        <is>
          <t>Tragic</t>
        </is>
      </c>
      <c r="AP81" s="5" t="n"/>
      <c r="AQ81" s="19" t="inlineStr">
        <is>
          <t>Recorded because the marriage and its end are the question the whole film is built to answer, even though Kapoor's part in it is a special appearance conducted largely in flashback. It is the only pairing in the filmography that ends in the male character's suicide, and the only one whose central fact is a wrongful accusation levelled at the wife by her child.</t>
        </is>
      </c>
      <c r="AR81" s="19" t="inlineStr">
        <is>
          <t>The film, taken from Bergman's Autumn Sonata, is interested in what a daughter does with a grievance rather than in the marriage itself, and Anwar exists chiefly as the absence both women argue over. Its clearest statement is that a successful woman was blamed for her husband's death by everyone including a court that acquitted her, which the film treats as an injustice rather than a mystery.</t>
        </is>
      </c>
      <c r="AS81" s="5" t="inlineStr">
        <is>
          <t>SOURCE-001; SOURCE-109</t>
        </is>
      </c>
      <c r="AT81" s="5" t="inlineStr">
        <is>
          <t>Low</t>
        </is>
      </c>
    </row>
    <row r="82" ht="139" customHeight="1">
      <c r="A82" s="15" t="inlineStr">
        <is>
          <t>PAIR-081</t>
        </is>
      </c>
      <c r="B82" s="18" t="inlineStr">
        <is>
          <t>FILM-119</t>
        </is>
      </c>
      <c r="C82" s="5" t="inlineStr">
        <is>
          <t>Pyaar Mein Twist</t>
        </is>
      </c>
      <c r="D82" s="17" t="n">
        <v>2005</v>
      </c>
      <c r="E82" s="5" t="inlineStr">
        <is>
          <t>Yash Khurana</t>
        </is>
      </c>
      <c r="F82" s="5" t="inlineStr">
        <is>
          <t>Dimple Kapadia</t>
        </is>
      </c>
      <c r="G82" s="5" t="inlineStr">
        <is>
          <t>Sheetal Arya</t>
        </is>
      </c>
      <c r="H82" s="5" t="inlineStr">
        <is>
          <t>Female lead</t>
        </is>
      </c>
      <c r="I82" s="5" t="inlineStr">
        <is>
          <t>Yes</t>
        </is>
      </c>
      <c r="J82" s="19" t="inlineStr">
        <is>
          <t>Playful conflict masking attraction</t>
        </is>
      </c>
      <c r="K82" s="5" t="inlineStr">
        <is>
          <t>Strangers who meet in a street quarrel</t>
        </is>
      </c>
      <c r="L82" s="5" t="inlineStr">
        <is>
          <t>Walking his dogs across a busy intersection, Yash is nearly hit by a car, calls the police and berates the driver; Sheetal laughingly points out to the policeman that walking two dogs at once is itself against the law.</t>
        </is>
      </c>
      <c r="M82" s="5" t="inlineStr">
        <is>
          <t>Neither; both go home and describe the quarrel to their families before they meet again</t>
        </is>
      </c>
      <c r="N82" s="19" t="inlineStr">
        <is>
          <t>An adult courtship conducted openly and then in secret: a quarrel, a second meeting, a date at a Moroccan restaurant that is reported back to a gossiping acquaintance, and finally an elopement of two grandparents advised to run away together.</t>
        </is>
      </c>
      <c r="O82" s="19" t="inlineStr">
        <is>
          <t>Mutual, unhurried and companionable, grounded in what the two have in common rather than in pursuit: each has lost a spouse and each has put a family first.</t>
        </is>
      </c>
      <c r="P82" s="19" t="inlineStr">
        <is>
          <t>None of substance; the opening quarrel is the meeting rather than a division.</t>
        </is>
      </c>
      <c r="Q82" s="20" t="n">
        <v>2</v>
      </c>
      <c r="R82" s="19" t="inlineStr">
        <is>
          <t>Yash and Sheetal are aligned from their second meeting onward. The comic hostility of the intersection scene is the film's way of introducing them, and no conflict between them follows it.</t>
        </is>
      </c>
      <c r="S82" s="20" t="n">
        <v>7</v>
      </c>
      <c r="T82" s="5" t="inlineStr">
        <is>
          <t>Family; Community</t>
        </is>
      </c>
      <c r="U82" s="19" t="inlineStr">
        <is>
          <t>The opposition is their own adult children, who are irate about the relationship and suspect it of being a long-running secret affair conducted behind their backs. Madhu, the mother of Sheetal's prospective son-in-law, uses a report of their date as a further excuse to delay her son's wedding to Sheetal's daughter, so the romance is also a liability in a marriage negotiation.</t>
        </is>
      </c>
      <c r="V82" s="20" t="n">
        <v>7</v>
      </c>
      <c r="W82" s="19" t="inlineStr">
        <is>
          <t>Yash courts openly, runs away with her when the families object, and declares in front of both households that they intend to marry, which is the archetype's full sequence of pursuit, defiance and public declaration. It falls short of the top band because the register is companionship rather than ardour, and because the film gives him a retirement and a company to hand over as well.</t>
        </is>
      </c>
      <c r="X82" s="20" t="n">
        <v>9</v>
      </c>
      <c r="Y82" s="20" t="n">
        <v>8</v>
      </c>
      <c r="Z82" s="20" t="n">
        <v>8</v>
      </c>
      <c r="AA82" s="20" t="n">
        <v>7</v>
      </c>
      <c r="AB82" s="20" t="n">
        <v>8</v>
      </c>
      <c r="AC82" s="19" t="inlineStr">
        <is>
          <t>Interpretive reading; no located review assesses this pairing, though the article records a reviewer noting Vikas Bhalla's comeback as Kapoor's son. The third Kapoor and Dimple Kapadia pairing, twenty years after Saagar and thirty-two after Bobby, and the film trades on that history: the ease between them is the premise rather than something the plot has to establish.</t>
        </is>
      </c>
      <c r="AD82" s="5" t="inlineStr">
        <is>
          <t>Yes</t>
        </is>
      </c>
      <c r="AE82" s="5" t="inlineStr">
        <is>
          <t>No</t>
        </is>
      </c>
      <c r="AF82" s="5" t="inlineStr">
        <is>
          <t>No</t>
        </is>
      </c>
      <c r="AG82" s="5" t="inlineStr">
        <is>
          <t>Partial</t>
        </is>
      </c>
      <c r="AH82" s="5" t="inlineStr">
        <is>
          <t>No</t>
        </is>
      </c>
      <c r="AI82" s="5" t="inlineStr">
        <is>
          <t>Partial</t>
        </is>
      </c>
      <c r="AJ82" s="5" t="inlineStr">
        <is>
          <t>Yes</t>
        </is>
      </c>
      <c r="AK82" s="19" t="inlineStr">
        <is>
          <t>From a man whose retirement is an absence of purpose to one who declares, in front of both families, that he intends to marry again.</t>
        </is>
      </c>
      <c r="AL82" s="19" t="inlineStr">
        <is>
          <t>From a widow organising her daughter's wedding and nothing of her own to a woman who leaves with him and is granted the marriage she wants.</t>
        </is>
      </c>
      <c r="AM82" s="5" t="inlineStr">
        <is>
          <t>Traced by the children after running away together, Yash declares their intention to marry and the families accept it; Sanju marries Riya.</t>
        </is>
      </c>
      <c r="AN82" s="5" t="inlineStr">
        <is>
          <t>Yes</t>
        </is>
      </c>
      <c r="AO82" s="5" t="inlineStr">
        <is>
          <t>Happy</t>
        </is>
      </c>
      <c r="AP82" s="5" t="n"/>
      <c r="AQ82" s="19" t="inlineStr">
        <is>
          <t>The single most important pairing for the project's central question after Bobby, because it is the only one in which Kapoor plays the romantic lead of a conventional courtship while unambiguously being a parent. Every structural element of his 1970s romances is present, the near-zero pair friction, the external opposition, the elopement, the public declaration, with one inversion: the opposition comes from children rather than parents. Thirty-two years after Bobby, the same shape is played with the generations reversed, which is the clearest single measure of how the persona aged.</t>
        </is>
      </c>
      <c r="AR82" s="19" t="inlineStr">
        <is>
          <t>The film's most quietly radical move is treating two widowed parents' desire as legitimate and their children's embarrassment as the obstacle to be overcome, rather than the reverse. The children's suspicion that the relationship must be a long-standing secret affair is well observed, since it assumes older people could not simply have met. Sheetal is given the film's best line at the outset and a genuine choice at the end, though the declaration that settles matters is still his to make.</t>
        </is>
      </c>
      <c r="AS82" s="5" t="inlineStr">
        <is>
          <t>SOURCE-001; SOURCE-111</t>
        </is>
      </c>
      <c r="AT82" s="5" t="inlineStr">
        <is>
          <t>Medium</t>
        </is>
      </c>
    </row>
    <row r="83" ht="109" customHeight="1">
      <c r="A83" s="15" t="inlineStr">
        <is>
          <t>PAIR-082</t>
        </is>
      </c>
      <c r="B83" s="18" t="inlineStr">
        <is>
          <t>FILM-123</t>
        </is>
      </c>
      <c r="C83" s="5" t="inlineStr">
        <is>
          <t>Namastey London</t>
        </is>
      </c>
      <c r="D83" s="17" t="n">
        <v>2007</v>
      </c>
      <c r="E83" s="5" t="inlineStr">
        <is>
          <t>Manmohan</t>
        </is>
      </c>
      <c r="F83" s="5" t="inlineStr">
        <is>
          <t>Nina Wadia</t>
        </is>
      </c>
      <c r="G83" s="5" t="inlineStr">
        <is>
          <t>Bebo Malhotra</t>
        </is>
      </c>
      <c r="H83" s="5" t="inlineStr">
        <is>
          <t>Supporting female lead</t>
        </is>
      </c>
      <c r="I83" s="5" t="inlineStr">
        <is>
          <t>No</t>
        </is>
      </c>
      <c r="J83" s="19" t="inlineStr">
        <is>
          <t>Marriage under strain</t>
        </is>
      </c>
      <c r="K83" s="5" t="inlineStr">
        <is>
          <t>Married in India before he emigrated</t>
        </is>
      </c>
      <c r="L83" s="5" t="inlineStr">
        <is>
          <t>Not documented; Manmohan married Bebo in India, went to London to establish himself, and obtained a visa for her four years later so that she could join him.</t>
        </is>
      </c>
      <c r="M83" s="5" t="inlineStr">
        <is>
          <t>Not applicable</t>
        </is>
      </c>
      <c r="N83" s="19" t="inlineStr">
        <is>
          <t>None shown. The marriage predates the film and what it dramatises is thirty years of one partner being quietly ashamed of the other.</t>
        </is>
      </c>
      <c r="O83" s="19" t="inlineStr">
        <is>
          <t>A settled marriage carried on across a humiliation that is never named: he is embarrassed by her and she knows it well enough to build her daughter a different life.</t>
        </is>
      </c>
      <c r="P83" s="19" t="inlineStr">
        <is>
          <t>He is embarrassed that she cannot speak English or mix with British people, and leaves her out of the occasions he attends while he socialises.</t>
        </is>
      </c>
      <c r="Q83" s="20" t="n">
        <v>6</v>
      </c>
      <c r="R83" s="19" t="inlineStr">
        <is>
          <t>The article is explicit that Manmohan was always embarrassed by Bebo and as a firm result excluded her from important occasions. That is a sustained injury inside the marriage rather than an obstacle imposed on it, and it is entirely his doing.</t>
        </is>
      </c>
      <c r="S83" s="20" t="n">
        <v>4</v>
      </c>
      <c r="T83" s="5" t="inlineStr">
        <is>
          <t>Class; Community; Distance</t>
        </is>
      </c>
      <c r="U83" s="19" t="inlineStr">
        <is>
          <t>The pressures are those of migration rather than of any person: four years apart while he established himself and she waited for a visa, and a British social world in which her lack of English made her, in his eyes, unpresentable.</t>
        </is>
      </c>
      <c r="V83" s="20" t="n">
        <v>2</v>
      </c>
      <c r="W83" s="19" t="inlineStr">
        <is>
          <t>There is no courtship, devotion or sacrifice in this relationship. Kapoor plays a husband whose treatment of his wife is the film's diagnosis of him, and the romantic energy in the film belongs entirely to the younger couple.</t>
        </is>
      </c>
      <c r="X83" s="20" t="n">
        <v>9</v>
      </c>
      <c r="Y83" s="20" t="n">
        <v>3</v>
      </c>
      <c r="Z83" s="20" t="n">
        <v>3</v>
      </c>
      <c r="AA83" s="20" t="n">
        <v>6</v>
      </c>
      <c r="AB83" s="20" t="n">
        <v>5</v>
      </c>
      <c r="AC83" s="19" t="inlineStr">
        <is>
          <t>Interpretive reading; no located review assesses this pairing. The marriage is established through Manmohan's conduct rather than through scenes between the two, and Nina Wadia's Bebo is given her weight by a single decision about her daughter rather than by any exchange with her husband.</t>
        </is>
      </c>
      <c r="AD83" s="5" t="inlineStr">
        <is>
          <t>No</t>
        </is>
      </c>
      <c r="AE83" s="5" t="inlineStr">
        <is>
          <t>Partial</t>
        </is>
      </c>
      <c r="AF83" s="5" t="inlineStr">
        <is>
          <t>No</t>
        </is>
      </c>
      <c r="AG83" s="5" t="inlineStr">
        <is>
          <t>No</t>
        </is>
      </c>
      <c r="AH83" s="5" t="inlineStr">
        <is>
          <t>Partial</t>
        </is>
      </c>
      <c r="AI83" s="5" t="inlineStr">
        <is>
          <t>Partial</t>
        </is>
      </c>
      <c r="AJ83" s="5" t="inlineStr">
        <is>
          <t>No</t>
        </is>
      </c>
      <c r="AK83" s="19" t="inlineStr">
        <is>
          <t>From a man embarrassed by his own wife to one confronted by a daughter who learned contempt for India exactly as he taught it.</t>
        </is>
      </c>
      <c r="AL83" s="19" t="inlineStr">
        <is>
          <t>From a wife excluded from her husband's social life to the parent who quietly determined that her daughter would not be treated as she was.</t>
        </is>
      </c>
      <c r="AM83" s="5" t="inlineStr">
        <is>
          <t>Not documented; the article's plot follows Jasmeet's engagement rather than the marriage.</t>
        </is>
      </c>
      <c r="AN83" s="5" t="inlineStr">
        <is>
          <t>Yes</t>
        </is>
      </c>
      <c r="AO83" s="5" t="inlineStr">
        <is>
          <t>Unresolved</t>
        </is>
      </c>
      <c r="AP83" s="5" t="n"/>
      <c r="AQ83" s="19" t="inlineStr">
        <is>
          <t>A marriage recorded not for its romance but for its diagnostic function: the film's whole argument about assimilation is contained in a husband who found his wife embarrassing, and in the daughter that shame produced. Female agency sits well above the relationship's other scores because Bebo's one documented act, educating Jasmeet in English so she would not end up as she had, is what sets the entire plot going.</t>
        </is>
      </c>
      <c r="AR83" s="19" t="inlineStr">
        <is>
          <t>The film is sharper about Manmohan than he is about himself: he wants an Indian son-in-law from a daughter he raised to be ashamed of India, having spent the marriage ashamed of an Indian wife. Bebo is given no scene in which she says any of this, which is both the portrait's realism and its limitation.</t>
        </is>
      </c>
      <c r="AS83" s="5" t="inlineStr">
        <is>
          <t>SOURCE-001; SOURCE-114</t>
        </is>
      </c>
      <c r="AT83" s="5" t="inlineStr">
        <is>
          <t>Low</t>
        </is>
      </c>
    </row>
    <row r="84" ht="109" customHeight="1">
      <c r="A84" s="15" t="inlineStr">
        <is>
          <t>PAIR-083</t>
        </is>
      </c>
      <c r="B84" s="18" t="inlineStr">
        <is>
          <t>FILM-129</t>
        </is>
      </c>
      <c r="C84" s="5" t="inlineStr">
        <is>
          <t>Delhi-6</t>
        </is>
      </c>
      <c r="D84" s="17" t="n">
        <v>2009</v>
      </c>
      <c r="E84" s="5" t="inlineStr">
        <is>
          <t>Ali Beg</t>
        </is>
      </c>
      <c r="F84" s="5" t="inlineStr">
        <is>
          <t>Tanvi Azmi</t>
        </is>
      </c>
      <c r="G84" s="5" t="inlineStr">
        <is>
          <t>Fatima Mehra</t>
        </is>
      </c>
      <c r="H84" s="5" t="inlineStr">
        <is>
          <t>Supporting</t>
        </is>
      </c>
      <c r="I84" s="5" t="inlineStr">
        <is>
          <t>No</t>
        </is>
      </c>
      <c r="J84" s="19" t="inlineStr">
        <is>
          <t>Unrequited love</t>
        </is>
      </c>
      <c r="K84" s="5" t="inlineStr">
        <is>
          <t>Acquaintances in the same Old Delhi neighbourhood, many years before the film</t>
        </is>
      </c>
      <c r="L84" s="5" t="inlineStr">
        <is>
          <t>Not documented; the article records only that Ali Beg fancied Roshan's mother Fatima many years ago, and that Roshan is surprised to learn it.</t>
        </is>
      </c>
      <c r="M84" s="5" t="inlineStr">
        <is>
          <t>Ali Beg, and only inwardly</t>
        </is>
      </c>
      <c r="N84" s="19" t="inlineStr">
        <is>
          <t>There is none. The attachment was never acted on, and its whole expression is a life left unmarried.</t>
        </is>
      </c>
      <c r="O84" s="19" t="inlineStr">
        <is>
          <t>One-sided and decades old, surviving as a fact the neighbourhood knows and Roshan does not.</t>
        </is>
      </c>
      <c r="P84" s="19" t="inlineStr">
        <is>
          <t>None recorded; she married elsewhere and he never married at all.</t>
        </is>
      </c>
      <c r="Q84" s="20" t="n">
        <v>1</v>
      </c>
      <c r="R84" s="19" t="inlineStr">
        <is>
          <t>Nothing between them is recorded as conflict. The relationship consists of a feeling that was never pressed, and the article treats it as part of the lane's history rather than as a quarrel.</t>
        </is>
      </c>
      <c r="S84" s="20" t="n">
        <v>6</v>
      </c>
      <c r="T84" s="5" t="inlineStr">
        <is>
          <t>Family; Community; Religion</t>
        </is>
      </c>
      <c r="U84" s="19" t="inlineStr">
        <is>
          <t>The obstacle is not documented directly, but Fatima married into the Mehra household and Ali Beg remained a Muslim bachelor in a lane the film shows sliding towards a religious dispute. Whatever kept them apart, it was decisive enough that he never married anyone.</t>
        </is>
      </c>
      <c r="V84" s="20" t="n">
        <v>6</v>
      </c>
      <c r="W84" s="19" t="inlineStr">
        <is>
          <t>A whole life's celibacy in consequence of one attachment is devotion on the archetype's scale, and it is the most romantic fact in the film. What holds the score down is that nothing is ever pursued, declared or sacrificed in the open; the devotion is entirely passive and entirely private.</t>
        </is>
      </c>
      <c r="X84" s="20" t="n">
        <v>5</v>
      </c>
      <c r="Y84" s="20" t="n">
        <v>6</v>
      </c>
      <c r="Z84" s="20" t="n">
        <v>1</v>
      </c>
      <c r="AA84" s="20" t="n">
        <v>4</v>
      </c>
      <c r="AB84" s="20" t="n">
        <v>5</v>
      </c>
      <c r="AC84" s="19" t="inlineStr">
        <is>
          <t>Interpretive reading; no located review assesses this pairing. The two characters share little or no screen time, since the attachment is delivered as a piece of neighbourhood knowledge rather than played out, so there is almost nothing between the performers to assess.</t>
        </is>
      </c>
      <c r="AD84" s="5" t="inlineStr">
        <is>
          <t>No</t>
        </is>
      </c>
      <c r="AE84" s="5" t="inlineStr">
        <is>
          <t>No</t>
        </is>
      </c>
      <c r="AF84" s="5" t="inlineStr">
        <is>
          <t>No</t>
        </is>
      </c>
      <c r="AG84" s="5" t="inlineStr">
        <is>
          <t>No</t>
        </is>
      </c>
      <c r="AH84" s="5" t="inlineStr">
        <is>
          <t>Yes</t>
        </is>
      </c>
      <c r="AI84" s="5" t="inlineStr">
        <is>
          <t>Yes</t>
        </is>
      </c>
      <c r="AJ84" s="5" t="inlineStr">
        <is>
          <t>No</t>
        </is>
      </c>
      <c r="AK84" s="19" t="inlineStr">
        <is>
          <t>None; the character is defined by a decision taken decades before the film and never revisited.</t>
        </is>
      </c>
      <c r="AL84" s="19" t="inlineStr">
        <is>
          <t>Not documented.</t>
        </is>
      </c>
      <c r="AM84" s="5" t="inlineStr">
        <is>
          <t>Never consummated; he has remained unmarried since, and the son of the woman he loved learns of it in passing.</t>
        </is>
      </c>
      <c r="AN84" s="5" t="inlineStr">
        <is>
          <t>No</t>
        </is>
      </c>
      <c r="AO84" s="5" t="inlineStr">
        <is>
          <t>Unresolved</t>
        </is>
      </c>
      <c r="AP84" s="5" t="n"/>
      <c r="AQ84" s="19" t="inlineStr">
        <is>
          <t>Mutuality at one is the lowest score in the filmography, and deliberately so: this is the only pairing in which the relationship consists entirely of one person's unexpressed feeling across a lifetime. It is also among the most affecting of the late character roles, and a quiet late echo of Mera Naam Joker, where Kapoor first played a love that was never going to be returned.</t>
        </is>
      </c>
      <c r="AR84" s="19" t="inlineStr">
        <is>
          <t>The film treats Ali Beg's lifelong bachelorhood as a small dignified fact rather than a tragedy to be milked, which is why it lands. Fatima remains entirely a memory: she has no scene in which she acknowledges or even registers the attachment, so the reader is left with a man's fidelity to something the woman may never have known about.</t>
        </is>
      </c>
      <c r="AS84" s="5" t="inlineStr">
        <is>
          <t>SOURCE-001; SOURCE-121</t>
        </is>
      </c>
      <c r="AT84" s="5" t="inlineStr">
        <is>
          <t>Low</t>
        </is>
      </c>
    </row>
    <row r="85" ht="154" customHeight="1">
      <c r="A85" s="15" t="inlineStr">
        <is>
          <t>PAIR-084</t>
        </is>
      </c>
      <c r="B85" s="18" t="inlineStr">
        <is>
          <t>FILM-131</t>
        </is>
      </c>
      <c r="C85" s="5" t="inlineStr">
        <is>
          <t>Love Aaj Kal</t>
        </is>
      </c>
      <c r="D85" s="17" t="n">
        <v>2009</v>
      </c>
      <c r="E85" s="5" t="inlineStr">
        <is>
          <t>Veer Singh Panesar</t>
        </is>
      </c>
      <c r="F85" s="5" t="inlineStr">
        <is>
          <t>Giselli Monteiro; Neetu Kapoor</t>
        </is>
      </c>
      <c r="G85" s="5" t="inlineStr">
        <is>
          <t>Harleen Kaur, later Harleen Kaur Panesar</t>
        </is>
      </c>
      <c r="H85" s="5" t="inlineStr">
        <is>
          <t>Female lead of the past-tense narrative, played by two actresses</t>
        </is>
      </c>
      <c r="I85" s="5" t="inlineStr">
        <is>
          <t>Partial</t>
        </is>
      </c>
      <c r="J85" s="19" t="inlineStr">
        <is>
          <t>Forbidden love</t>
        </is>
      </c>
      <c r="K85" s="5" t="inlineStr">
        <is>
          <t>Strangers; he decides to marry her before they have spoken</t>
        </is>
      </c>
      <c r="L85" s="5" t="inlineStr">
        <is>
          <t>Veer sees Harleen and falls in love at first sight, pledging to marry her despite never having spoken to her; the whole courtship proceeds from that decision.</t>
        </is>
      </c>
      <c r="M85" s="5" t="inlineStr">
        <is>
          <t>Veer, absolutely and unilaterally</t>
        </is>
      </c>
      <c r="N85" s="19" t="inlineStr">
        <is>
          <t>The old-fashioned pattern the film is built to defend: a silent devotion, a declaration made to her family rather than negotiated with her, and a persistence that survives being beaten for it.</t>
        </is>
      </c>
      <c r="O85" s="19" t="inlineStr">
        <is>
          <t>His certainty against her constrained position; she tells him to leave her when she learns she has been engaged elsewhere, and he does not accept it.</t>
        </is>
      </c>
      <c r="P85" s="19" t="inlineStr">
        <is>
          <t>She tells him he must leave her after discovering she was engaged without being consulted.</t>
        </is>
      </c>
      <c r="Q85" s="20" t="n">
        <v>2</v>
      </c>
      <c r="R85" s="19" t="inlineStr">
        <is>
          <t>Her instruction to leave is made under her family's compulsion rather than out of any feeling against him, and he treats it as an obstacle rather than a refusal. Nothing divides the two by their own choice at any point.</t>
        </is>
      </c>
      <c r="S85" s="20" t="n">
        <v>9</v>
      </c>
      <c r="T85" s="5" t="inlineStr">
        <is>
          <t>Family; Community</t>
        </is>
      </c>
      <c r="U85" s="19" t="inlineStr">
        <is>
          <t>Harleen's family engaged her to someone else without telling her, and when Veer declared his intention of marrying her they beat him badly for it. The opposition is physical and familial, and it is overcome only by his refusal to be deterred by it.</t>
        </is>
      </c>
      <c r="V85" s="20" t="n">
        <v>10</v>
      </c>
      <c r="W85" s="19" t="inlineStr">
        <is>
          <t>The purest lover-boy construction of the late career and the only other role besides Bobby and Laila Majnu to reach the top of the scale. Veer exists in the film precisely as an emblem of total romantic devotion: he commits to a woman before speaking to her, takes a beating from her family for saying so, and is still married to her half a century later. The film's entire thesis about love then and love now rests on him.</t>
        </is>
      </c>
      <c r="X85" s="20" t="n">
        <v>10</v>
      </c>
      <c r="Y85" s="20" t="n">
        <v>7</v>
      </c>
      <c r="Z85" s="20" t="n">
        <v>6</v>
      </c>
      <c r="AA85" s="20" t="n">
        <v>4</v>
      </c>
      <c r="AB85" s="20" t="n">
        <v>8</v>
      </c>
      <c r="AC85" s="19" t="inlineStr">
        <is>
          <t>Interpretive reading; no located review assesses this pairing specifically, though the article records warm notices for the performances generally. The casting is the point: Kapoor and his wife Neetu Kapoor play the couple in old age, with Saif Ali Khan and Giselli Monteiro as their younger selves, so the film borrows a real marriage of thirty years to authenticate the lifelong one it is asserting.</t>
        </is>
      </c>
      <c r="AD85" s="5" t="inlineStr">
        <is>
          <t>Partial</t>
        </is>
      </c>
      <c r="AE85" s="5" t="inlineStr">
        <is>
          <t>No</t>
        </is>
      </c>
      <c r="AF85" s="5" t="inlineStr">
        <is>
          <t>No</t>
        </is>
      </c>
      <c r="AG85" s="5" t="inlineStr">
        <is>
          <t>No</t>
        </is>
      </c>
      <c r="AH85" s="5" t="inlineStr">
        <is>
          <t>Yes</t>
        </is>
      </c>
      <c r="AI85" s="5" t="inlineStr">
        <is>
          <t>Yes</t>
        </is>
      </c>
      <c r="AJ85" s="5" t="inlineStr">
        <is>
          <t>Partial</t>
        </is>
      </c>
      <c r="AK85" s="19" t="inlineStr">
        <is>
          <t>None required in the frame story; the older Veer is already the finished argument, and the arc belongs to the young man he describes.</t>
        </is>
      </c>
      <c r="AL85" s="19" t="inlineStr">
        <is>
          <t>From a woman engaged without being consulted, who tells her suitor to go, to a wife of fifty years.</t>
        </is>
      </c>
      <c r="AM85" s="5" t="inlineStr">
        <is>
          <t>They marry and remain married; the older couple are together in the present-day frame, and Veer's account of it is what sends Jai back to Meera.</t>
        </is>
      </c>
      <c r="AN85" s="5" t="inlineStr">
        <is>
          <t>Yes</t>
        </is>
      </c>
      <c r="AO85" s="5" t="inlineStr">
        <is>
          <t>Happy</t>
        </is>
      </c>
      <c r="AP85" s="5" t="inlineStr">
        <is>
          <t>'Aahun Aahun', 'Yeh Dooriyan', 'Twist'</t>
        </is>
      </c>
      <c r="AQ85" s="19" t="inlineStr">
        <is>
          <t>The most important pairing of the late career for the project's central question, because the film uses it explicitly as the standard against which modern love is measured: a man who decided, was beaten, and persisted, set against a couple who part amicably because their careers require it. It is also the clearest case in the filmography of the lover-boy archetype being handled as a historical object rather than inhabited, with Kapoor now playing the archetype's survivor while a younger star plays it live.</t>
        </is>
      </c>
      <c r="AR85" s="19" t="inlineStr">
        <is>
          <t>The film is knowingly nostalgic and mostly self-aware about it: Jai mocks Veer's ideals and the film lets the mockery stand even as it sides with him. What survives less well is Harleen, who is engaged without being told, tells Veer to leave, and is then won anyway; the romance the film holds up as exemplary is one in which the man's persistence overrides the woman's stated instruction, and it does not pause on that.</t>
        </is>
      </c>
      <c r="AS85" s="5" t="inlineStr">
        <is>
          <t>SOURCE-001; SOURCE-123</t>
        </is>
      </c>
      <c r="AT85" s="5" t="inlineStr">
        <is>
          <t>Medium</t>
        </is>
      </c>
    </row>
    <row r="86" ht="124" customHeight="1">
      <c r="A86" s="15" t="inlineStr">
        <is>
          <t>PAIR-085</t>
        </is>
      </c>
      <c r="B86" s="18" t="inlineStr">
        <is>
          <t>FILM-134</t>
        </is>
      </c>
      <c r="C86" s="5" t="inlineStr">
        <is>
          <t>Do Dooni Chaar</t>
        </is>
      </c>
      <c r="D86" s="17" t="n">
        <v>2010</v>
      </c>
      <c r="E86" s="5" t="inlineStr">
        <is>
          <t>Santosh Duggal</t>
        </is>
      </c>
      <c r="F86" s="5" t="inlineStr">
        <is>
          <t>Neetu Kapoor</t>
        </is>
      </c>
      <c r="G86" s="5" t="inlineStr">
        <is>
          <t>Kusum Duggal</t>
        </is>
      </c>
      <c r="H86" s="5" t="inlineStr">
        <is>
          <t>Female lead</t>
        </is>
      </c>
      <c r="I86" s="5" t="inlineStr">
        <is>
          <t>Yes</t>
        </is>
      </c>
      <c r="J86" s="19" t="inlineStr">
        <is>
          <t>Established relationship</t>
        </is>
      </c>
      <c r="K86" s="5" t="inlineStr">
        <is>
          <t>Long married, with two teenage children</t>
        </is>
      </c>
      <c r="L86" s="5" t="inlineStr">
        <is>
          <t>Not documented; the marriage is decades old when the film opens.</t>
        </is>
      </c>
      <c r="M86" s="5" t="inlineStr">
        <is>
          <t>Not applicable</t>
        </is>
      </c>
      <c r="N86" s="19" t="inlineStr">
        <is>
          <t>None shown. The film is a portrait of a working marriage under financial pressure, observed by the couple's daughter.</t>
        </is>
      </c>
      <c r="O86" s="19" t="inlineStr">
        <is>
          <t>Companionable and practical, conducted in a one-bedroom flat with two teenagers and no money, and capable of one partner overruling the other when family honour is at stake.</t>
        </is>
      </c>
      <c r="P86" s="19" t="inlineStr">
        <is>
          <t>He says the car is impossible; she promises her sister-in-law they will come by car whatever it costs, which commits him to an expense he has already refused.</t>
        </is>
      </c>
      <c r="Q86" s="20" t="n">
        <v>3</v>
      </c>
      <c r="R86" s="19" t="inlineStr">
        <is>
          <t>The one recorded disagreement is the car, and Kusum settles it by going over his head to reassure a distraught Urmi. Behind it sits a larger and quieter fact, that she gave up her job at his insistence, which the article states without dramatising.</t>
        </is>
      </c>
      <c r="S86" s="20" t="n">
        <v>5</v>
      </c>
      <c r="T86" s="5" t="inlineStr">
        <is>
          <t>Class; Family</t>
        </is>
      </c>
      <c r="U86" s="19" t="inlineStr">
        <is>
          <t>The pressure is money and appearances: a teacher's salary, a one-bedroom flat, children whose expectations outrun the household, and a sister-in-law who will be taunted by her in-laws if the family arrives on a scooter.</t>
        </is>
      </c>
      <c r="V86" s="20" t="n">
        <v>3</v>
      </c>
      <c r="W86" s="19" t="inlineStr">
        <is>
          <t>There is no courtship or romantic gesture anywhere in the role. The register is entirely domestic, and what the part asks for is the texture of a long marriage rather than any expression of romantic love.</t>
        </is>
      </c>
      <c r="X86" s="20" t="n">
        <v>3</v>
      </c>
      <c r="Y86" s="20" t="n">
        <v>7</v>
      </c>
      <c r="Z86" s="20" t="n">
        <v>6</v>
      </c>
      <c r="AA86" s="20" t="n">
        <v>6</v>
      </c>
      <c r="AB86" s="20" t="n">
        <v>8</v>
      </c>
      <c r="AC86" s="19" t="inlineStr">
        <is>
          <t>Interpretive reading; no located review assesses this pairing. The film casts Kapoor opposite his wife of more than thirty years in an unglamorous domestic register, and the ease between them is what the whole portrait rests on; it is the first of their films together to use the real marriage this way rather than for star value.</t>
        </is>
      </c>
      <c r="AD86" s="5" t="inlineStr">
        <is>
          <t>Yes</t>
        </is>
      </c>
      <c r="AE86" s="5" t="inlineStr">
        <is>
          <t>No</t>
        </is>
      </c>
      <c r="AF86" s="5" t="inlineStr">
        <is>
          <t>No</t>
        </is>
      </c>
      <c r="AG86" s="5" t="inlineStr">
        <is>
          <t>No</t>
        </is>
      </c>
      <c r="AH86" s="5" t="inlineStr">
        <is>
          <t>No</t>
        </is>
      </c>
      <c r="AI86" s="5" t="inlineStr">
        <is>
          <t>Yes</t>
        </is>
      </c>
      <c r="AJ86" s="5" t="inlineStr">
        <is>
          <t>Yes</t>
        </is>
      </c>
      <c r="AK86" s="19" t="inlineStr">
        <is>
          <t>From a man penny-pinching to stay respectable to one confronting what the pretence is costing his household.</t>
        </is>
      </c>
      <c r="AL86" s="19" t="inlineStr">
        <is>
          <t>Not documented within the film's action; the decisive fact about her, that she left her job because he wanted her to, is given as background.</t>
        </is>
      </c>
      <c r="AM86" s="5" t="inlineStr">
        <is>
          <t>Not documented; the article's plot breaks off after the borrowed car is damaged on the return from Meerut.</t>
        </is>
      </c>
      <c r="AN86" s="5" t="inlineStr">
        <is>
          <t>Yes</t>
        </is>
      </c>
      <c r="AO86" s="5" t="inlineStr">
        <is>
          <t>Unresolved</t>
        </is>
      </c>
      <c r="AP86" s="5" t="n"/>
      <c r="AQ86" s="19" t="inlineStr">
        <is>
          <t>The second of the four late films in which Kapoor plays a long-married man opposite Neetu Kapoor, after Love Aaj Kal the year before, and the one that established the register: no romance in the conventional sense, scored at three on both lover-boy and romance centrality, and yet among the most convincing relationships in the filmography. It marks the point at which his screen marriages stop being romantic and start being social observation.</t>
        </is>
      </c>
      <c r="AR86" s="19" t="inlineStr">
        <is>
          <t>The detail that Kusum quit her job at Santosh's insistence is dropped in without comment and quietly reframes the family's poverty as partly self-inflicted, which is the film's most acute touch. It is also the thing the film declines to examine: the household is short of money because one of two possible earners was withdrawn, and nobody in the film says so.</t>
        </is>
      </c>
      <c r="AS86" s="5" t="inlineStr">
        <is>
          <t>SOURCE-001; SOURCE-126</t>
        </is>
      </c>
      <c r="AT86" s="5" t="inlineStr">
        <is>
          <t>Medium</t>
        </is>
      </c>
    </row>
    <row r="87" ht="124" customHeight="1">
      <c r="A87" s="15" t="inlineStr">
        <is>
          <t>PAIR-086</t>
        </is>
      </c>
      <c r="B87" s="18" t="inlineStr">
        <is>
          <t>FILM-135</t>
        </is>
      </c>
      <c r="C87" s="5" t="inlineStr">
        <is>
          <t>Patiala House</t>
        </is>
      </c>
      <c r="D87" s="17" t="n">
        <v>2011</v>
      </c>
      <c r="E87" s="5" t="inlineStr">
        <is>
          <t>Gurtej Singh Kahlon</t>
        </is>
      </c>
      <c r="F87" s="5" t="inlineStr">
        <is>
          <t>Dimple Kapadia</t>
        </is>
      </c>
      <c r="G87" s="5" t="inlineStr">
        <is>
          <t>Guneet Kaur Kahlon, called Bebe</t>
        </is>
      </c>
      <c r="H87" s="5" t="inlineStr">
        <is>
          <t>Second-billed female lead</t>
        </is>
      </c>
      <c r="I87" s="5" t="inlineStr">
        <is>
          <t>Partial</t>
        </is>
      </c>
      <c r="J87" s="19" t="inlineStr">
        <is>
          <t>Established relationship</t>
        </is>
      </c>
      <c r="K87" s="5" t="inlineStr">
        <is>
          <t>Long married, with a large family in Southall</t>
        </is>
      </c>
      <c r="L87" s="5" t="inlineStr">
        <is>
          <t>Not documented; the marriage is decades old when the film opens.</t>
        </is>
      </c>
      <c r="M87" s="5" t="inlineStr">
        <is>
          <t>Not applicable</t>
        </is>
      </c>
      <c r="N87" s="19" t="inlineStr">
        <is>
          <t>None shown. What the film examines is a wife's forty-year deference and the moment it ends.</t>
        </is>
      </c>
      <c r="O87" s="19" t="inlineStr">
        <is>
          <t>Submission on her side and unquestioned authority on his, until she says plainly what it has cost their children.</t>
        </is>
      </c>
      <c r="P87" s="19" t="inlineStr">
        <is>
          <t>She has spent the marriage acting only as his wife and not as a mother to her children, and finally tells him so while he has locked himself in the house.</t>
        </is>
      </c>
      <c r="Q87" s="20" t="n">
        <v>5</v>
      </c>
      <c r="R87" s="19" t="inlineStr">
        <is>
          <t>There is no quarrel in the ordinary sense, but the film's turning point is Bebe telling Gurtej that she had never acted as a mother, only as a wife, and often forgot she was both. That is an indictment of the marriage delivered inside it, and it is what breaks his resistance.</t>
        </is>
      </c>
      <c r="S87" s="20" t="n">
        <v>5</v>
      </c>
      <c r="T87" s="5" t="inlineStr">
        <is>
          <t>Community; Other</t>
        </is>
      </c>
      <c r="U87" s="19" t="inlineStr">
        <is>
          <t>Nothing opposes the marriage. What shaped it is the racism of an earlier generation in Britain, which formed Gurtej's authority and his refusal to let his son play for England, and which the people of Southall finally argue him out of.</t>
        </is>
      </c>
      <c r="V87" s="20" t="n">
        <v>2</v>
      </c>
      <c r="W87" s="19" t="inlineStr">
        <is>
          <t>The role is a patriarch, not a lover: there is no courtship, no devotion expressed to his wife, and his defining relationship in the film is with the son whose life he confiscated.</t>
        </is>
      </c>
      <c r="X87" s="20" t="n">
        <v>3</v>
      </c>
      <c r="Y87" s="20" t="n">
        <v>5</v>
      </c>
      <c r="Z87" s="20" t="n">
        <v>4</v>
      </c>
      <c r="AA87" s="20" t="n">
        <v>7</v>
      </c>
      <c r="AB87" s="20" t="n">
        <v>7</v>
      </c>
      <c r="AC87" s="19" t="inlineStr">
        <is>
          <t>Interpretive reading; no located review assesses this pairing. The fourth Kapoor and Dimple Kapadia pairing after Bobby, Saagar and Pyaar Mein Twist, and the only one in which they play a couple who have been married for decades; the film gives her the single speech that turns the plot, which is the whole of her leverage in the marriage.</t>
        </is>
      </c>
      <c r="AD87" s="5" t="inlineStr">
        <is>
          <t>No</t>
        </is>
      </c>
      <c r="AE87" s="5" t="inlineStr">
        <is>
          <t>Partial</t>
        </is>
      </c>
      <c r="AF87" s="5" t="inlineStr">
        <is>
          <t>No</t>
        </is>
      </c>
      <c r="AG87" s="5" t="inlineStr">
        <is>
          <t>Partial</t>
        </is>
      </c>
      <c r="AH87" s="5" t="inlineStr">
        <is>
          <t>No</t>
        </is>
      </c>
      <c r="AI87" s="5" t="inlineStr">
        <is>
          <t>Yes</t>
        </is>
      </c>
      <c r="AJ87" s="5" t="inlineStr">
        <is>
          <t>Partial</t>
        </is>
      </c>
      <c r="AK87" s="19" t="inlineStr">
        <is>
          <t>From a father who ruled by threat, including the threat of his own suicide, to a man who watches his son on television and asks to be driven to the ground to apologise.</t>
        </is>
      </c>
      <c r="AL87" s="19" t="inlineStr">
        <is>
          <t>From a wife who deferred for forty years to one who names what the deference cost, turns on the television against her husband's will, and is the immediate cause of his change.</t>
        </is>
      </c>
      <c r="AM87" s="5" t="inlineStr">
        <is>
          <t>The marriage survives and is the instrument of the reconciliation: Gurtej apologises to Gattu at the stadium and his other children are freed to follow their own ambitions.</t>
        </is>
      </c>
      <c r="AN87" s="5" t="inlineStr">
        <is>
          <t>Yes</t>
        </is>
      </c>
      <c r="AO87" s="5" t="inlineStr">
        <is>
          <t>Happy</t>
        </is>
      </c>
      <c r="AP87" s="5" t="n"/>
      <c r="AQ87" s="19" t="inlineStr">
        <is>
          <t>The second of the late long-marriage portraits and the sharpest, because the film locates its whole resolution in a wife's belated refusal to keep deferring. Female agency at seven against mutuality at four is the most lopsided pairing in the late work, and the imbalance is the point: she has one decisive act in forty years and it is enough to end the film.</t>
        </is>
      </c>
      <c r="AR87" s="19" t="inlineStr">
        <is>
          <t>The film is unusually precise about how patriarchal authority is maintained by the compliance of the person closest to it, and Bebe's line about forgetting she was a mother as well as a wife is its best piece of writing. It is also generous to Gurtej in a way it need not be, tracing his tyranny to the racism he suffered and then letting a cricket match dissolve it.</t>
        </is>
      </c>
      <c r="AS87" s="5" t="inlineStr">
        <is>
          <t>SOURCE-001; SOURCE-127</t>
        </is>
      </c>
      <c r="AT87" s="5" t="inlineStr">
        <is>
          <t>Medium</t>
        </is>
      </c>
    </row>
    <row r="88" ht="94" customHeight="1">
      <c r="A88" s="15" t="inlineStr">
        <is>
          <t>PAIR-087</t>
        </is>
      </c>
      <c r="B88" s="18" t="inlineStr">
        <is>
          <t>FILM-140</t>
        </is>
      </c>
      <c r="C88" s="5" t="inlineStr">
        <is>
          <t>Jab Tak Hai Jaan</t>
        </is>
      </c>
      <c r="D88" s="17" t="n">
        <v>2012</v>
      </c>
      <c r="E88" s="5" t="inlineStr">
        <is>
          <t>Imraan Sharqazi</t>
        </is>
      </c>
      <c r="F88" s="5" t="inlineStr">
        <is>
          <t>Neetu Kapoor</t>
        </is>
      </c>
      <c r="G88" s="5" t="inlineStr">
        <is>
          <t>Pooja Thappar Sharqazi</t>
        </is>
      </c>
      <c r="H88" s="5" t="inlineStr">
        <is>
          <t>Special appearance</t>
        </is>
      </c>
      <c r="I88" s="5" t="inlineStr">
        <is>
          <t>No</t>
        </is>
      </c>
      <c r="J88" s="19" t="inlineStr">
        <is>
          <t>Established relationship</t>
        </is>
      </c>
      <c r="K88" s="5" t="inlineStr">
        <is>
          <t>She left her husband and twelve-year-old daughter for him</t>
        </is>
      </c>
      <c r="L88" s="5" t="inlineStr">
        <is>
          <t>Not documented; the article records that Meera's mother left for another man when Meera was twelve, and that Kapoor's Imraan Sharqazi is Meera's step-father.</t>
        </is>
      </c>
      <c r="M88" s="5" t="inlineStr">
        <is>
          <t>Not documented</t>
        </is>
      </c>
      <c r="N88" s="19" t="inlineStr">
        <is>
          <t>None shown. The relationship exists in the present as a settled household and in the past as the departure that defined Meera's childhood.</t>
        </is>
      </c>
      <c r="O88" s="19" t="inlineStr">
        <is>
          <t>Not documented; by the time of the film the two are established together and estranged from Meera.</t>
        </is>
      </c>
      <c r="P88" s="19" t="inlineStr">
        <is>
          <t>None recorded between them; the cost of the relationship was borne by the family Pooja left.</t>
        </is>
      </c>
      <c r="Q88" s="20" t="n">
        <v>2</v>
      </c>
      <c r="R88" s="19" t="inlineStr">
        <is>
          <t>Nothing between Imraan and Pooja is recorded as conflict. What the relationship generated is a twenty-year estrangement from her daughter, which is a consequence rather than a friction inside the pair.</t>
        </is>
      </c>
      <c r="S88" s="20" t="n">
        <v>6</v>
      </c>
      <c r="T88" s="5" t="inlineStr">
        <is>
          <t>Family; Existing relationship</t>
        </is>
      </c>
      <c r="U88" s="19" t="inlineStr">
        <is>
          <t>The marriage exists on the far side of a broken one: Pooja left an affluent Punjabi household and a twelve-year-old child for it, and the daughter's refusal of her mother is the standing consequence until Samar engineers a reconciliation.</t>
        </is>
      </c>
      <c r="V88" s="20" t="n">
        <v>3</v>
      </c>
      <c r="W88" s="19" t="inlineStr">
        <is>
          <t>The part is a settled step-father in a special appearance, with no courtship, pursuit or declaration of any kind. Whatever romantic action the relationship required happened long before the film begins.</t>
        </is>
      </c>
      <c r="X88" s="20" t="n">
        <v>10</v>
      </c>
      <c r="Y88" s="20" t="n">
        <v>6</v>
      </c>
      <c r="Z88" s="20" t="n">
        <v>5</v>
      </c>
      <c r="AA88" s="20" t="n">
        <v>6</v>
      </c>
      <c r="AB88" s="20" t="n">
        <v>6</v>
      </c>
      <c r="AC88" s="19" t="inlineStr">
        <is>
          <t>Interpretive reading; no located review assesses this pairing. Kapoor and Neetu Kapoor appear together as the couple, both credited as special appearances, and the roles are small enough that the casting does more work than the writing.</t>
        </is>
      </c>
      <c r="AD88" s="5" t="inlineStr">
        <is>
          <t>Unclear</t>
        </is>
      </c>
      <c r="AE88" s="5" t="inlineStr">
        <is>
          <t>No</t>
        </is>
      </c>
      <c r="AF88" s="5" t="inlineStr">
        <is>
          <t>No</t>
        </is>
      </c>
      <c r="AG88" s="5" t="inlineStr">
        <is>
          <t>No</t>
        </is>
      </c>
      <c r="AH88" s="5" t="inlineStr">
        <is>
          <t>No</t>
        </is>
      </c>
      <c r="AI88" s="5" t="inlineStr">
        <is>
          <t>Unclear</t>
        </is>
      </c>
      <c r="AJ88" s="5" t="inlineStr">
        <is>
          <t>Partial</t>
        </is>
      </c>
      <c r="AK88" s="19" t="inlineStr">
        <is>
          <t>Not documented.</t>
        </is>
      </c>
      <c r="AL88" s="19" t="inlineStr">
        <is>
          <t>From a woman estranged from the daughter she left to one reconciled with her when Samar brings Meera to visit.</t>
        </is>
      </c>
      <c r="AM88" s="5" t="inlineStr">
        <is>
          <t>The marriage is intact, and the estrangement it produced is repaired when Meera and her mother reconcile.</t>
        </is>
      </c>
      <c r="AN88" s="5" t="inlineStr">
        <is>
          <t>Yes</t>
        </is>
      </c>
      <c r="AO88" s="5" t="inlineStr">
        <is>
          <t>Happy</t>
        </is>
      </c>
      <c r="AP88" s="5" t="n"/>
      <c r="AQ88" s="19" t="inlineStr">
        <is>
          <t>The thinnest of the four late Neetu Kapoor pairings and recorded chiefly because the marriage is the fact Meera's whole character is built on: a mother who left, a step-father in her place, and twenty years of refusal. It is also the last film Yash Chopra directed, twenty-three years after he directed Kapoor in Chandni.</t>
        </is>
      </c>
      <c r="AR88" s="19" t="inlineStr">
        <is>
          <t>The film is notably unpunishing towards a woman who left a marriage and a child, allowing her a settled second relationship and a reconciliation rather than a reckoning, which is not what the convention would predict. Neither partner is given any account of the departure itself, so the relationship remains a premise rather than a portrait.</t>
        </is>
      </c>
      <c r="AS88" s="5" t="inlineStr">
        <is>
          <t>SOURCE-001; SOURCE-132</t>
        </is>
      </c>
      <c r="AT88" s="5" t="inlineStr">
        <is>
          <t>Low</t>
        </is>
      </c>
    </row>
    <row r="89" ht="109" customHeight="1">
      <c r="A89" s="15" t="inlineStr">
        <is>
          <t>PAIR-088</t>
        </is>
      </c>
      <c r="B89" s="18" t="inlineStr">
        <is>
          <t>FILM-145</t>
        </is>
      </c>
      <c r="C89" s="5" t="inlineStr">
        <is>
          <t>Besharam</t>
        </is>
      </c>
      <c r="D89" s="17" t="n">
        <v>2013</v>
      </c>
      <c r="E89" s="5" t="inlineStr">
        <is>
          <t>Chulbul Chautala</t>
        </is>
      </c>
      <c r="F89" s="5" t="inlineStr">
        <is>
          <t>Neetu Kapoor</t>
        </is>
      </c>
      <c r="G89" s="5" t="inlineStr">
        <is>
          <t>Head Constable Bulbul Chautala</t>
        </is>
      </c>
      <c r="H89" s="5" t="inlineStr">
        <is>
          <t>Supporting female lead</t>
        </is>
      </c>
      <c r="I89" s="5" t="inlineStr">
        <is>
          <t>No</t>
        </is>
      </c>
      <c r="J89" s="19" t="inlineStr">
        <is>
          <t>Established relationship</t>
        </is>
      </c>
      <c r="K89" s="5" t="inlineStr">
        <is>
          <t>Long married, and serving in the same police force</t>
        </is>
      </c>
      <c r="L89" s="5" t="inlineStr">
        <is>
          <t>Not documented; the two are established as a married pair of police officers when the film opens.</t>
        </is>
      </c>
      <c r="M89" s="5" t="inlineStr">
        <is>
          <t>Not applicable</t>
        </is>
      </c>
      <c r="N89" s="19" t="inlineStr">
        <is>
          <t>None shown. The relationship is a working partnership in uniform, played for comedy.</t>
        </is>
      </c>
      <c r="O89" s="19" t="inlineStr">
        <is>
          <t>A double act: they investigate, arrest, take a bribe and change their minds as a single unit, and their childlessness is the fact the film finally turns on.</t>
        </is>
      </c>
      <c r="P89" s="19" t="inlineStr">
        <is>
          <t>None between them at any point.</t>
        </is>
      </c>
      <c r="Q89" s="20" t="n">
        <v>2</v>
      </c>
      <c r="R89" s="19" t="inlineStr">
        <is>
          <t>The Chautalas are never at odds. They are corruptible together, confronted together, persuaded together and decide to adopt together, which makes this the most consistently aligned couple in the late filmography.</t>
        </is>
      </c>
      <c r="S89" s="20" t="n">
        <v>5</v>
      </c>
      <c r="T89" s="5" t="inlineStr">
        <is>
          <t>Crime; Villain</t>
        </is>
      </c>
      <c r="U89" s="19" t="inlineStr">
        <is>
          <t>The hawala racketeer Chandel, who has kidnapped the orphanage children, and the case against Babli that the two of them are pursuing. Nothing is aimed at the marriage.</t>
        </is>
      </c>
      <c r="V89" s="20" t="n">
        <v>3</v>
      </c>
      <c r="W89" s="19" t="inlineStr">
        <is>
          <t>There is no courtship or romantic gesture in the role. The relationship is comic and companionable, and what the part asks for is a double act rather than any romantic register.</t>
        </is>
      </c>
      <c r="X89" s="20" t="n">
        <v>6</v>
      </c>
      <c r="Y89" s="20" t="n">
        <v>7</v>
      </c>
      <c r="Z89" s="20" t="n">
        <v>8</v>
      </c>
      <c r="AA89" s="20" t="n">
        <v>6</v>
      </c>
      <c r="AB89" s="20" t="n">
        <v>7</v>
      </c>
      <c r="AC89" s="19" t="inlineStr">
        <is>
          <t>Interpretive reading; no located review assesses this pairing, though the article records a reviewer crediting the film's appeal to the power of three Kapoors. The comedy depends entirely on the two operating as one, and the real marriage behind it supplies the shorthand the writing does not.</t>
        </is>
      </c>
      <c r="AD89" s="5" t="inlineStr">
        <is>
          <t>Yes</t>
        </is>
      </c>
      <c r="AE89" s="5" t="inlineStr">
        <is>
          <t>No</t>
        </is>
      </c>
      <c r="AF89" s="5" t="inlineStr">
        <is>
          <t>No</t>
        </is>
      </c>
      <c r="AG89" s="5" t="inlineStr">
        <is>
          <t>Partial</t>
        </is>
      </c>
      <c r="AH89" s="5" t="inlineStr">
        <is>
          <t>No</t>
        </is>
      </c>
      <c r="AI89" s="5" t="inlineStr">
        <is>
          <t>Partial</t>
        </is>
      </c>
      <c r="AJ89" s="5" t="inlineStr">
        <is>
          <t>Yes</t>
        </is>
      </c>
      <c r="AK89" s="19" t="inlineStr">
        <is>
          <t>From a corruptible officer who takes the hawala money to a man who joins the raid and then adopts the thief he was chasing.</t>
        </is>
      </c>
      <c r="AL89" s="19" t="inlineStr">
        <is>
          <t>The same movement, taken jointly: from an officer accepting a bribe to a woman deciding, with her husband, to become a mother.</t>
        </is>
      </c>
      <c r="AM89" s="5" t="inlineStr">
        <is>
          <t>The childless couple decide to adopt Babli and to stop him being a thief.</t>
        </is>
      </c>
      <c r="AN89" s="5" t="inlineStr">
        <is>
          <t>Yes</t>
        </is>
      </c>
      <c r="AO89" s="5" t="inlineStr">
        <is>
          <t>Happy</t>
        </is>
      </c>
      <c r="AP89" s="5" t="n"/>
      <c r="AQ89" s="19" t="inlineStr">
        <is>
          <t>Mutuality at eight is the highest reading among the late marriages, because the film gives the two characters no separate positions at all. Its real distinction is off-screen: this is the only film in which Kapoor appears with both his wife and his son, and the plot has the couple he plays half of decide to adopt the young man his own son is playing.</t>
        </is>
      </c>
      <c r="AR89" s="19" t="inlineStr">
        <is>
          <t>The film uses the Kapoor family as its own punchline, which the one positive review the article records acknowledges directly by crediting three Kapoors for whatever works. The childlessness that motivates the adoption is a device rather than a subject, and the couple's corruption is forgiven the moment they become sympathetic.</t>
        </is>
      </c>
      <c r="AS89" s="5" t="inlineStr">
        <is>
          <t>SOURCE-001; SOURCE-137</t>
        </is>
      </c>
      <c r="AT89" s="5" t="inlineStr">
        <is>
          <t>Low</t>
        </is>
      </c>
    </row>
    <row r="90" ht="109" customHeight="1">
      <c r="A90" s="15" t="inlineStr">
        <is>
          <t>PAIR-089</t>
        </is>
      </c>
      <c r="B90" s="18" t="inlineStr">
        <is>
          <t>FILM-148</t>
        </is>
      </c>
      <c r="C90" s="5" t="inlineStr">
        <is>
          <t>All Is Well</t>
        </is>
      </c>
      <c r="D90" s="17" t="n">
        <v>2015</v>
      </c>
      <c r="E90" s="5" t="inlineStr">
        <is>
          <t>Bhajanlal Bhalla</t>
        </is>
      </c>
      <c r="F90" s="5" t="inlineStr">
        <is>
          <t>Supriya Pathak</t>
        </is>
      </c>
      <c r="G90" s="5" t="inlineStr">
        <is>
          <t>Parminder Bhalla, called Pammi</t>
        </is>
      </c>
      <c r="H90" s="5" t="inlineStr">
        <is>
          <t>Supporting female lead</t>
        </is>
      </c>
      <c r="I90" s="5" t="inlineStr">
        <is>
          <t>No</t>
        </is>
      </c>
      <c r="J90" s="19" t="inlineStr">
        <is>
          <t>Marriage under strain</t>
        </is>
      </c>
      <c r="K90" s="5" t="inlineStr">
        <is>
          <t>Long married, and divorced by the time the film's action begins</t>
        </is>
      </c>
      <c r="L90" s="5" t="inlineStr">
        <is>
          <t>Not documented; the marriage and its end both precede the story Inder returns into.</t>
        </is>
      </c>
      <c r="M90" s="5" t="inlineStr">
        <is>
          <t>Not applicable</t>
        </is>
      </c>
      <c r="N90" s="19" t="inlineStr">
        <is>
          <t>None shown. What the film reveals, in stages, is why a marriage ended and why the man who ended it is not the villain his son takes him for.</t>
        </is>
      </c>
      <c r="O90" s="19" t="inlineStr">
        <is>
          <t>A marriage dismantled by illness and debt rather than by feeling, with the husband carrying reasons he does not explain and a wife who can no longer hold them.</t>
        </is>
      </c>
      <c r="P90" s="19" t="inlineStr">
        <is>
          <t>He divorced her and placed her in an ashram while she was losing her memory to Alzheimer's, and told his son none of the reasons.</t>
        </is>
      </c>
      <c r="Q90" s="20" t="n">
        <v>6</v>
      </c>
      <c r="R90" s="19" t="inlineStr">
        <is>
          <t>The divorce and the ashram are his acts and they look, to everyone including his son, like abandonment of a sick wife. The film's turn is that there were deeper reasons and it was not his fault, but the friction inside the marriage is real and is what the plot exists to explain.</t>
        </is>
      </c>
      <c r="S90" s="20" t="n">
        <v>6</v>
      </c>
      <c r="T90" s="5" t="inlineStr">
        <is>
          <t>Illness; Crime</t>
        </is>
      </c>
      <c r="U90" s="19" t="inlineStr">
        <is>
          <t>Her Alzheimer's, which is advanced enough that he signs a bank form on her behalf, and years of borrowing from Cheema that end in a ransom demand against the two of them.</t>
        </is>
      </c>
      <c r="V90" s="20" t="n">
        <v>3</v>
      </c>
      <c r="W90" s="19" t="inlineStr">
        <is>
          <t>No courtship or romantic expression is involved. The role is a husband managing an illness and a debt badly and in silence, and the reconciliation is arranged by his son rather than sought by him.</t>
        </is>
      </c>
      <c r="X90" s="20" t="n">
        <v>6</v>
      </c>
      <c r="Y90" s="20" t="n">
        <v>4</v>
      </c>
      <c r="Z90" s="20" t="n">
        <v>4</v>
      </c>
      <c r="AA90" s="20" t="n">
        <v>2</v>
      </c>
      <c r="AB90" s="20" t="n">
        <v>6</v>
      </c>
      <c r="AC90" s="19" t="inlineStr">
        <is>
          <t>Interpretive reading; no located review assesses this pairing. The illness means Supriya Pathak plays much of the part without access to the marriage's history, so the relationship has to be carried by his conduct towards her rather than by exchanges between them.</t>
        </is>
      </c>
      <c r="AD90" s="5" t="inlineStr">
        <is>
          <t>No</t>
        </is>
      </c>
      <c r="AE90" s="5" t="inlineStr">
        <is>
          <t>Partial</t>
        </is>
      </c>
      <c r="AF90" s="5" t="inlineStr">
        <is>
          <t>No</t>
        </is>
      </c>
      <c r="AG90" s="5" t="inlineStr">
        <is>
          <t>Yes</t>
        </is>
      </c>
      <c r="AH90" s="5" t="inlineStr">
        <is>
          <t>Yes</t>
        </is>
      </c>
      <c r="AI90" s="5" t="inlineStr">
        <is>
          <t>Partial</t>
        </is>
      </c>
      <c r="AJ90" s="5" t="inlineStr">
        <is>
          <t>No</t>
        </is>
      </c>
      <c r="AK90" s="19" t="inlineStr">
        <is>
          <t>From a father dismissed by his son as heartless to a man whose reasons are finally heard and whose marriage is restored to him.</t>
        </is>
      </c>
      <c r="AL90" s="19" t="inlineStr">
        <is>
          <t>Largely acted upon: divorced, sent to an ashram, signed for at a bank, and married again at her son's arrangement, with Alzheimer's removing her from each decision.</t>
        </is>
      </c>
      <c r="AM90" s="5" t="inlineStr">
        <is>
          <t>Inder pays off Cheema and has his parents married to each other again.</t>
        </is>
      </c>
      <c r="AN90" s="5" t="inlineStr">
        <is>
          <t>Yes</t>
        </is>
      </c>
      <c r="AO90" s="5" t="inlineStr">
        <is>
          <t>Happy</t>
        </is>
      </c>
      <c r="AP90" s="5" t="n"/>
      <c r="AQ90" s="19" t="inlineStr">
        <is>
          <t>Female agency at two is the lowest score among the late marriages, and it is the illness rather than the film's attitude that produces it: Pammi is legally and practically unable to participate in any of the decisions taken about her. The pairing belongs with Do Dooni Chaar and Patiala House in the late run of long marriages, and is the only one in which the marriage has to be reconstituted rather than merely repaired.</t>
        </is>
      </c>
      <c r="AR90" s="19" t="inlineStr">
        <is>
          <t>The film's sympathy is organised entirely around the son's misjudgement of his father, so the wife with Alzheimer's functions as the evidence in a dispute between two men. Remarrying her at the close is offered as a happy resolution without the film pausing on whether she is in a position to consent to it.</t>
        </is>
      </c>
      <c r="AS90" s="5" t="inlineStr">
        <is>
          <t>SOURCE-001; SOURCE-140</t>
        </is>
      </c>
      <c r="AT90" s="5" t="inlineStr">
        <is>
          <t>Low</t>
        </is>
      </c>
    </row>
    <row r="91" ht="124" customHeight="1">
      <c r="A91" s="15" t="inlineStr">
        <is>
          <t>PAIR-090</t>
        </is>
      </c>
      <c r="B91" s="18" t="inlineStr">
        <is>
          <t>FILM-160</t>
        </is>
      </c>
      <c r="C91" s="5" t="inlineStr">
        <is>
          <t>Sharmaji Namkeen</t>
        </is>
      </c>
      <c r="D91" s="17" t="n">
        <v>2022</v>
      </c>
      <c r="E91" s="5" t="inlineStr">
        <is>
          <t>Brij Gopal Sharma "Sharmaji"</t>
        </is>
      </c>
      <c r="F91" s="5" t="inlineStr">
        <is>
          <t>Juhi Chawla</t>
        </is>
      </c>
      <c r="G91" s="5" t="inlineStr">
        <is>
          <t>Veena Manchanda</t>
        </is>
      </c>
      <c r="H91" s="5" t="inlineStr">
        <is>
          <t>Female lead</t>
        </is>
      </c>
      <c r="I91" s="5" t="inlineStr">
        <is>
          <t>Yes</t>
        </is>
      </c>
      <c r="J91" s="19" t="inlineStr">
        <is>
          <t>Friendship to love</t>
        </is>
      </c>
      <c r="K91" s="5" t="inlineStr">
        <is>
          <t>Strangers; both widowed, meeting at a kitty party he is catering</t>
        </is>
      </c>
      <c r="L91" s="5" t="inlineStr">
        <is>
          <t>Sharmaji, cooking for kitty parties to fill his forced retirement, befriends Veena Manchanda at the second such party; she is a boutique owner whose husband died in a car crash three years earlier.</t>
        </is>
      </c>
      <c r="M91" s="5" t="inlineStr">
        <is>
          <t>Mutual, growing out of the parties he caters</t>
        </is>
      </c>
      <c r="N91" s="19" t="inlineStr">
        <is>
          <t>Not a courtship in any declared sense. The article records the two bonding over the kitty parties and becoming close friends, which is as far as the documented relationship goes.</t>
        </is>
      </c>
      <c r="O91" s="19" t="inlineStr">
        <is>
          <t>Warm, easy and companionable between two people whose spouses are dead and whose families would rather they stayed quiet.</t>
        </is>
      </c>
      <c r="P91" s="19" t="inlineStr">
        <is>
          <t>None recorded between them.</t>
        </is>
      </c>
      <c r="Q91" s="20" t="n">
        <v>1</v>
      </c>
      <c r="R91" s="19" t="inlineStr">
        <is>
          <t>Nothing between Sharmaji and Veena is recorded as conflict. The pressure in the film comes from his sons' humiliation at his dancing and his new life, not from anything in the friendship.</t>
        </is>
      </c>
      <c r="S91" s="20" t="n">
        <v>4</v>
      </c>
      <c r="T91" s="5" t="inlineStr">
        <is>
          <t>Family; Community</t>
        </is>
      </c>
      <c r="U91" s="19" t="inlineStr">
        <is>
          <t>His sons are furious and humiliated when a video of him dancing at a kitty party circulates among the extended family, and the household is already strained by Rinku's concealed plan to move out. The disapproval is of his whole late-life reinvention rather than of Veena specifically.</t>
        </is>
      </c>
      <c r="V91" s="20" t="n">
        <v>5</v>
      </c>
      <c r="W91" s="19" t="inlineStr">
        <is>
          <t>There is no declaration, pursuit or romantic gesture on record, so the archetype's machinery is absent. What is present is the thing the archetype is ultimately about, a man organising his life around a person he has chosen, and he does it against his children's embarrassment, which is why the score sits at the middle rather than lower.</t>
        </is>
      </c>
      <c r="X91" s="20" t="n">
        <v>6</v>
      </c>
      <c r="Y91" s="20" t="n">
        <v>8</v>
      </c>
      <c r="Z91" s="20" t="n">
        <v>7</v>
      </c>
      <c r="AA91" s="20" t="n">
        <v>7</v>
      </c>
      <c r="AB91" s="20" t="n">
        <v>7</v>
      </c>
      <c r="AC91" s="19" t="inlineStr">
        <is>
          <t>Interpretive reading; no located review assesses this pairing, though the article records several notices praising Kapoor's own performance, including Sukanya Verma of Rediff calling the film his swansong and show. Juhi Chawla's eleventh and last film with him, and the relationship's warmth is the film's principal pleasure.</t>
        </is>
      </c>
      <c r="AD91" s="5" t="inlineStr">
        <is>
          <t>Yes</t>
        </is>
      </c>
      <c r="AE91" s="5" t="inlineStr">
        <is>
          <t>No</t>
        </is>
      </c>
      <c r="AF91" s="5" t="inlineStr">
        <is>
          <t>No</t>
        </is>
      </c>
      <c r="AG91" s="5" t="inlineStr">
        <is>
          <t>No</t>
        </is>
      </c>
      <c r="AH91" s="5" t="inlineStr">
        <is>
          <t>No</t>
        </is>
      </c>
      <c r="AI91" s="5" t="inlineStr">
        <is>
          <t>Partial</t>
        </is>
      </c>
      <c r="AJ91" s="5" t="inlineStr">
        <is>
          <t>Partial</t>
        </is>
      </c>
      <c r="AK91" s="19" t="inlineStr">
        <is>
          <t>From a man forcibly retired at fifty-eight and bored into applying for odd jobs to one with a vocation, a circle and a companion, held against his sons' disapproval.</t>
        </is>
      </c>
      <c r="AL91" s="19" t="inlineStr">
        <is>
          <t>Not documented in detail; a widow running a boutique who gains a friend and, with her circle, gives him a place to be.</t>
        </is>
      </c>
      <c r="AM91" s="5" t="inlineStr">
        <is>
          <t>Not documented; the article's plot breaks off in the family's dispute over Rinku's apartment, with the friendship established.</t>
        </is>
      </c>
      <c r="AN91" s="5" t="inlineStr">
        <is>
          <t>Unclear</t>
        </is>
      </c>
      <c r="AO91" s="5" t="inlineStr">
        <is>
          <t>Unresolved</t>
        </is>
      </c>
      <c r="AP91" s="5" t="n"/>
      <c r="AQ91" s="19" t="inlineStr">
        <is>
          <t>The last pairing of the filmography and a deliberate late counterpart to Pyaar Mein Twist seventeen years earlier: two widowed people finding each other against their grown children's embarrassment. Romance presence is recorded as Implied rather than Major because the article documents a friendship and stops there; the relationship is scored on what is written rather than on what the shape of the film invites, and the confidence grade reflects that.</t>
        </is>
      </c>
      <c r="AR91" s="19" t="inlineStr">
        <is>
          <t>The film's subject is a man permitted to want things again after retirement, and the friendship with Veena is the clearest instrument of that; the children's humiliation at a video of their father dancing is its sharpest observation. Whether the film ultimately makes the relationship romantic cannot be settled from what is documented, and it is recorded here as friendship with a romantic reading left open rather than asserted.</t>
        </is>
      </c>
      <c r="AS91" s="5" t="inlineStr">
        <is>
          <t>SOURCE-001; SOURCE-152</t>
        </is>
      </c>
      <c r="AT91" s="5" t="inlineStr">
        <is>
          <t>Low</t>
        </is>
      </c>
    </row>
  </sheetData>
  <autoFilter ref="A1:AT91"/>
  <conditionalFormatting sqref="Q2:Q291">
    <cfRule type="colorScale" priority="1">
      <colorScale>
        <cfvo type="num" val="0"/>
        <cfvo type="num" val="5"/>
        <cfvo type="num" val="10"/>
        <color rgb="00FFFFFF"/>
        <color rgb="00FCE7B2"/>
        <color rgb="00E07B39"/>
      </colorScale>
    </cfRule>
  </conditionalFormatting>
  <conditionalFormatting sqref="S2:S291">
    <cfRule type="colorScale" priority="2">
      <colorScale>
        <cfvo type="num" val="0"/>
        <cfvo type="num" val="5"/>
        <cfvo type="num" val="10"/>
        <color rgb="00FFFFFF"/>
        <color rgb="00FCE7B2"/>
        <color rgb="00E07B39"/>
      </colorScale>
    </cfRule>
  </conditionalFormatting>
  <conditionalFormatting sqref="V2:V291">
    <cfRule type="colorScale" priority="3">
      <colorScale>
        <cfvo type="num" val="0"/>
        <cfvo type="num" val="5"/>
        <cfvo type="num" val="10"/>
        <color rgb="00FFFFFF"/>
        <color rgb="00FCE7B2"/>
        <color rgb="00E07B39"/>
      </colorScale>
    </cfRule>
  </conditionalFormatting>
  <conditionalFormatting sqref="X2:X291">
    <cfRule type="colorScale" priority="4">
      <colorScale>
        <cfvo type="num" val="0"/>
        <cfvo type="num" val="5"/>
        <cfvo type="num" val="10"/>
        <color rgb="00FFFFFF"/>
        <color rgb="00FCE7B2"/>
        <color rgb="00E07B39"/>
      </colorScale>
    </cfRule>
  </conditionalFormatting>
  <conditionalFormatting sqref="Y2:Y291">
    <cfRule type="colorScale" priority="5">
      <colorScale>
        <cfvo type="num" val="0"/>
        <cfvo type="num" val="5"/>
        <cfvo type="num" val="10"/>
        <color rgb="00FFFFFF"/>
        <color rgb="00FCE7B2"/>
        <color rgb="00E07B39"/>
      </colorScale>
    </cfRule>
  </conditionalFormatting>
  <conditionalFormatting sqref="Z2:Z291">
    <cfRule type="colorScale" priority="6">
      <colorScale>
        <cfvo type="num" val="0"/>
        <cfvo type="num" val="5"/>
        <cfvo type="num" val="10"/>
        <color rgb="00FFFFFF"/>
        <color rgb="00FCE7B2"/>
        <color rgb="00E07B39"/>
      </colorScale>
    </cfRule>
  </conditionalFormatting>
  <conditionalFormatting sqref="AA2:AA291">
    <cfRule type="colorScale" priority="7">
      <colorScale>
        <cfvo type="num" val="0"/>
        <cfvo type="num" val="5"/>
        <cfvo type="num" val="10"/>
        <color rgb="00FFFFFF"/>
        <color rgb="00FCE7B2"/>
        <color rgb="00E07B39"/>
      </colorScale>
    </cfRule>
  </conditionalFormatting>
  <conditionalFormatting sqref="AB2:AB291">
    <cfRule type="colorScale" priority="8">
      <colorScale>
        <cfvo type="num" val="0"/>
        <cfvo type="num" val="5"/>
        <cfvo type="num" val="10"/>
        <color rgb="00FFFFFF"/>
        <color rgb="00FCE7B2"/>
        <color rgb="00E07B39"/>
      </colorScale>
    </cfRule>
  </conditionalFormatting>
  <dataValidations count="20">
    <dataValidation sqref="I2:I291" showDropDown="0" showInputMessage="0" showErrorMessage="1" allowBlank="1" errorTitle="Principal Female Lead" error="Choose a value from the list." type="list">
      <formula1>"Yes,No,Partial,Unclear,Not applicable"</formula1>
    </dataValidation>
    <dataValidation sqref="J2:J291" showDropDown="0" showInputMessage="0" showErrorMessage="1" allowBlank="1" errorTitle="Relationship Category" error="Choose a value from the list." type="list">
      <formula1>Overview!$AN$2:$AN$20</formula1>
    </dataValidation>
    <dataValidation sqref="Q2:Q291" showDropDown="0" showInputMessage="0" showErrorMessage="1" allowBlank="1" errorTitle="Pair Friction Score" error="Enter a score from 0 to 10." type="decimal" operator="between">
      <formula1>0</formula1>
      <formula2>10</formula2>
    </dataValidation>
    <dataValidation sqref="S2:S291" showDropDown="0" showInputMessage="0" showErrorMessage="1" allowBlank="1" errorTitle="External Opposition Score" error="Enter a score from 0 to 10." type="decimal" operator="between">
      <formula1>0</formula1>
      <formula2>10</formula2>
    </dataValidation>
    <dataValidation sqref="V2:V291" showDropDown="0" showInputMessage="0" showErrorMessage="1" allowBlank="1" errorTitle="Lover-Boy Score" error="Enter a score from 0 to 10." type="decimal" operator="between">
      <formula1>0</formula1>
      <formula2>10</formula2>
    </dataValidation>
    <dataValidation sqref="X2:X291" showDropDown="0" showInputMessage="0" showErrorMessage="1" allowBlank="1" errorTitle="Romance Centrality Score" error="Enter a score from 0 to 10." type="decimal" operator="between">
      <formula1>0</formula1>
      <formula2>10</formula2>
    </dataValidation>
    <dataValidation sqref="Y2:Y291" showDropDown="0" showInputMessage="0" showErrorMessage="1" allowBlank="1" errorTitle="Relationship Health Score" error="Enter a score from 0 to 10." type="decimal" operator="between">
      <formula1>0</formula1>
      <formula2>10</formula2>
    </dataValidation>
    <dataValidation sqref="Z2:Z291" showDropDown="0" showInputMessage="0" showErrorMessage="1" allowBlank="1" errorTitle="Mutuality Score" error="Enter a score from 0 to 10." type="decimal" operator="between">
      <formula1>0</formula1>
      <formula2>10</formula2>
    </dataValidation>
    <dataValidation sqref="AA2:AA291" showDropDown="0" showInputMessage="0" showErrorMessage="1" allowBlank="1" errorTitle="Female Agency Score" error="Enter a score from 0 to 10." type="decimal" operator="between">
      <formula1>0</formula1>
      <formula2>10</formula2>
    </dataValidation>
    <dataValidation sqref="AB2:AB291" showDropDown="0" showInputMessage="0" showErrorMessage="1" allowBlank="1" errorTitle="Chemistry Score" error="Enter a score from 0 to 10." type="decimal" operator="between">
      <formula1>0</formula1>
      <formula2>10</formula2>
    </dataValidation>
    <dataValidation sqref="AD2:AD291" showDropDown="0" showInputMessage="0" showErrorMessage="1" allowBlank="1" errorTitle="Playful Banter" error="Choose a value from the list." type="list">
      <formula1>"Yes,No,Partial,Unclear,Not applicable"</formula1>
    </dataValidation>
    <dataValidation sqref="AE2:AE291" showDropDown="0" showInputMessage="0" showErrorMessage="1" allowBlank="1" errorTitle="Serious Conflict" error="Choose a value from the list." type="list">
      <formula1>"Yes,No,Partial,Unclear,Not applicable"</formula1>
    </dataValidation>
    <dataValidation sqref="AF2:AF291" showDropDown="0" showInputMessage="0" showErrorMessage="1" allowBlank="1" errorTitle="Jealousy or Possessiveness" error="Choose a value from the list." type="list">
      <formula1>"Yes,No,Partial,Unclear,Not applicable"</formula1>
    </dataValidation>
    <dataValidation sqref="AG2:AG291" showDropDown="0" showInputMessage="0" showErrorMessage="1" allowBlank="1" errorTitle="Deception or Mistaken Identity" error="Choose a value from the list." type="list">
      <formula1>"Yes,No,Partial,Unclear,Not applicable"</formula1>
    </dataValidation>
    <dataValidation sqref="AH2:AH291" showDropDown="0" showInputMessage="0" showErrorMessage="1" allowBlank="1" errorTitle="Separation or Estrangement" error="Choose a value from the list." type="list">
      <formula1>"Yes,No,Partial,Unclear,Not applicable"</formula1>
    </dataValidation>
    <dataValidation sqref="AI2:AI291" showDropDown="0" showInputMessage="0" showErrorMessage="1" allowBlank="1" errorTitle="Sacrifice" error="Choose a value from the list." type="list">
      <formula1>"Yes,No,Partial,Unclear,Not applicable"</formula1>
    </dataValidation>
    <dataValidation sqref="AJ2:AJ291" showDropDown="0" showInputMessage="0" showErrorMessage="1" allowBlank="1" errorTitle="Couple Functions as Team" error="Choose a value from the list." type="list">
      <formula1>"Yes,No,Partial,Unclear,Not applicable"</formula1>
    </dataValidation>
    <dataValidation sqref="AN2:AN291" showDropDown="0" showInputMessage="0" showErrorMessage="1" allowBlank="1" errorTitle="Marriage or Long-Term Union" error="Choose a value from the list." type="list">
      <formula1>"Yes,No,Partial,Unclear,Not applicable"</formula1>
    </dataValidation>
    <dataValidation sqref="AO2:AO291" showDropDown="0" showInputMessage="0" showErrorMessage="1" allowBlank="1" errorTitle="Happy, Tragic or Unresolved Ending" error="Choose a value from the list." type="list">
      <formula1>"Happy,Tragic,Unresolved"</formula1>
    </dataValidation>
    <dataValidation sqref="AT2:AT291" showDropDown="0" showInputMessage="0" showErrorMessage="1" allowBlank="1" errorTitle="Confidence Grade" error="Choose a value from the list." type="list">
      <formula1>"High,Medium,Low,Unknown"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56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24" customWidth="1" min="2" max="2"/>
    <col width="22" customWidth="1" min="3" max="3"/>
    <col width="9" customWidth="1" min="4" max="4"/>
    <col width="9" customWidth="1" min="5" max="5"/>
    <col width="13" customWidth="1" min="6" max="6"/>
    <col width="18" customWidth="1" min="7" max="7"/>
    <col width="40" customWidth="1" min="8" max="8"/>
    <col width="30" customWidth="1" min="9" max="9"/>
    <col width="36" customWidth="1" min="10" max="10"/>
    <col width="32" customWidth="1" min="11" max="11"/>
    <col width="36" customWidth="1" min="12" max="12"/>
    <col width="32" customWidth="1" min="13" max="13"/>
    <col width="36" customWidth="1" min="14" max="14"/>
    <col width="36" customWidth="1" min="15" max="15"/>
    <col width="14" customWidth="1" min="16" max="16"/>
    <col width="26" customWidth="1" min="17" max="17"/>
    <col width="26" customWidth="1" min="18" max="18"/>
    <col width="90" customWidth="1" min="19" max="19"/>
    <col width="22" customWidth="1" min="20" max="20"/>
    <col width="12" customWidth="1" min="21" max="21"/>
  </cols>
  <sheetData>
    <row r="1" ht="36" customHeight="1">
      <c r="A1" s="12" t="inlineStr">
        <is>
          <t>Person ID</t>
        </is>
      </c>
      <c r="B1" s="12" t="inlineStr">
        <is>
          <t>Name</t>
        </is>
      </c>
      <c r="C1" s="12" t="inlineStr">
        <is>
          <t>Profession or Function</t>
        </is>
      </c>
      <c r="D1" s="12" t="inlineStr">
        <is>
          <t>Birth Year</t>
        </is>
      </c>
      <c r="E1" s="12" t="inlineStr">
        <is>
          <t>Death Year</t>
        </is>
      </c>
      <c r="F1" s="12" t="inlineStr">
        <is>
          <t>Years Active</t>
        </is>
      </c>
      <c r="G1" s="12" t="inlineStr">
        <is>
          <t>Industry or Primary Language</t>
        </is>
      </c>
      <c r="H1" s="12" t="inlineStr">
        <is>
          <t>Career Background</t>
        </is>
      </c>
      <c r="I1" s="12" t="inlineStr">
        <is>
          <t>Debut or Early Breakthrough</t>
        </is>
      </c>
      <c r="J1" s="12" t="inlineStr">
        <is>
          <t>Major Works</t>
        </is>
      </c>
      <c r="K1" s="13" t="inlineStr">
        <is>
          <t>Recurring Genres or Themes</t>
        </is>
      </c>
      <c r="L1" s="13" t="inlineStr">
        <is>
          <t>Creative Style</t>
        </is>
      </c>
      <c r="M1" s="12" t="inlineStr">
        <is>
          <t>Major Awards</t>
        </is>
      </c>
      <c r="N1" s="13" t="inlineStr">
        <is>
          <t>Historical Importance</t>
        </is>
      </c>
      <c r="O1" s="13" t="inlineStr">
        <is>
          <t>Relationship with Selected Actor</t>
        </is>
      </c>
      <c r="P1" s="12" t="inlineStr">
        <is>
          <t>Number of Collaborations</t>
        </is>
      </c>
      <c r="Q1" s="12" t="inlineStr">
        <is>
          <t>Collaboration Film IDs</t>
        </is>
      </c>
      <c r="R1" s="12" t="inlineStr">
        <is>
          <t>Most Important Collaboration</t>
        </is>
      </c>
      <c r="S1" s="12" t="inlineStr">
        <is>
          <t>Extended Biography</t>
        </is>
      </c>
      <c r="T1" s="12" t="inlineStr">
        <is>
          <t>Source IDs</t>
        </is>
      </c>
      <c r="U1" s="12" t="inlineStr">
        <is>
          <t>Confidence Grade</t>
        </is>
      </c>
    </row>
    <row r="2" ht="244" customHeight="1">
      <c r="A2" s="15" t="inlineStr">
        <is>
          <t>PERSON-001</t>
        </is>
      </c>
      <c r="B2" s="5" t="inlineStr">
        <is>
          <t>Laxmikant–Pyarelal</t>
        </is>
      </c>
      <c r="C2" s="5" t="inlineStr">
        <is>
          <t>Song composer (composing duo)</t>
        </is>
      </c>
      <c r="D2" s="18" t="n"/>
      <c r="E2" s="18" t="n"/>
      <c r="F2" s="5" t="inlineStr">
        <is>
          <t>1963–1998</t>
        </is>
      </c>
      <c r="G2" s="5" t="inlineStr">
        <is>
          <t>Hindi cinema</t>
        </is>
      </c>
      <c r="H2" s="5" t="inlineStr">
        <is>
          <t>An Indian composing duo of Laxmikant Shantaram Kudalkar (1937–1998) and Pyarelal Ramprasad Sharma (born 1940), known as L-P. Across a career running from 1963 to 1998 they composed for about 750 films, the largest output of any composing unit of the period.</t>
        </is>
      </c>
      <c r="I2" s="5" t="inlineStr">
        <is>
          <t>Parasmani (1963). They won the Filmfare Award for Best Music Director for Jeene Ki Raah at the 17th Filmfare Awards, having been nominated the same year for Do Raaste as well.</t>
        </is>
      </c>
      <c r="J2" s="5" t="inlineStr">
        <is>
          <t>With Kapoor: Bobby (1973), Amar Akbar Anthony (1977), Sargam (1979), Karz (1980), Naseeb (1981), Prem Rog (1982), Coolie (1983), Nagina (1986), Prem Granth (1996). Their wider work runs from Parasmani through three decades of mainstream Hindi scores.</t>
        </is>
      </c>
      <c r="K2" s="19" t="inlineStr">
        <is>
          <t>Hindi film songs and background scores across every commercial genre, from devotional and folk-inflected melody to the full orchestral idiom of the 1970s multi-starrer.</t>
        </is>
      </c>
      <c r="L2" s="19" t="inlineStr">
        <is>
          <t>Large-orchestra film scoring in the mainstream Bombay manner, written around playback stars and around songs designed to sell a film before its release.</t>
        </is>
      </c>
      <c r="M2" s="5" t="inlineStr">
        <is>
          <t>Filmfare Award for Best Music Director for Jeene Ki Raah, with further Best Music Director nominations including Bobby and Daag. Pyarelal received the Padma Bhushan in 2024.</t>
        </is>
      </c>
      <c r="N2" s="19" t="inlineStr">
        <is>
          <t>The most prolific composing unit in Hindi film history and the house sound of the commercial cinema of the 1960s, 70s and 80s.</t>
        </is>
      </c>
      <c r="O2" s="19" t="inlineStr">
        <is>
          <t>The largest single collaboration in this filmography: 32 of 160 films, more than any director, writer or other composer. It opens with Bobby (1973), the film that made Kapoor a romantic lead at twenty-one, takes in the two musicals that fixed his singing-hero image, Sargam (1979) and Karz (1980), the Manmohan Desai multi-starrers (Amar Akbar Anthony, Naseeb, Coolie), the Raj Kapoor melodramas (Prem Rog, Prem Granth) and a long tail of low-budget mid-career films from Nagina and Khazana to Banjaran and Rishta To Ho Aisa. Every credit is for songs. Their article does not mention Kapoor; the relationship is established here from the film credits.</t>
        </is>
      </c>
      <c r="P2" s="17" t="n">
        <v>32</v>
      </c>
      <c r="Q2" s="5" t="inlineStr">
        <is>
          <t>FILM-003; FILM-008; FILM-014; FILM-021; FILM-022; FILM-023; FILM-028; FILM-031; FILM-032; FILM-037; FILM-038; FILM-041; FILM-044; FILM-052; FILM-055; FILM-056; FILM-057; FILM-061; FILM-068; FILM-069; FILM-070; FILM-071; FILM-073; FILM-075; FILM-076; FILM-077; FILM-078; FILM-080; FILM-082; FILM-083; FILM-086; FILM-107</t>
        </is>
      </c>
      <c r="R2" s="5" t="inlineStr">
        <is>
          <t>Bobby (1973)</t>
        </is>
      </c>
      <c r="S2" s="5" t="inlineStr">
        <is>
          <t>Laxmikant–Pyarelal were the defining commercial composing team of Hindi cinema's 1960s, 70s and 80s, and by a wide margin Rishi Kapoor's most frequent collaborators in any function. Laxmikant Kudalkar and Pyarelal Sharma began together on Parasmani in 1963 and went on to score roughly 750 films, working for nearly every major banner of the period and winning the Filmfare Award for Best Music Director for Jeene Ki Raah. Their importance to this filmography is structural rather than incidental: they wrote the music for Bobby, whose songs carried an unknown twenty-one-year-old to stardom, and then for Sargam and Karz, the two films in which Kapoor's screen identity became inseparable from a hit soundtrack. They stayed with him through the Desai masala cycle and the Raj Kapoor family productions, and were still scoring his films in the late 1980s and early 1990s when his vehicles had shrunk to modest melodramas such as Amiri Garibi, Banjaran and Rishta To Ho Aisa. Pyarelal received the Padma Bhushan in 2024, twenty-six years after his partner's death.</t>
        </is>
      </c>
      <c r="T2" s="5" t="inlineStr">
        <is>
          <t>SOURCE-153</t>
        </is>
      </c>
      <c r="U2" s="5" t="inlineStr">
        <is>
          <t>High</t>
        </is>
      </c>
    </row>
    <row r="3" ht="214" customHeight="1">
      <c r="A3" s="15" t="inlineStr">
        <is>
          <t>PERSON-002</t>
        </is>
      </c>
      <c r="B3" s="5" t="inlineStr">
        <is>
          <t>R. D. Burman</t>
        </is>
      </c>
      <c r="C3" s="5" t="inlineStr">
        <is>
          <t>Song composer</t>
        </is>
      </c>
      <c r="D3" s="17" t="n">
        <v>1939</v>
      </c>
      <c r="E3" s="17" t="n">
        <v>1994</v>
      </c>
      <c r="F3" s="5" t="inlineStr">
        <is>
          <t>1961–1994</t>
        </is>
      </c>
      <c r="G3" s="5" t="inlineStr">
        <is>
          <t>Hindi cinema; Bengali cinema</t>
        </is>
      </c>
      <c r="H3" s="5" t="inlineStr">
        <is>
          <t>Rahul Dev Burman (27 June 1939 – 4 January 1994), nicknamed Pancham, was the only son of the composer Sachin Dev Burman and the lyricist Meera Dev Burman. He composed for 331 films between the 1960s and the 1990s and also sang a number of his own compositions.</t>
        </is>
      </c>
      <c r="I3" s="5" t="inlineStr">
        <is>
          <t>Established himself with Vijay Anand's musical mystery Teesri Manzil (1966).</t>
        </is>
      </c>
      <c r="J3" s="5" t="inlineStr">
        <is>
          <t>With Kapoor: Khel Khel Mein (1975), Hum Kisise Kum Naheen (1977), Zamaane Ko Dikhana Hai (1982), Yeh Vaada Raha (1982), Saagar (1985). His wider catalogue spans 331 films and includes the work with Kishore Kumar, Lata Mangeshkar and Asha Bhosle for which he is best known.</t>
        </is>
      </c>
      <c r="K3" s="19" t="inlineStr">
        <is>
          <t>Youth-oriented romance and cabaret, rhythm-led Western instrumentation set against Hindustani melody, and the song-as-set-piece of the 1970s musical.</t>
        </is>
      </c>
      <c r="L3" s="19" t="inlineStr">
        <is>
          <t>A rhythmic, orchestrally inventive idiom that brought rock, jazz and Latin textures into the Hindi film song while keeping a melodic line built for playback singers; worked closely with the lyricists Majrooh Sultanpuri, Anand Bakshi and Gulzar.</t>
        </is>
      </c>
      <c r="M3" s="5" t="inlineStr">
        <is>
          <t>Three Filmfare Awards for Best Music Director, the last of them awarded posthumously at the 40th Filmfare Awards for 1942: A Love Story; nominated for Saagar at the 33rd Filmfare Awards.</t>
        </is>
      </c>
      <c r="N3" s="19" t="inlineStr">
        <is>
          <t>Widely regarded as one of the greatest and most successful music directors of Hindi film music, and the composer who modernised its rhythmic vocabulary.</t>
        </is>
      </c>
      <c r="O3" s="19" t="inlineStr">
        <is>
          <t>Kapoor's second-largest collaboration at 20 films, and the one that defines his youth phase. Burman scored the Nasir Hussain musicals Hum Kisise Kum Naheen and Zamaane Ko Dikhana Hai, Ravi Tandon's Khel Khel Mein, and Ramesh Sippy's Saagar, whose soundtrack was among the highest-selling Hindi albums of the 1980s. The pairing is concentrated in 1974–1985 and stops almost entirely after Saagar, with only Gurudev (1993) following; where Laxmikant–Pyarelal supplied Kapoor's melodrama, Burman supplied his college-romance register. Burman's article does not mention Kapoor.</t>
        </is>
      </c>
      <c r="P3" s="17" t="n">
        <v>20</v>
      </c>
      <c r="Q3" s="5" t="inlineStr">
        <is>
          <t>FILM-004; FILM-005; FILM-006; FILM-015; FILM-017; FILM-018; FILM-024; FILM-025; FILM-029; FILM-033; FILM-035; FILM-036; FILM-040; FILM-042; FILM-043; FILM-045; FILM-047; FILM-048; FILM-049; FILM-097</t>
        </is>
      </c>
      <c r="R3" s="5" t="inlineStr">
        <is>
          <t>Hum Kisise Kum Naheen (1977)</t>
        </is>
      </c>
      <c r="S3" s="5" t="inlineStr">
        <is>
          <t>R. D. Burman was the composer of Rishi Kapoor's youth, and the one whose work most directly shaped the carefree romantic register of his 1970s films. Born in Calcutta in 1939 to the composer S. D. Burman, he established himself with Teesri Manzil in 1966 and went on to score 331 films, bringing rock, jazz and Latin rhythm into the Hindi film song without abandoning its melodic basis. For Kapoor he wrote the Nasir Hussain musicals Hum Kisise Kum Naheen and Zamaane Ko Dikhana Hai and the college comedy Khel Khel Mein, soundtracks in which the hero sings, flirts and performs rather than suffers, and later the much-admired score for Ramesh Sippy's Saagar, which earned him a Filmfare nomination and sold heavily. Twenty films across roughly a decade make him Kapoor's second most frequent collaborator, but the association effectively ends in 1985, leaving the two men's peak years overlapping only in the middle. Burman died in January 1994, days before the release of 1942: A Love Story, for which he received a third, posthumous Filmfare Award.</t>
        </is>
      </c>
      <c r="T3" s="5" t="inlineStr">
        <is>
          <t>SOURCE-154</t>
        </is>
      </c>
      <c r="U3" s="5" t="inlineStr">
        <is>
          <t>High</t>
        </is>
      </c>
    </row>
    <row r="4" ht="184" customHeight="1">
      <c r="A4" s="15" t="inlineStr">
        <is>
          <t>PERSON-003</t>
        </is>
      </c>
      <c r="B4" s="5" t="inlineStr">
        <is>
          <t>Yash Raj Films</t>
        </is>
      </c>
      <c r="C4" s="5" t="inlineStr">
        <is>
          <t>Production banner</t>
        </is>
      </c>
      <c r="D4" s="18" t="n"/>
      <c r="E4" s="18" t="n"/>
      <c r="F4" s="5" t="inlineStr">
        <is>
          <t>1970–present</t>
        </is>
      </c>
      <c r="G4" s="5" t="inlineStr">
        <is>
          <t>Hindi cinema</t>
        </is>
      </c>
      <c r="H4" s="5" t="inlineStr">
        <is>
          <t>An Indian film production and distribution company founded by Yash Chopra in 1970 and led since 2012 by his son Aditya Chopra. It primarily produces and distributes Hindi films and also operates YRF Studios, a distribution arm, a home-entertainment label and a music label.</t>
        </is>
      </c>
      <c r="I4" s="5" t="inlineStr">
        <is>
          <t>Founded in 1970 by Yash Chopra after he left B. R. Films.</t>
        </is>
      </c>
      <c r="J4" s="5" t="inlineStr">
        <is>
          <t>With Kapoor: Kabhie Kabhie (1976), Doosra Aadmi (1977), Chandni (1989), Hum Tum (2004), Fanaa (2006), Jab Tak Hai Jaan (2012), Aurangzeb (2013), Shuddh Desi Romance (2013), Bewakoofiyaan (2014).</t>
        </is>
      </c>
      <c r="K4" s="19" t="inlineStr">
        <is>
          <t>Romance and the family melodrama, photographed as spectacle; from the 1990s, the diaspora-facing love story and the studio-scale franchise.</t>
        </is>
      </c>
      <c r="L4" s="19" t="inlineStr">
        <is>
          <t>A recognisable house style of glossy romantic cinema with heavy investment in music, costume and location, and from the 2000s a studio system that develops directors in-house.</t>
        </is>
      </c>
      <c r="M4" s="5" t="inlineStr">
        <is>
          <t>Ranked among the most powerful film production companies in India in a 2006 Filmfare survey; its films have won numerous National Film Awards and Filmfare Awards.</t>
        </is>
      </c>
      <c r="N4" s="19" t="inlineStr">
        <is>
          <t>The most influential family-owned studio in Hindi cinema and the banner that standardised the modern Hindi romance.</t>
        </is>
      </c>
      <c r="O4" s="19" t="inlineStr">
        <is>
          <t>Eleven films, spread across the whole career and in two distinct phases. In the 1970s Kapoor was a young lead for the banner in Yash Chopra's Kabhie Kabhie and Ramesh Talwar's Doosra Aadmi and Vijay; in 1989 Chandni restored him as a romantic lead opposite Sridevi after a weak decade; and from 2004 the banner employed him as a character actor and father figure in Hum Tum, Fanaa, Jab Tak Hai Jaan, Aurangzeb, Shuddh Desi Romance and Bewakoofiyaan. No other production house accounts for as many of his films.</t>
        </is>
      </c>
      <c r="P4" s="17" t="n">
        <v>11</v>
      </c>
      <c r="Q4" s="5" t="inlineStr">
        <is>
          <t>FILM-009; FILM-016; FILM-065; FILM-074; FILM-118; FILM-120; FILM-127; FILM-140; FILM-142; FILM-144; FILM-146</t>
        </is>
      </c>
      <c r="R4" s="5" t="inlineStr">
        <is>
          <t>Chandni (1989)</t>
        </is>
      </c>
      <c r="S4" s="5" t="inlineStr">
        <is>
          <t>Yash Raj Films, founded by Yash Chopra in 1970 and run since 2012 by Aditya Chopra, is the production house most consistently associated with Rishi Kapoor's career, and the only one that employed him across all three of its phases. As a young lead he appeared in Chopra's own Kabhie Kabhie and in Ramesh Talwar's Doosra Aadmi and Vijay. In 1989, after a decade of diminishing vehicles, Chandni gave him a late romantic lead opposite Sridevi and a hit soundtrack to go with it. From Hum Tum in 2004 the relationship resumed in a different key, with the banner casting him as fathers, patriarchs and comic elders in Fanaa, Jab Tak Hai Jaan, Aurangzeb, Shuddh Desi Romance and Bewakoofiyaan, the films in which his character-actor reinvention was consolidated for a mainstream audience. The company itself became the dominant family studio of Hindi cinema, building YRF Studios, a distribution network and a music label, and was ranked among India's most powerful production companies by Filmfare in 2006.</t>
        </is>
      </c>
      <c r="T4" s="5" t="inlineStr">
        <is>
          <t>SOURCE-155</t>
        </is>
      </c>
      <c r="U4" s="5" t="inlineStr">
        <is>
          <t>High</t>
        </is>
      </c>
    </row>
    <row r="5" ht="169" customHeight="1">
      <c r="A5" s="15" t="inlineStr">
        <is>
          <t>PERSON-004</t>
        </is>
      </c>
      <c r="B5" s="5" t="inlineStr">
        <is>
          <t>Sachin Bhowmick</t>
        </is>
      </c>
      <c r="C5" s="5" t="inlineStr">
        <is>
          <t>Writer</t>
        </is>
      </c>
      <c r="D5" s="17" t="n">
        <v>1930</v>
      </c>
      <c r="E5" s="17" t="n">
        <v>2011</v>
      </c>
      <c r="F5" s="5" t="inlineStr">
        <is>
          <t>1958–2008</t>
        </is>
      </c>
      <c r="G5" s="5" t="inlineStr">
        <is>
          <t>Hindi cinema</t>
        </is>
      </c>
      <c r="H5" s="5" t="inlineStr">
        <is>
          <t>Sachin Bhowmick (17 July 1930 – 12 April 2011) was an Indian Hindi-film writer and director who wrote stories or screenplays for more than 94 films. He also directed the romantic comedy Raja Rani (1973) and contributed regularly to the Bengali cinema magazine Ultorath.</t>
        </is>
      </c>
      <c r="I5" s="5" t="inlineStr">
        <is>
          <t>Began writing for Hindi films in 1958; directed Raja Rani in 1973.</t>
        </is>
      </c>
      <c r="J5" s="5" t="inlineStr">
        <is>
          <t>With Kapoor: Khel Khel Mein (1975), Hum Kisise Kum Naheen (1977), Karz (1980), Zamaane Ko Dikhana Hai (1982), Karobaar (2000). His wider credits run to more than ninety films across five decades.</t>
        </is>
      </c>
      <c r="K5" s="19" t="inlineStr">
        <is>
          <t>Story construction for star vehicles: mistaken identity, reincarnation and revenge, and the youth romance with a thriller spine.</t>
        </is>
      </c>
      <c r="L5" s="19" t="inlineStr">
        <is>
          <t>A story and screenplay specialist rather than a dialogue writer, valued for plotting that gave directors a commercial structure to shoot.</t>
        </is>
      </c>
      <c r="M5" s="5" t="inlineStr">
        <is>
          <t>His article records a long career and Filmfare nominations; no win is documented there.</t>
        </is>
      </c>
      <c r="N5" s="19" t="inlineStr">
        <is>
          <t>One of the most frequently employed story writers of post-1960 Hindi cinema, with a hand in several of its best-known commercial plots.</t>
        </is>
      </c>
      <c r="O5" s="19" t="inlineStr">
        <is>
          <t>Nine films, and the writer most closely tied to Kapoor's youth-romance cycle. He wrote the stories for the two Nasir Hussain musicals, Hum Kisise Kum Naheen and Zamaane Ko Dikhana Hai, for Khel Khel Mein, and for Karz, Subhash Ghai's reincarnation thriller that became one of Kapoor's defining roles. The association resumes late with Daraar (1996), Saajan Ki Baahon Mein (1995) and Karobaar (2000). Bhowmick's article does not mention Kapoor.</t>
        </is>
      </c>
      <c r="P5" s="17" t="n">
        <v>10</v>
      </c>
      <c r="Q5" s="5" t="inlineStr">
        <is>
          <t>FILM-006; FILM-010; FILM-015; FILM-029; FILM-031; FILM-035; FILM-065; FILM-104; FILM-108; FILM-111</t>
        </is>
      </c>
      <c r="R5" s="5" t="inlineStr">
        <is>
          <t>Karz (1980)</t>
        </is>
      </c>
      <c r="S5" s="5" t="inlineStr">
        <is>
          <t>Sachin Bhowmick wrote nine of Rishi Kapoor's films and supplied the plots for most of the ones that defined his young-hero period. A Bengali writer who worked in Hindi cinema from 1958 and claimed stories or screenplays on more than ninety films, he specialised in construction rather than dialogue: the device, the reversal and the identity puzzle that a commercial director could build a star vehicle on. For Kapoor he wrote Khel Khel Mein, the Nasir Hussain musicals Hum Kisise Kum Naheen and Zamaane Ko Dikhana Hai, and Karz, whose reincarnation plot gave Kapoor the most durable role of his early career and a soundtrack that outlived the film. His later credits with the actor — Vijay, Saajan Ki Baahon Mein, Daraar, Karobaar — belong to a period when both men were working in a diminished commercial cinema. He also directed one film, Raja Rani, in 1973, and wrote for the Bengali film press throughout.</t>
        </is>
      </c>
      <c r="T5" s="5" t="inlineStr">
        <is>
          <t>SOURCE-158</t>
        </is>
      </c>
      <c r="U5" s="5" t="inlineStr">
        <is>
          <t>High</t>
        </is>
      </c>
    </row>
    <row r="6" ht="184" customHeight="1">
      <c r="A6" s="15" t="inlineStr">
        <is>
          <t>PERSON-005</t>
        </is>
      </c>
      <c r="B6" s="5" t="inlineStr">
        <is>
          <t>Kader Khan</t>
        </is>
      </c>
      <c r="C6" s="5" t="inlineStr">
        <is>
          <t>Writer</t>
        </is>
      </c>
      <c r="D6" s="17" t="n">
        <v>1937</v>
      </c>
      <c r="E6" s="17" t="n">
        <v>2018</v>
      </c>
      <c r="F6" s="5" t="inlineStr">
        <is>
          <t>1971–2018</t>
        </is>
      </c>
      <c r="G6" s="5" t="inlineStr">
        <is>
          <t>Hindi cinema</t>
        </is>
      </c>
      <c r="H6" s="5" t="inlineStr">
        <is>
          <t>Kader Khan (22 October 1937 – 31 December 2018) was an Indian actor, screenwriter and film producer. Born in Kabul and educated at Ismail Yusuf College, Mumbai, he taught civil engineering at M. H. Saboo Siddik College of Engineering before entering films in 1971. He appeared in over 300 films and wrote dialogue for about 200.</t>
        </is>
      </c>
      <c r="I6" s="5" t="inlineStr">
        <is>
          <t>Acting debut in Daag (1973) as a prosecuting attorney; began writing for films from 1971.</t>
        </is>
      </c>
      <c r="J6" s="5" t="inlineStr">
        <is>
          <t>With Kapoor: Rafoo Chakkar (1975), Amar Akbar Anthony (1977), Naseeb (1981), Coolie (1983), Ghar Ghar Ki Kahani (1988), Ghar Ki Izzat (1994). Elsewhere he wrote and acted across the Manmohan Desai and David Dhawan comedies of the 1970s to 1990s.</t>
        </is>
      </c>
      <c r="K6" s="19" t="inlineStr">
        <is>
          <t>Masala dialogue: lost-and-found family plots, courtroom and confrontation set pieces, and comic exchange written for star performers.</t>
        </is>
      </c>
      <c r="L6" s="19" t="inlineStr">
        <is>
          <t>A dialogue writer first, with an ear for rhythmic, quotable Urdu-inflected speech and for comic timing he also performed himself.</t>
        </is>
      </c>
      <c r="M6" s="5" t="inlineStr">
        <is>
          <t>The Government of India announced the Padma Shri for him posthumously in January 2019.</t>
        </is>
      </c>
      <c r="N6" s="19" t="inlineStr">
        <is>
          <t>One of the most prolific dialogue writers of commercial Hindi cinema and simultaneously one of its most recognisable character actors.</t>
        </is>
      </c>
      <c r="O6" s="19" t="inlineStr">
        <is>
          <t>Kapoor's most frequent writer at nine films, and the hinge between two of his phases. Six are Manmohan Desai or Desai-style multi-starrers in which Kapoor shares the frame with Amitabh Bachchan or Vinod Khanna — Amar Akbar Anthony, Naseeb, Coolie — and three belong to the late-1980s and 1990s family melodramas, Ghar Ghar Ki Kahani, Bade Ghar Ki Beti, Rishta To Ho Aisa and Ghar Ki Izzat, several directed by Kalpataru. Khan's article does not mention Kapoor; the relationship rests on the credits.</t>
        </is>
      </c>
      <c r="P6" s="17" t="n">
        <v>9</v>
      </c>
      <c r="Q6" s="5" t="inlineStr">
        <is>
          <t>FILM-007; FILM-014; FILM-032; FILM-041; FILM-061; FILM-064; FILM-070; FILM-086; FILM-103</t>
        </is>
      </c>
      <c r="R6" s="5" t="inlineStr">
        <is>
          <t>Amar Akbar Anthony (1977)</t>
        </is>
      </c>
      <c r="S6" s="5" t="inlineStr">
        <is>
          <t>Kader Khan is Rishi Kapoor's most frequent writer, and the writer most responsible for the films in which Kapoor had to hold his own inside an ensemble. Born in Kabul in 1937 and a professor of civil engineering before he entered films in 1971, Khan wrote dialogue for some 200 films while acting in more than 300, a double career with few parallels in Hindi cinema. His nine credits with Kapoor divide cleanly: the Manmohan Desai masala cycle of Amar Akbar Anthony, Naseeb and Coolie, where Kapoor's romantic register is set against Bachchan's comic bravado, and the family melodramas of the late 1980s and 1990s — Ghar Ghar Ki Kahani, Bade Ghar Ki Beti, Rishta To Ho Aisa, Ghar Ki Izzat — where Kapoor plays dutiful sons and husbands in modest productions. Khan's dialogue is the common element in Kapoor's most commercially successful film, Amar Akbar Anthony, and in some of his least distinguished. The Government of India announced a posthumous Padma Shri for him in 2019.</t>
        </is>
      </c>
      <c r="T6" s="5" t="inlineStr">
        <is>
          <t>SOURCE-156</t>
        </is>
      </c>
      <c r="U6" s="5" t="inlineStr">
        <is>
          <t>High</t>
        </is>
      </c>
    </row>
    <row r="7" ht="184" customHeight="1">
      <c r="A7" s="15" t="inlineStr">
        <is>
          <t>PERSON-006</t>
        </is>
      </c>
      <c r="B7" s="5" t="inlineStr">
        <is>
          <t>Rajesh Roshan</t>
        </is>
      </c>
      <c r="C7" s="5" t="inlineStr">
        <is>
          <t>Song composer</t>
        </is>
      </c>
      <c r="D7" s="17" t="n">
        <v>1955</v>
      </c>
      <c r="E7" s="18" t="n"/>
      <c r="F7" s="5" t="inlineStr">
        <is>
          <t>1974–2017</t>
        </is>
      </c>
      <c r="G7" s="5" t="inlineStr">
        <is>
          <t>Hindi cinema</t>
        </is>
      </c>
      <c r="H7" s="5" t="inlineStr">
        <is>
          <t>Rajesh Roshanlal Nagrath (born 24 May 1955), known as Rajesh Roshan, is an Indian music director and composer, a son of the composer Roshan and the brother of the director-producer Rakesh Roshan.</t>
        </is>
      </c>
      <c r="I7" s="5" t="inlineStr">
        <is>
          <t>Came to notice with Kunwara Baap (1974) and Julie (1975), winning the Filmfare Award for Best Music Director for the latter.</t>
        </is>
      </c>
      <c r="J7" s="5" t="inlineStr">
        <is>
          <t>With Kapoor: Doosra Aadmi (1977), Duniya Meri Jeb Mein (1979), Aap Ke Deewane (1980), Khudgarz (1987), Karobaar (2000). Elsewhere, Julie (1975), Kaho Naa... Pyaar Hai (2000) and much of the Rakesh Roshan filmography.</t>
        </is>
      </c>
      <c r="K7" s="19" t="inlineStr">
        <is>
          <t>Melodic romance built for playback voices, with a long association with Kishore Kumar in the 1970s and with his brother's productions thereafter.</t>
        </is>
      </c>
      <c r="L7" s="19" t="inlineStr">
        <is>
          <t>Song-led composition in the melodic mainstream, less rhythm-driven than his contemporaries and frequently written for a single star voice.</t>
        </is>
      </c>
      <c r="M7" s="5" t="inlineStr">
        <is>
          <t>Filmfare Award for Best Music Director for Julie (1975), with further Filmfare wins and nominations including Kaho Naa... Pyaar Hai.</t>
        </is>
      </c>
      <c r="N7" s="19" t="inlineStr">
        <is>
          <t>A continuously employed mainstream composer across four decades, and the musical signature of the Roshan family's productions.</t>
        </is>
      </c>
      <c r="O7" s="19" t="inlineStr">
        <is>
          <t>Nine films, bunched at two points in the career. Four come from 1977–1980, when Kapoor was a young lead at Yash Raj Films and in Rajesh Roshan's brother's orbit — Doosra Aadmi, Ginny Aur Johnny, Duniya Meri Jeb Mein and Aap Ke Deewane. The second group belongs to Kapoor's middle period, with Khudgarz (1987) the commercial high point, followed by Kasak, Kaun Sachcha Kaun Jhootha, Karobaar and Love at Times Square, the last of them in 2003. His article does not mention Kapoor.</t>
        </is>
      </c>
      <c r="P7" s="17" t="n">
        <v>9</v>
      </c>
      <c r="Q7" s="5" t="inlineStr">
        <is>
          <t>FILM-012; FILM-016; FILM-026; FILM-030; FILM-060; FILM-084; FILM-109; FILM-111; FILM-116</t>
        </is>
      </c>
      <c r="R7" s="5" t="inlineStr">
        <is>
          <t>Khudgarz (1987)</t>
        </is>
      </c>
      <c r="S7" s="5" t="inlineStr">
        <is>
          <t>Rajesh Roshan scored nine of Rishi Kapoor's films, a collaboration that brackets the career rather than running through it. Born in 1955 into a musical family — his father was the composer Roshan, his brother the filmmaker Rakesh Roshan — he won the Filmfare Award for Best Music Director for Julie in his second year of work and remained in continuous employment for four decades. His first films with Kapoor are the Yash Raj romances of the late 1970s, Doosra Aadmi above all, where the songs serve a melancholy triangle rather than a courtship. The association resumes in the Roshan family's own productions of the later 1980s, when Khudgarz gave Kapoor one of the few unambiguous hits of a thin decade, and continues into his 2000s work with Karobaar and Love at Times Square. Roshan's idiom — melodic, unhurried, written around a star voice — suited a performer whose songs were expected to carry a film's emotional weight rather than its energy.</t>
        </is>
      </c>
      <c r="T7" s="5" t="inlineStr">
        <is>
          <t>SOURCE-157</t>
        </is>
      </c>
      <c r="U7" s="5" t="inlineStr">
        <is>
          <t>High</t>
        </is>
      </c>
    </row>
    <row r="8" ht="184" customHeight="1">
      <c r="A8" s="15" t="inlineStr">
        <is>
          <t>PERSON-007</t>
        </is>
      </c>
      <c r="B8" s="5" t="inlineStr">
        <is>
          <t>Aditya Chopra</t>
        </is>
      </c>
      <c r="C8" s="5" t="inlineStr">
        <is>
          <t>Producer; Writer</t>
        </is>
      </c>
      <c r="D8" s="17" t="n">
        <v>1971</v>
      </c>
      <c r="E8" s="18" t="n"/>
      <c r="F8" s="5" t="inlineStr">
        <is>
          <t>1988–present</t>
        </is>
      </c>
      <c r="G8" s="5" t="inlineStr">
        <is>
          <t>Hindi cinema</t>
        </is>
      </c>
      <c r="H8" s="5" t="inlineStr">
        <is>
          <t>Aditya Chopra (born 21 May 1971) is an Indian film director, producer and studio executive, the son of Yash Chopra and chairman of Yash Raj Films. The films he has produced make him, by his article's account, the highest-grossing Indian film producer.</t>
        </is>
      </c>
      <c r="I8" s="5" t="inlineStr">
        <is>
          <t>Directorial debut Dilwale Dulhania Le Jayenge (1995), which won the National Film Award for Best Popular Film Providing Wholesome Entertainment; moved into large-scale production from 2004.</t>
        </is>
      </c>
      <c r="J8" s="5" t="inlineStr">
        <is>
          <t>With Kapoor: Hum Tum (2004), Fanaa (2006), Jab Tak Hai Jaan (2012), Aurangzeb (2013), Shuddh Desi Romance (2013), Bewakoofiyaan (2014). Elsewhere, Dilwale Dulhania Le Jayenge, Veer-Zaara, the Dhoom films and Chak De! India.</t>
        </is>
      </c>
      <c r="K8" s="19" t="inlineStr">
        <is>
          <t>The romance as studio product; family, diaspora and duty; and the development of new directors inside a house style.</t>
        </is>
      </c>
      <c r="L8" s="19" t="inlineStr">
        <is>
          <t>A producer-executive who exercises close control over script and marketing, and who keeps the YRF romance recognisable across changing directors.</t>
        </is>
      </c>
      <c r="M8" s="5" t="inlineStr">
        <is>
          <t>National recognition in 1995, 2004, 2007 and 2015 per his article, and Filmfare nominations for Best Director; several of his productions won National Film Awards.</t>
        </is>
      </c>
      <c r="N8" s="19" t="inlineStr">
        <is>
          <t>Widely described as the most influential executive in Indian entertainment, and the figure who turned a family banner into a studio.</t>
        </is>
      </c>
      <c r="O8" s="19" t="inlineStr">
        <is>
          <t>Seven films, all in Kapoor's character-actor phase, and all under the Yash Raj banner that Chopra controls. Beginning with Hum Tum in 2004, Chopra's productions cast Kapoor as fathers and elders — in Fanaa, Jab Tak Hai Jaan, Aurangzeb, Shuddh Desi Romance and Bewakoofiyaan — giving him a steady place in mainstream Hindi cinema two decades after his lead career ended. There is no evidence in Chopra's article of a personal association; the relationship is institutional, through the banner.</t>
        </is>
      </c>
      <c r="P8" s="17" t="n">
        <v>7</v>
      </c>
      <c r="Q8" s="5" t="inlineStr">
        <is>
          <t>FILM-118; FILM-120; FILM-127; FILM-140; FILM-142; FILM-144; FILM-146</t>
        </is>
      </c>
      <c r="R8" s="5" t="inlineStr">
        <is>
          <t>Hum Tum (2004)</t>
        </is>
      </c>
      <c r="S8" s="5" t="inlineStr">
        <is>
          <t>Aditya Chopra's connection with Rishi Kapoor is that of a studio head to a reliable character actor, and it accounts for seven films in Kapoor's last two decades. Born in 1971 and the son of Yash Chopra, Chopra directed Dilwale Dulhania Le Jayenge at twenty-three and then moved behind the desk, producing Hum Tum, Dhoom and Veer-Zaara in 2004 alone and building Yash Raj Films into the dominant private studio in Hindi cinema. Kapoor appears in his productions from Hum Tum onwards, almost always as a father or patriarch: the retired figure in Hum Tum, the Kashmiri father in Fanaa, the elders of Jab Tak Hai Jaan, Aurangzeb, Shuddh Desi Romance and Bewakoofiyaan. The pattern matters for this filmography because it shows Kapoor's second career being sustained by a banner rather than by individual directors — the same company that had given him Kabhie Kabhie in 1976 and Chandni in 1989 now employing him as supporting cast.</t>
        </is>
      </c>
      <c r="T8" s="5" t="inlineStr">
        <is>
          <t>SOURCE-159</t>
        </is>
      </c>
      <c r="U8" s="5" t="inlineStr">
        <is>
          <t>High</t>
        </is>
      </c>
    </row>
    <row r="9" ht="154" customHeight="1">
      <c r="A9" s="15" t="inlineStr">
        <is>
          <t>PERSON-008</t>
        </is>
      </c>
      <c r="B9" s="5" t="inlineStr">
        <is>
          <t>Anu Malik</t>
        </is>
      </c>
      <c r="C9" s="5" t="inlineStr">
        <is>
          <t>Song composer</t>
        </is>
      </c>
      <c r="D9" s="17" t="n">
        <v>1960</v>
      </c>
      <c r="E9" s="18" t="n"/>
      <c r="F9" s="5" t="inlineStr">
        <is>
          <t>1974–present</t>
        </is>
      </c>
      <c r="G9" s="5" t="inlineStr">
        <is>
          <t>Hindi cinema</t>
        </is>
      </c>
      <c r="H9" s="5" t="inlineStr">
        <is>
          <t>Anwar Sardar "Anu" Malik (born 2 November 1960) is an Indian music composer, singer and arranger, the son of the composer Sardar Malik. He has composed for the Hindi film industry since the late 1970s and has also worked extensively as a television judge.</t>
        </is>
      </c>
      <c r="I9" s="5" t="inlineStr">
        <is>
          <t>Came to notice with Sohni Mahiwal, which earned his first Filmfare nomination for Best Music Director.</t>
        </is>
      </c>
      <c r="J9" s="5" t="inlineStr">
        <is>
          <t>With Kapoor: Allah Rakha (1986), Ek Chadar Maili Si (1986), Hawalaat (1987), Yaraana (1995), Daraar (1996), Kucch To Hai (2003). Elsewhere, Baazigar, Border, Refugee and Main Hoon Na.</t>
        </is>
      </c>
      <c r="K9" s="19" t="inlineStr">
        <is>
          <t>Hook-driven commercial songs across thriller, action and romance; frequent use of tabla and dholak within a pop arrangement.</t>
        </is>
      </c>
      <c r="L9" s="19" t="inlineStr">
        <is>
          <t>Prolific, idiom-switching commercial composition oriented to the single hit song, with a recognisable use of percussion and of his own voice.</t>
        </is>
      </c>
      <c r="M9" s="5" t="inlineStr">
        <is>
          <t>One National Film Award and three Filmfare Awards, the first Filmfare for Baazigar at the 39th ceremony, with many further nominations.</t>
        </is>
      </c>
      <c r="N9" s="19" t="inlineStr">
        <is>
          <t>One of the most commercially dominant composers of the 1990s Hindi film song, and a figure whose later career was overshadowed by plagiarism allegations and by sexual-harassment allegations recorded in his article.</t>
        </is>
      </c>
      <c r="O9" s="19" t="inlineStr">
        <is>
          <t>Seven films spanning Kapoor's mid-career, from the 1986 multi-starrers Allah Rakha and Ek Chadar Maili Si through Hawalaat to the 1990s films in which Kapoor was still a lead but no longer a young one — Yaraana, Daraar, Kuch Khatti Kuch Meethi — and finally Kucch To Hai in 2003. The association coincides almost exactly with the decline of Kapoor's solo star vehicles. His article does not mention Kapoor.</t>
        </is>
      </c>
      <c r="P9" s="17" t="n">
        <v>7</v>
      </c>
      <c r="Q9" s="5" t="inlineStr">
        <is>
          <t>FILM-053; FILM-054; FILM-059; FILM-106; FILM-108; FILM-113; FILM-115</t>
        </is>
      </c>
      <c r="R9" s="5" t="inlineStr">
        <is>
          <t>Yaraana (1995)</t>
        </is>
      </c>
      <c r="S9" s="5" t="inlineStr">
        <is>
          <t>Anu Malik scored seven of Rishi Kapoor's films, all of them in the long middle stretch when Kapoor was still billed first but the films themselves were getting smaller. Born in 1960 to the composer Sardar Malik, Malik became one of the most heavily employed composers of the 1990s, winning a National Film Award and three Filmfare Awards and producing hit soundtracks for Baazigar, Border and Refugee. His Kapoor credits begin with the 1986 ensembles Allah Rakha and Ek Chadar Maili Si and run through Yaraana and Daraar in the mid-1990s to Kucch To Hai in 2003, by which point Kapoor was moving into supporting parts. Malik's method — build a film around one inescapable song — suited productions that needed a commercial hook more than a score, and his association with Kapoor is correspondingly uneven: several of these films are remembered, if at all, for their music. His later reputation was damaged by repeated plagiarism allegations and by harassment allegations documented in his article.</t>
        </is>
      </c>
      <c r="T9" s="5" t="inlineStr">
        <is>
          <t>SOURCE-160</t>
        </is>
      </c>
      <c r="U9" s="5" t="inlineStr">
        <is>
          <t>High</t>
        </is>
      </c>
    </row>
    <row r="10" ht="169" customHeight="1">
      <c r="A10" s="15" t="inlineStr">
        <is>
          <t>PERSON-009</t>
        </is>
      </c>
      <c r="B10" s="5" t="inlineStr">
        <is>
          <t>Bappi Lahiri</t>
        </is>
      </c>
      <c r="C10" s="5" t="inlineStr">
        <is>
          <t>Song composer; Background-score composer</t>
        </is>
      </c>
      <c r="D10" s="17" t="n">
        <v>1952</v>
      </c>
      <c r="E10" s="17" t="n">
        <v>2022</v>
      </c>
      <c r="F10" s="5" t="inlineStr">
        <is>
          <t>1972–2022</t>
        </is>
      </c>
      <c r="G10" s="5" t="inlineStr">
        <is>
          <t>Hindi cinema; Bengali and Telugu cinema</t>
        </is>
      </c>
      <c r="H10" s="5" t="inlineStr">
        <is>
          <t>Bappi Lahiri, born Alokesh Aparesh Lahiri (27 November 1952 – 15 February 2022), was an Indian composer, singer and record producer who popularised synthesised disco music in Indian film music and sang many of his own compositions. In 1986 Guinness World Records recognised him for recording more than 180 songs in a single year.</t>
        </is>
      </c>
      <c r="I10" s="5" t="inlineStr">
        <is>
          <t>Established in the 1970s; became dominant with the disco soundtracks of the early 1980s.</t>
        </is>
      </c>
      <c r="J10" s="5" t="inlineStr">
        <is>
          <t>With Kapoor: Naukar Biwi Ka (1983), Pyar Ke Kabil (1987), Ghar Ghar Ki Kahani (1988), Khoj (1989), Love at Times Square (2003). Elsewhere, Disco Dancer, Namak Halaal and Sharaabi.</t>
        </is>
      </c>
      <c r="K10" s="19" t="inlineStr">
        <is>
          <t>Disco and synthesised dance music, Bengali and Telugu film songs, and high-volume commercial scoring.</t>
        </is>
      </c>
      <c r="L10" s="19" t="inlineStr">
        <is>
          <t>Synthesiser-led arrangement with insistent dance rhythm, produced at extraordinary speed and often sung by the composer himself.</t>
        </is>
      </c>
      <c r="M10" s="5" t="inlineStr">
        <is>
          <t>Filmfare Lifetime Achievement Award at the 63rd Filmfare Awards; Guinness recognition in 1986 for his annual output.</t>
        </is>
      </c>
      <c r="N10" s="19" t="inlineStr">
        <is>
          <t>The composer who brought disco into mainstream Hindi cinema and defined the sound of its early 1980s.</t>
        </is>
      </c>
      <c r="O10" s="19" t="inlineStr">
        <is>
          <t>Seven films across the 1980s and into 2003, all in the weakest commercial stretch of Kapoor's lead career: Naukar Biwi Ka, Pyar Ke Kabil, Ghar Ghar Ki Kahani, Khoj, Izzat Ki Roti, Prem Yog and Love at Times Square. Three are also background-score credits. The pairing is notable for what it is not — Lahiri's disco idiom was built for Mithun Chakraborty and Amitabh Bachchan, and Kapoor never acquired a signature Lahiri song. His article does not mention Kapoor.</t>
        </is>
      </c>
      <c r="P10" s="17" t="n">
        <v>7</v>
      </c>
      <c r="Q10" s="5" t="inlineStr">
        <is>
          <t>FILM-039; FILM-058; FILM-064; FILM-072; FILM-095; FILM-102; FILM-116</t>
        </is>
      </c>
      <c r="R10" s="5" t="inlineStr">
        <is>
          <t>Pyar Ke Kabil (1987)</t>
        </is>
      </c>
      <c r="S10" s="5" t="inlineStr">
        <is>
          <t>Bappi Lahiri composed for seven Rishi Kapoor films, a collaboration that sits almost entirely inside Kapoor's lean decade. Born in Siliguri in 1952, Lahiri brought synthesised disco into Hindi cinema and for several years was its most ubiquitous composer, recognised by Guinness World Records in 1986 for recording more than 180 songs in one year and remembered for Disco Dancer and Namak Halaal. His films with Kapoor — Naukar Biwi Ka, Pyar Ke Kabil, Ghar Ghar Ki Kahani, Khoj, Izzat Ki Roti, Prem Yog and much later Love at Times Square — are modest productions, and the relationship never produced the kind of defining song that Laxmikant–Pyarelal or R. D. Burman wrote for him. It is a useful negative case in this filmography: the dominant popular idiom of the early 1980s was one Kapoor's screen persona could not easily absorb, and his vehicles of those years sound borrowed rather than tailored. Lahiri received the Filmfare Lifetime Achievement Award at the 63rd ceremony.</t>
        </is>
      </c>
      <c r="T10" s="5" t="inlineStr">
        <is>
          <t>SOURCE-161</t>
        </is>
      </c>
      <c r="U10" s="5" t="inlineStr">
        <is>
          <t>High</t>
        </is>
      </c>
    </row>
    <row r="11" ht="139" customHeight="1">
      <c r="A11" s="15" t="inlineStr">
        <is>
          <t>PERSON-010</t>
        </is>
      </c>
      <c r="B11" s="5" t="inlineStr">
        <is>
          <t>Salim–Sulaiman</t>
        </is>
      </c>
      <c r="C11" s="5" t="inlineStr">
        <is>
          <t>Song composer; Background-score composer (composing duo)</t>
        </is>
      </c>
      <c r="D11" s="18" t="n"/>
      <c r="E11" s="18" t="n"/>
      <c r="F11" s="5" t="inlineStr">
        <is>
          <t>1993–present</t>
        </is>
      </c>
      <c r="G11" s="5" t="inlineStr">
        <is>
          <t>Hindi cinema</t>
        </is>
      </c>
      <c r="H11" s="5" t="inlineStr">
        <is>
          <t>An Indian composing duo of the brothers Salim and Sulaiman Merchant, from Mumbai, who have composed predominantly for Hindi films since 1993, working both as song composers and as background-score composers.</t>
        </is>
      </c>
      <c r="I11" s="5" t="inlineStr">
        <is>
          <t>Active from 1993, initially and extensively as background-score composers for other composers' films.</t>
        </is>
      </c>
      <c r="J11" s="5" t="inlineStr">
        <is>
          <t>With Kapoor: Hum Tum (2004), Fanaa (2006), Namastey London (2007), Love Aaj Kal (2009), Wedding Pullav (2015), 102 Not Out (2018). Elsewhere, Chak De! India and Rab Ne Bana Di Jodi.</t>
        </is>
      </c>
      <c r="K11" s="19" t="inlineStr">
        <is>
          <t>Background scoring for the modern Hindi romance, Sufi-inflected song, and anthemic orchestration.</t>
        </is>
      </c>
      <c r="L11" s="19" t="inlineStr">
        <is>
          <t>Clean, contemporary orchestration that serves narrative rather than set piece; the duo are as often hired for score as for songs.</t>
        </is>
      </c>
      <c r="M11" s="5" t="inlineStr">
        <is>
          <t>Their article records awards and a filmography across two decades of mainstream Hindi cinema.</t>
        </is>
      </c>
      <c r="N11" s="19" t="inlineStr">
        <is>
          <t>Among the most employed background-score composers of 2000s Hindi cinema, in a period when score and songs were increasingly split between different hands.</t>
        </is>
      </c>
      <c r="O11" s="19" t="inlineStr">
        <is>
          <t>Seven films, all in Kapoor's character-actor phase, and mostly as background-score composers on films whose songs were written by others — Hum Tum, Fanaa, Namastey London and Love Aaj Kal. They were song composers on Kaanchi, Wedding Pullav and 102 Not Out, the last of these a late lead role for Kapoor opposite Amitabh Bachchan. Their article does not mention Kapoor.</t>
        </is>
      </c>
      <c r="P11" s="17" t="n">
        <v>7</v>
      </c>
      <c r="Q11" s="5" t="inlineStr">
        <is>
          <t>FILM-118; FILM-120; FILM-123; FILM-131; FILM-147; FILM-149; FILM-154</t>
        </is>
      </c>
      <c r="R11" s="5" t="inlineStr">
        <is>
          <t>102 Not Out (2018)</t>
        </is>
      </c>
      <c r="S11" s="5" t="inlineStr">
        <is>
          <t>Salim–Sulaiman are the composers of Rishi Kapoor's second career. The Merchant brothers have worked in Hindi cinema since 1993, and their seven credits here all fall after 2004, when Kapoor had become a supporting player in mainstream romances. On Hum Tum, Fanaa, Namastey London and Love Aaj Kal they supplied the background score rather than the songs, a division of labour characteristic of 2000s Hindi cinema and one that places them at the centre of films whose soundtracks are credited to others. Where they did write songs for a Kapoor film, the results track his late-career position precisely: the modest Wedding Pullav, the failed Kaanchi, and 102 Not Out, in which a 65-year-old Kapoor played the son of a 102-year-old Amitabh Bachchan and which gave him his last substantial lead. The pairing is a reminder that his final decade was spent inside a production system quite different from the one that made him a star.</t>
        </is>
      </c>
      <c r="T11" s="5" t="inlineStr">
        <is>
          <t>SOURCE-162</t>
        </is>
      </c>
      <c r="U11" s="5" t="inlineStr">
        <is>
          <t>High</t>
        </is>
      </c>
    </row>
    <row r="12" ht="139" customHeight="1">
      <c r="A12" s="15" t="inlineStr">
        <is>
          <t>PERSON-011</t>
        </is>
      </c>
      <c r="B12" s="5" t="inlineStr">
        <is>
          <t>Jainendra Jain</t>
        </is>
      </c>
      <c r="C12" s="5" t="inlineStr">
        <is>
          <t>Writer</t>
        </is>
      </c>
      <c r="D12" s="17" t="n">
        <v>1939</v>
      </c>
      <c r="E12" s="17" t="n">
        <v>2007</v>
      </c>
      <c r="F12" s="5" t="inlineStr">
        <is>
          <t>1973–2007</t>
        </is>
      </c>
      <c r="G12" s="5" t="inlineStr">
        <is>
          <t>Hindi cinema</t>
        </is>
      </c>
      <c r="H12" s="5" t="inlineStr">
        <is>
          <t>Jainendra Jain (4 October 1939 – 23 December 2007), born in Surat, was a Hindi film writer, director and producer based in Mumbai. His article credits him as writer, director and producer across a career begun in the early 1970s.</t>
        </is>
      </c>
      <c r="I12" s="5" t="inlineStr">
        <is>
          <t>His writing debut was Bobby (1973), which his article describes as the second top-grossing Hindi film of the 1970s and as the film that introduced Dimple Kapadia and gave Rishi Kapoor his first leading role.</t>
        </is>
      </c>
      <c r="J12" s="5" t="inlineStr">
        <is>
          <t>With Kapoor: Bobby (1973), Sargam (1979), Prem Rog (1982), Ram Tere Kitne Nam (1985), Henna (1991), Prem Granth (1996).</t>
        </is>
      </c>
      <c r="K12" s="19" t="inlineStr">
        <is>
          <t>Romantic melodrama with a social obstacle — class, widowhood, nationality — written largely for the R. K. Films house style.</t>
        </is>
      </c>
      <c r="L12" s="19" t="inlineStr">
        <is>
          <t>A screenwriter of romance built around prohibition and sacrifice, working repeatedly for Raj Kapoor and his sons.</t>
        </is>
      </c>
      <c r="M12" s="5" t="inlineStr">
        <is>
          <t>None recorded in his article.</t>
        </is>
      </c>
      <c r="N12" s="19" t="inlineStr">
        <is>
          <t>Chiefly important as the writer of Bobby, the film that reset the template for the Hindi teenage romance.</t>
        </is>
      </c>
      <c r="O12" s="19" t="inlineStr">
        <is>
          <t>Six films, and the most consequential writing relationship in the filmography. Jain wrote Bobby, Kapoor's first leading role, and then four more of the Kapoor family's own romances — Sargam, Prem Rog, Henna and Prem Granth — spanning twenty-three years from his debut to the last R. K. Films production Kapoor starred in. His article names Kapoor directly, in connection with Bobby.</t>
        </is>
      </c>
      <c r="P12" s="17" t="n">
        <v>6</v>
      </c>
      <c r="Q12" s="5" t="inlineStr">
        <is>
          <t>FILM-003; FILM-023; FILM-037; FILM-045; FILM-081; FILM-107</t>
        </is>
      </c>
      <c r="R12" s="5" t="inlineStr">
        <is>
          <t>Bobby (1973)</t>
        </is>
      </c>
      <c r="S12" s="5" t="inlineStr">
        <is>
          <t>Jainendra Jain is the writer whose name sits on the film that created Rishi Kapoor's career. Born in Surat in 1939, Jain worked in Hindi cinema as writer, director and producer, and made his writing debut with Bobby in 1973 — a Raj Kapoor production that became one of the decade's biggest hits, introduced Dimple Kapadia and made a twenty-one-year-old Kapoor a romantic lead. Jain then wrote four further films for the Kapoor family: Sargam, the musical that confirmed the formula; Prem Rog, Raj Kapoor's melodrama about widow remarriage; Henna, the cross-border romance Randhir Kapoor completed after their father's death; and Prem Granth, Rajiv Kapoor's directorial attempt in 1996. Six films over twenty-three years make him Kapoor's longest-running writer, and the one most closely identified with the type of story — love across a social prohibition, resolved by endurance — that defined the actor's romantic persona. He died in Mumbai in December 2007.</t>
        </is>
      </c>
      <c r="T12" s="5" t="inlineStr">
        <is>
          <t>SOURCE-163</t>
        </is>
      </c>
      <c r="U12" s="5" t="inlineStr">
        <is>
          <t>High</t>
        </is>
      </c>
    </row>
    <row r="13" ht="154" customHeight="1">
      <c r="A13" s="15" t="inlineStr">
        <is>
          <t>PERSON-012</t>
        </is>
      </c>
      <c r="B13" s="5" t="inlineStr">
        <is>
          <t>K. K. Shukla</t>
        </is>
      </c>
      <c r="C13" s="5" t="inlineStr">
        <is>
          <t>Writer</t>
        </is>
      </c>
      <c r="D13" s="18" t="n"/>
      <c r="E13" s="17" t="n">
        <v>1993</v>
      </c>
      <c r="F13" s="5" t="n"/>
      <c r="G13" s="5" t="inlineStr">
        <is>
          <t>Hindi cinema</t>
        </is>
      </c>
      <c r="H13" s="5" t="inlineStr">
        <is>
          <t>A Hindi-film screenwriter and dialogue writer active from the mid-1970s until his death in 1993, working almost entirely on Manmohan Desai's masala productions and on films in that style. He has no Wikipedia article of his own. The article on the actress Daisy Irani records that she married him on 21 January 1971 and that he died in 1993, and Honey Irani's article describes her sister as his widow.</t>
        </is>
      </c>
      <c r="I13" s="5" t="n"/>
      <c r="J13" s="5" t="inlineStr">
        <is>
          <t>With Kapoor: Rafoo Chakkar (1975), Amar Akbar Anthony (1977), Naseeb (1981), Coolie (1983), Allah Rakha (1986), Gurudev (1993).</t>
        </is>
      </c>
      <c r="K13" s="19" t="inlineStr">
        <is>
          <t>Lost-and-found family plots, disguise and coincidence, and the dialogue set pieces of the 1970s and 1980s multi-starrer.</t>
        </is>
      </c>
      <c r="L13" s="19" t="inlineStr">
        <is>
          <t>A collaborative masala writer, usually credited alongside Kader Khan, Prayag Raj or Jeevanprabha M. Desai rather than alone.</t>
        </is>
      </c>
      <c r="M13" s="5" t="n"/>
      <c r="N13" s="19" t="inlineStr">
        <is>
          <t>Not independently documented; his significance here is as a recurring member of the Desai writing unit.</t>
        </is>
      </c>
      <c r="O13" s="19" t="inlineStr">
        <is>
          <t>Six films, five of them Desai or Desai-style ensembles in which Kapoor plays one of several leads — Rafoo Chakkar, Amar Akbar Anthony, Naseeb, Coolie, Allah Rakha — plus Gurudev in 1993. He is one of six writers with six or more Kapoor credits, and the one about whom least is documented.</t>
        </is>
      </c>
      <c r="P13" s="17" t="n">
        <v>6</v>
      </c>
      <c r="Q13" s="5" t="inlineStr">
        <is>
          <t>FILM-007; FILM-014; FILM-032; FILM-041; FILM-053; FILM-097</t>
        </is>
      </c>
      <c r="R13" s="5" t="inlineStr">
        <is>
          <t>Amar Akbar Anthony (1977)</t>
        </is>
      </c>
      <c r="S13" s="5" t="inlineStr">
        <is>
          <t>K. K. Shukla belongs to the writing unit that produced Rishi Kapoor's most commercially successful films, and almost nothing about him is recorded outside their credits. He has no Wikipedia article of his own; the only documented biography comes through his wife, the 1950s child star Daisy Irani, whose article records their marriage on 21 January 1971 and his death in 1993, and whose sister, the screenwriter Honey Irani, is described in her own article as his sister-in-law. His six Kapoor credits are concentrated in the Manmohan Desai cycle — Rafoo Chakkar, Amar Akbar Anthony, Naseeb, Coolie and Allah Rakha — where he is always credited alongside other writers, usually Kader Khan and Prayag Raj, in the collective fashion of masala production. The films themselves are among the biggest hits of Kapoor's career, and his presence on five of them makes him one of six writers with six or more credits in this filmography. Apart from the marriage and death dates, the row is built from film credits rather than from biography.</t>
        </is>
      </c>
      <c r="T13" s="5" t="inlineStr">
        <is>
          <t>SOURCE-007; SOURCE-015; SOURCE-032; SOURCE-040; SOURCE-051; SOURCE-090; SOURCE-167</t>
        </is>
      </c>
      <c r="U13" s="5" t="inlineStr">
        <is>
          <t>Medium</t>
        </is>
      </c>
    </row>
    <row r="14" ht="154" customHeight="1">
      <c r="A14" s="15" t="inlineStr">
        <is>
          <t>PERSON-013</t>
        </is>
      </c>
      <c r="B14" s="5" t="inlineStr">
        <is>
          <t>Nadeem–Shravan</t>
        </is>
      </c>
      <c r="C14" s="5" t="inlineStr">
        <is>
          <t>Song composer (composing duo)</t>
        </is>
      </c>
      <c r="D14" s="18" t="n"/>
      <c r="E14" s="18" t="n"/>
      <c r="F14" s="5" t="inlineStr">
        <is>
          <t>1977–2005; 2009; 2016–present</t>
        </is>
      </c>
      <c r="G14" s="5" t="inlineStr">
        <is>
          <t>Hindi cinema</t>
        </is>
      </c>
      <c r="H14" s="5" t="inlineStr">
        <is>
          <t>An Indian composing duo of Nadeem Akhtar Saifi (born 6 August 1954) and Shravan Kumar Rathod (13 November 1954 – 22 April 2021). They were among the most successful Hindi film composers from the 1990s to the early 2000s, and their work draws heavily on Hindustani classical and semi-classical music.</t>
        </is>
      </c>
      <c r="I14" s="5" t="inlineStr">
        <is>
          <t>Active from 1977, with their breakthrough arriving in 1990–92; their article notes the disruption caused by the Gulshan Kumar murder case.</t>
        </is>
      </c>
      <c r="J14" s="5" t="inlineStr">
        <is>
          <t>With Kapoor: Deewana (1992), Shreemaan Aashique (1993), Damini (1993), Saajan Ka Ghar (1994), Saajan Ki Baahon Mein (1995). Elsewhere, Aashiqui, Sadak, Pardes and Raja Hindustani.</t>
        </is>
      </c>
      <c r="K14" s="19" t="inlineStr">
        <is>
          <t>Romantic melody with bansuri, sitar and shehnai; the ghazal-inflected love song; and the soundtrack as the primary commercial asset of a film.</t>
        </is>
      </c>
      <c r="L14" s="19" t="inlineStr">
        <is>
          <t>Melody-first composition using classical Indian instruments in a modern arrangement, written for album sales as much as for the screen.</t>
        </is>
      </c>
      <c r="M14" s="5" t="inlineStr">
        <is>
          <t>Their article records extensive accolades and exceptional soundtrack sales across the 1990s.</t>
        </is>
      </c>
      <c r="N14" s="19" t="n"/>
      <c r="O14" s="19" t="inlineStr">
        <is>
          <t>Six films, all between 1992 and 1995, and collectively the soundtrack of Kapoor's last phase as a leading man. Deewana (1992) is the pivot: a hit whose songs belonged to Kapoor's half of the film even as it launched Shah Rukh Khan, and the beginning of a run through Dhartiputra, Shreemaan Aashique, Damini, Saajan Ka Ghar and Saajan Ki Baahon Mein. Their article does not mention Kapoor.</t>
        </is>
      </c>
      <c r="P14" s="17" t="n">
        <v>6</v>
      </c>
      <c r="Q14" s="5" t="inlineStr">
        <is>
          <t>FILM-087; FILM-090; FILM-092; FILM-093; FILM-100; FILM-104</t>
        </is>
      </c>
      <c r="R14" s="5" t="inlineStr">
        <is>
          <t>Deewana (1992)</t>
        </is>
      </c>
      <c r="S14" s="5" t="inlineStr">
        <is>
          <t>Nadeem–Shravan wrote the music for the last stretch of Rishi Kapoor's leading-man career, six films compressed into four years. Nadeem Akhtar Saifi and Shravan Kumar Rathod had been working since 1977, but became the dominant composers of the 1990s with soundtracks built on bansuri, sitar and shehnai and sold as albums in their own right. For Kapoor the crucial film is Deewana (1992), a hit whose songs attach to his character rather than to the newcomer Shah Rukh Khan who shared the film with him, and which is routinely read as the handover between two generations of Hindi romantic hero. Damini followed in 1993, with Kapoor in a secondary role in a film remembered for Sunny Deol and Meenakshi Seshadri, and the remaining credits — Dhartiputra, Shreemaan Aashique, Saajan Ka Ghar, Saajan Ki Baahon Mein — are modest. Shravan Rathod died in April 2021, a year after Kapoor.</t>
        </is>
      </c>
      <c r="T14" s="5" t="inlineStr">
        <is>
          <t>SOURCE-164</t>
        </is>
      </c>
      <c r="U14" s="5" t="inlineStr">
        <is>
          <t>High</t>
        </is>
      </c>
    </row>
    <row r="15" ht="154" customHeight="1">
      <c r="A15" s="15" t="inlineStr">
        <is>
          <t>PERSON-014</t>
        </is>
      </c>
      <c r="B15" s="5" t="inlineStr">
        <is>
          <t>Prayag Raj</t>
        </is>
      </c>
      <c r="C15" s="5" t="inlineStr">
        <is>
          <t>Writer</t>
        </is>
      </c>
      <c r="D15" s="18" t="n"/>
      <c r="E15" s="18" t="n"/>
      <c r="F15" s="5" t="n"/>
      <c r="G15" s="5" t="inlineStr">
        <is>
          <t>Hindi cinema</t>
        </is>
      </c>
      <c r="H15" s="5" t="inlineStr">
        <is>
          <t>A Hindi-film screenwriter and dialogue writer who was a regular member of Manmohan Desai's writing unit from the mid-1970s and continued into the 1990s. He is credited both as Prayag Raj and, on Amar Akbar Anthony, as Prayag Raj Sharma. He has no Wikipedia article of his own, and the plain title 'Prayag Raj' resolves to the city of Prayagraj.</t>
        </is>
      </c>
      <c r="I15" s="5" t="n"/>
      <c r="J15" s="5" t="inlineStr">
        <is>
          <t>With Kapoor: Amar Akbar Anthony (1977), Naseeb (1981), Allah Rakha (1986), Ajooba (1991), Anmol (1993), Gurudev (1993).</t>
        </is>
      </c>
      <c r="K15" s="19" t="inlineStr">
        <is>
          <t>Masala construction: separated families, sworn revenge, disguise, and the fantasy-adventure plot of Ajooba.</t>
        </is>
      </c>
      <c r="L15" s="19" t="inlineStr">
        <is>
          <t>A collective-credit writer of the Desai school, working in teams with Kader Khan and K. K. Shukla.</t>
        </is>
      </c>
      <c r="M15" s="5" t="n"/>
      <c r="N15" s="19" t="inlineStr">
        <is>
          <t>Not independently documented; notable as a long-serving contributor to the most commercially successful Hindi films of the late 1970s and 1980s.</t>
        </is>
      </c>
      <c r="O15" s="19" t="inlineStr">
        <is>
          <t>Six films, three of them the Desai-style ensembles that gave Kapoor his largest hits (Amar Akbar Anthony, Naseeb, Allah Rakha), plus Shashi Kapoor's Indo-Soviet fantasy Ajooba, in which Rishi Kapoor was third-billed, and the 1993 films Anmol and Gurudev. His six credits make him, with Kader Khan, K. K. Shukla, Sachin Bhowmick, Jainendra Jain and Rahi Masoom Raza, one of the handful of writers at the centre of this filmography.</t>
        </is>
      </c>
      <c r="P15" s="17" t="n">
        <v>6</v>
      </c>
      <c r="Q15" s="5" t="inlineStr">
        <is>
          <t>FILM-014; FILM-032; FILM-053; FILM-080; FILM-096; FILM-097</t>
        </is>
      </c>
      <c r="R15" s="5" t="inlineStr">
        <is>
          <t>Amar Akbar Anthony (1977)</t>
        </is>
      </c>
      <c r="S15" s="5" t="inlineStr">
        <is>
          <t>Prayag Raj wrote six of Rishi Kapoor's films and is among the least documented of his major collaborators. He worked inside Manmohan Desai's writing unit, sharing credit with Kader Khan and K. K. Shukla on Amar Akbar Anthony, Naseeb and Allah Rakha — films whose plotting, with its separated brothers, coincidences and reunions, is the house style he helped maintain. He also wrote Ajooba, the Indo-Soviet fantasy Shashi Kapoor directed in 1991 with Amitabh Bachchan and a third-billed Rishi Kapoor, and the 1993 films Anmol and Gurudev. He has no Wikipedia article, and his bare name resolves to the city of Prayagraj, which is how an earlier pass of this research attached the wrong article to him; his credits also appear under the fuller form Prayag Raj Sharma, which this workbook consolidates. The row is therefore built from film credits alone.</t>
        </is>
      </c>
      <c r="T15" s="5" t="inlineStr">
        <is>
          <t>SOURCE-015; SOURCE-032; SOURCE-051; SOURCE-075; SOURCE-089; SOURCE-090</t>
        </is>
      </c>
      <c r="U15" s="5" t="inlineStr">
        <is>
          <t>Low</t>
        </is>
      </c>
    </row>
    <row r="16" ht="184" customHeight="1">
      <c r="A16" s="15" t="inlineStr">
        <is>
          <t>PERSON-015</t>
        </is>
      </c>
      <c r="B16" s="5" t="inlineStr">
        <is>
          <t>R. K. Films</t>
        </is>
      </c>
      <c r="C16" s="5" t="inlineStr">
        <is>
          <t>Production banner</t>
        </is>
      </c>
      <c r="D16" s="18" t="n"/>
      <c r="E16" s="18" t="n"/>
      <c r="F16" s="5" t="inlineStr">
        <is>
          <t>1948–2018</t>
        </is>
      </c>
      <c r="G16" s="5" t="inlineStr">
        <is>
          <t>Hindi cinema</t>
        </is>
      </c>
      <c r="H16" s="5" t="inlineStr">
        <is>
          <t>An Indian film production company founded in 1948 by Raj Kapoor and based at R. K. Studio in Chembur, Mumbai. Its first release, Aag (1948), failed commercially; most of its productions share a theme of criticising society and depicting love across social divides. The studio was sold after a fire, and the company wound down in the 2010s.</t>
        </is>
      </c>
      <c r="I16" s="5" t="inlineStr">
        <is>
          <t>Aag (1948), the company's first production.</t>
        </is>
      </c>
      <c r="J16" s="5" t="inlineStr">
        <is>
          <t>With Kapoor: Mera Naam Joker (1970), Bobby (1973), Biwi-O-Biwi (1981), Prem Rog (1982), Henna (1991), Prem Granth (1996). Elsewhere, Barsaat, Awaara, Shree 420, Jis Desh Men Ganga Behti Hai and Satyam Shivam Sundaram.</t>
        </is>
      </c>
      <c r="K16" s="19" t="inlineStr">
        <is>
          <t>Love across class and social prohibition, the tramp and the innocent, and spectacle built around music.</t>
        </is>
      </c>
      <c r="L16" s="19" t="inlineStr">
        <is>
          <t>A family studio in which direction, production and casting stayed within the Kapoor household, with a strong visual and musical signature.</t>
        </is>
      </c>
      <c r="M16" s="5" t="inlineStr">
        <is>
          <t>Its productions are among the most honoured in Hindi cinema; the company's own awards are recorded in its article.</t>
        </is>
      </c>
      <c r="N16" s="19" t="inlineStr">
        <is>
          <t>One of the defining studios of post-independence Hindi cinema and the institutional base of the Kapoor family.</t>
        </is>
      </c>
      <c r="O16" s="19" t="inlineStr">
        <is>
          <t>Six films, and the frame of the whole career. R. K. Films gave Kapoor his credited debut as the adolescent Raju in Mera Naam Joker (1970), for which he won a National Film Award, and his first leading role in Bobby (1973). It then produced Biwi-O-Biwi, Prem Rog, Henna — directed by his brother Randhir after Raj Kapoor's death — and Prem Granth, directed by his brother Rajiv. Every one of these is a family production, which makes the banner less a collaborator than the condition of his early career.</t>
        </is>
      </c>
      <c r="P16" s="17" t="n">
        <v>6</v>
      </c>
      <c r="Q16" s="5" t="inlineStr">
        <is>
          <t>FILM-002; FILM-003; FILM-033; FILM-037; FILM-081; FILM-107</t>
        </is>
      </c>
      <c r="R16" s="5" t="inlineStr">
        <is>
          <t>Bobby (1973)</t>
        </is>
      </c>
      <c r="S16" s="5" t="inlineStr">
        <is>
          <t>R. K. Films is the family studio that both launched Rishi Kapoor and set the terms of his romantic persona. Founded by his father Raj Kapoor in 1948 and based at R. K. Studio in Chembur, the company built its identity on love stories that cross class lines, from Awaara and Shree 420 to Bobby, and on music as a primary attraction. Kapoor's credited debut came in its Mera Naam Joker (1970), playing his father's character as a schoolboy and winning a National Film Award for it; three years later the same banner put him opposite Dimple Kapadia in Bobby and made him a star. Four more R. K. productions followed across twenty-three years — Biwi-O-Biwi, Prem Rog, Henna, which Randhir Kapoor completed after their father's death, and Prem Granth, directed by Rajiv Kapoor — so that the studio brackets his entire leading career. Its six credits are indistinguishable from his family history.</t>
        </is>
      </c>
      <c r="T16" s="5" t="inlineStr">
        <is>
          <t>SOURCE-165</t>
        </is>
      </c>
      <c r="U16" s="5" t="inlineStr">
        <is>
          <t>High</t>
        </is>
      </c>
    </row>
    <row r="17" ht="139" customHeight="1">
      <c r="A17" s="15" t="inlineStr">
        <is>
          <t>PERSON-016</t>
        </is>
      </c>
      <c r="B17" s="5" t="inlineStr">
        <is>
          <t>Rahi Masoom Raza</t>
        </is>
      </c>
      <c r="C17" s="5" t="inlineStr">
        <is>
          <t>Writer</t>
        </is>
      </c>
      <c r="D17" s="17" t="n">
        <v>1927</v>
      </c>
      <c r="E17" s="17" t="n">
        <v>1992</v>
      </c>
      <c r="F17" s="5" t="inlineStr">
        <is>
          <t>1945–1992</t>
        </is>
      </c>
      <c r="G17" s="5" t="inlineStr">
        <is>
          <t>Hindi cinema; Urdu and Hindi literature</t>
        </is>
      </c>
      <c r="H17" s="5" t="inlineStr">
        <is>
          <t>Rahi Masoom Raza (1 September 1927 – 15 March 1992) was an Indian Urdu and Hindi poet, novelist and film writer, born in Ganguali in the United Provinces and resident in Bombay. Besides his film dialogue he is best known for the screenplay and dialogue of the television series Mahabharat.</t>
        </is>
      </c>
      <c r="I17" s="5" t="inlineStr">
        <is>
          <t>Active as a writer from 1945; won his first Filmfare Award for Best Dialogue for Main Tulsi Tere Aangan Ki (1978).</t>
        </is>
      </c>
      <c r="J17" s="5" t="inlineStr">
        <is>
          <t>With Kapoor: Karz (1980), Deedar-E-Yaar (1982), Bade Dilwala (1983), Tawaif (1985), Dosti Dushmani (1986), Khazana (1987). Elsewhere, Main Tulsi Tere Aangan Ki, Lamhe, Gol Maal and the Mahabharat television scripts.</t>
        </is>
      </c>
      <c r="K17" s="19" t="inlineStr">
        <is>
          <t>The courtesan and the compromised woman, Urdu-inflected dialogue, and moral conflict within the family.</t>
        </is>
      </c>
      <c r="L17" s="19" t="inlineStr">
        <is>
          <t>A literary writer working in commercial cinema, valued chiefly for dialogue of a markedly higher register than the films around it.</t>
        </is>
      </c>
      <c r="M17" s="5" t="inlineStr">
        <is>
          <t>Three Filmfare Awards for Best Dialogue — Main Tulsi Tere Aangan Ki (1979), Tawaif (1985) and Lamhe (1991).</t>
        </is>
      </c>
      <c r="N17" s="19" t="inlineStr">
        <is>
          <t>A significant Urdu novelist and poet who became one of Hindi cinema's most respected dialogue writers, and the writer of its most-watched television adaptation.</t>
        </is>
      </c>
      <c r="O17" s="19" t="inlineStr">
        <is>
          <t>Six films in eight years, all in the 1980s, and the writer who gave Kapoor his most literate material of that decade. Raza wrote Karz, Subhash Ghai's reincarnation thriller and one of the defining Kapoor roles; B. R. Chopra's Tawaif, for which Raza won his second Filmfare dialogue award; and Deedar-E-Yaar, Bade Dilwala, Dosti Dushmani and Khazana. His article does not mention Kapoor.</t>
        </is>
      </c>
      <c r="P17" s="17" t="n">
        <v>6</v>
      </c>
      <c r="Q17" s="5" t="inlineStr">
        <is>
          <t>FILM-031; FILM-038; FILM-040; FILM-050; FILM-055; FILM-057</t>
        </is>
      </c>
      <c r="R17" s="5" t="inlineStr">
        <is>
          <t>Tawaif (1985)</t>
        </is>
      </c>
      <c r="S17" s="5" t="inlineStr">
        <is>
          <t>Rahi Masoom Raza wrote six Rishi Kapoor films in eight years, and they are among the few 1980s entries in this filmography with literary ambition. A Urdu poet and novelist born in 1927 who settled in Bombay, Raza won the Filmfare Award for Best Dialogue three times — for Main Tulsi Tere Aangan Ki, Tawaif and Lamhe — and wrote the screenplay of the television Mahabharat, the most widely watched Indian adaptation of the epic. For Kapoor he wrote Karz, whose reincarnation plot and Laxmikant–Pyarelal score produced one of the actor's most durable roles, and Tawaif, B. R. Chopra's film about a courtesan taken in by a man who grows to love her, the role in which Kapoor played most clearly against his lover-boy image. Deedar-E-Yaar, Bade Dilwala, Dosti Dushmani and Khazana complete the set. Raza died in Bombay in March 1992, the year his third dialogue award film, Lamhe, was still in circulation.</t>
        </is>
      </c>
      <c r="T17" s="5" t="inlineStr">
        <is>
          <t>SOURCE-166</t>
        </is>
      </c>
      <c r="U17" s="5" t="inlineStr">
        <is>
          <t>High</t>
        </is>
      </c>
    </row>
    <row r="18" ht="124" customHeight="1">
      <c r="A18" s="15" t="inlineStr">
        <is>
          <t>PERSON-017</t>
        </is>
      </c>
      <c r="B18" s="5" t="inlineStr">
        <is>
          <t>Anand–Milind</t>
        </is>
      </c>
      <c r="C18" s="5" t="inlineStr">
        <is>
          <t>Song composer (composing duo)</t>
        </is>
      </c>
      <c r="D18" s="18" t="n"/>
      <c r="E18" s="18" t="n"/>
      <c r="F18" s="5" t="inlineStr">
        <is>
          <t>1983–present</t>
        </is>
      </c>
      <c r="G18" s="5" t="inlineStr">
        <is>
          <t>Hindi cinema</t>
        </is>
      </c>
      <c r="H18" s="5" t="inlineStr">
        <is>
          <t>An Indian composing duo of the brothers Anand Srivastava and Milind Srivastava, sons of the composer Chitragupt. They have composed for over 200 Hindi films since the mid-1980s.</t>
        </is>
      </c>
      <c r="I18" s="5" t="inlineStr">
        <is>
          <t>Ab Ayega Mazaa (1984); their breakthrough was Qayamat Se Qayamat Tak (1988), for which they won the Filmfare Award for Best Music Director.</t>
        </is>
      </c>
      <c r="J18" s="5" t="inlineStr">
        <is>
          <t>With Kapoor: Honeymoon (1992), Bol Radha Bol (1992), Eena Meena Deeka (1994), Pehla Pehla Pyar (1994), Hum Dono (1995). Elsewhere, Qayamat Se Qayamat Tak and Dil.</t>
        </is>
      </c>
      <c r="K18" s="19" t="inlineStr">
        <is>
          <t>Youth romance and comedy soundtracks of the late 1980s and 1990s, built on melody rather than production.</t>
        </is>
      </c>
      <c r="L18" s="19" t="inlineStr">
        <is>
          <t>Tuneful, lightly orchestrated songs in the family tradition of their father Chitragupt, pitched at the teenage romance market their breakthrough film created.</t>
        </is>
      </c>
      <c r="M18" s="5" t="inlineStr">
        <is>
          <t>Filmfare Award for Best Music Director for Qayamat Se Qayamat Tak.</t>
        </is>
      </c>
      <c r="N18" s="19" t="inlineStr">
        <is>
          <t>The composers of the film that reset the Hindi romantic musical for a new generation in 1988, and among the most employed duos of the following decade.</t>
        </is>
      </c>
      <c r="O18" s="19" t="inlineStr">
        <is>
          <t>Five films between 1992 and 1995, concentrated in the comedies and family films of Kapoor's last years as a lead. Four of the five are David Dhawan or Dhawan-school comedies — Bol Radha Bol, Eena Meena Deeka — or modest romances such as Pehla Pehla Pyar and Hum Dono. Their article does not mention Kapoor.</t>
        </is>
      </c>
      <c r="P18" s="17" t="n">
        <v>5</v>
      </c>
      <c r="Q18" s="5" t="inlineStr">
        <is>
          <t>FILM-088; FILM-089; FILM-099; FILM-101; FILM-105</t>
        </is>
      </c>
      <c r="R18" s="5" t="inlineStr">
        <is>
          <t>Bol Radha Bol (1992)</t>
        </is>
      </c>
      <c r="S18" s="5" t="inlineStr">
        <is>
          <t>Anand–Milind scored five of Rishi Kapoor's films in the first half of the 1990s, when he was still a lead but working mostly in comedy. The Srivastava brothers, sons of the composer Chitragupt, had become major names with Qayamat Se Qayamat Tak in 1988, the romance that made a star of Aamir Khan and won them the Filmfare Award for Best Music Director, and they went on to compose for more than 200 films. Their work for Kapoor belongs to a different register: the brisk comic soundtracks of Bol Radha Bol and Eena Meena Deeka, both for David Dhawan, and the smaller romances Honeymoon, Pehla Pehla Pyar and Hum Dono. The pattern is instructive for this filmography, since the duo who defined the new teenage love story were writing for Kapoor only after his own romantic lead had passed to younger actors.</t>
        </is>
      </c>
      <c r="T18" s="5" t="inlineStr">
        <is>
          <t>SOURCE-171</t>
        </is>
      </c>
      <c r="U18" s="5" t="inlineStr">
        <is>
          <t>High</t>
        </is>
      </c>
    </row>
    <row r="19" ht="169" customHeight="1">
      <c r="A19" s="15" t="inlineStr">
        <is>
          <t>PERSON-018</t>
        </is>
      </c>
      <c r="B19" s="5" t="inlineStr">
        <is>
          <t>David Dhawan</t>
        </is>
      </c>
      <c r="C19" s="5" t="inlineStr">
        <is>
          <t>Director; Writer</t>
        </is>
      </c>
      <c r="D19" s="17" t="n">
        <v>1951</v>
      </c>
      <c r="E19" s="18" t="n"/>
      <c r="F19" s="5" t="inlineStr">
        <is>
          <t>1989–2026</t>
        </is>
      </c>
      <c r="G19" s="5" t="inlineStr">
        <is>
          <t>Hindi cinema</t>
        </is>
      </c>
      <c r="H19" s="5" t="inlineStr">
        <is>
          <t>David Dhawan, born Rajinder Dhawan on 16 August 1951 in Agartala, is an Indian film director who has directed 46 Hindi films, almost all of them comedies. He is the head of the Dhawan film family; his sons are the director Rohit Dhawan and the actor Varun Dhawan.</t>
        </is>
      </c>
      <c r="I19" s="5" t="inlineStr">
        <is>
          <t>Directing from 1989; his breakthrough was Aankhen (1993), which earned his first Filmfare nomination for Best Director.</t>
        </is>
      </c>
      <c r="J19" s="5" t="inlineStr">
        <is>
          <t>With Kapoor: Bol Radha Bol (1992), Eena Meena Deeka (1994), Yaraana (1995), Yeh Hai Jalwa (2002), Chashme Buddoor (2013). Elsewhere, Swarg, Raja Babu, Coolie No. 1, Judwaa, Biwi No.1 and Partner.</t>
        </is>
      </c>
      <c r="K19" s="19" t="inlineStr">
        <is>
          <t>Farce built on disguise, mistaken identity and double roles; the star comedy vehicle, above all with Govinda and later Salman Khan.</t>
        </is>
      </c>
      <c r="L19" s="19" t="inlineStr">
        <is>
          <t>High-tempo mainstream comedy, loosely plotted and performance-driven, with songs used as interruption rather than narrative.</t>
        </is>
      </c>
      <c r="M19" s="5" t="inlineStr">
        <is>
          <t>Two Filmfare nominations for Best Director, for Aankhen (1993) and Biwi No.1 (1999).</t>
        </is>
      </c>
      <c r="N19" s="19" t="inlineStr">
        <is>
          <t>The most commercially consistent director of Hindi screen comedy from the early 1990s to the 2010s, and the figure who built Govinda's and later Varun Dhawan's star comedy.</t>
        </is>
      </c>
      <c r="O19" s="19" t="inlineStr">
        <is>
          <t>Kapoor's most frequent director at five films, and the director who carried him across the transition out of lead roles. Bol Radha Bol (1992) is a hit double-role comedy with Kapoor at its centre; Eena Meena Deeka and Yaraana follow with him still top-billed; Yeh Hai Jalwa (2002) and Chashme Buddoor (2013) use him in supporting and elder parts. Dhawan's article does not mention Kapoor, but no other director worked with him as often.</t>
        </is>
      </c>
      <c r="P19" s="17" t="n">
        <v>5</v>
      </c>
      <c r="Q19" s="5" t="inlineStr">
        <is>
          <t>FILM-089; FILM-099; FILM-106; FILM-114; FILM-141</t>
        </is>
      </c>
      <c r="R19" s="5" t="inlineStr">
        <is>
          <t>Bol Radha Bol (1992)</t>
        </is>
      </c>
      <c r="S19" s="5" t="inlineStr">
        <is>
          <t>David Dhawan directed Rishi Kapoor five times, more than any other director in this filmography, and the span of those films tracks Kapoor's decline as a lead with unusual clarity. Born Rajinder Dhawan in 1951, Dhawan became the most reliable comedy director in Hindi cinema, making 46 films and earning Filmfare nominations for Aankhen and Biwi No.1 while building Govinda into a comic star. His first film with Kapoor, Bol Radha Bol (1992), is also the best: a double-role farce released months after Deewana, in which Kapoor plays both a businessman and his lookalike opposite Juhi Chawla. Eena Meena Deeka and Yaraana kept him in the lead; by Yeh Hai Jalwa he was playing a father, and in Chashme Buddoor, twenty-one years after their first film, a supporting elder. Dhawan announced his retirement from directing in the 2020s.</t>
        </is>
      </c>
      <c r="T19" s="5" t="inlineStr">
        <is>
          <t>SOURCE-172</t>
        </is>
      </c>
      <c r="U19" s="5" t="inlineStr">
        <is>
          <t>High</t>
        </is>
      </c>
    </row>
    <row r="20" ht="154" customHeight="1">
      <c r="A20" s="15" t="inlineStr">
        <is>
          <t>PERSON-019</t>
        </is>
      </c>
      <c r="B20" s="5" t="inlineStr">
        <is>
          <t>Harmesh Malhotra</t>
        </is>
      </c>
      <c r="C20" s="5" t="inlineStr">
        <is>
          <t>Director; Producer; Writer</t>
        </is>
      </c>
      <c r="D20" s="17" t="n">
        <v>1936</v>
      </c>
      <c r="E20" s="17" t="n">
        <v>2005</v>
      </c>
      <c r="F20" s="5" t="inlineStr">
        <is>
          <t>1969–2005</t>
        </is>
      </c>
      <c r="G20" s="5" t="inlineStr">
        <is>
          <t>Hindi cinema</t>
        </is>
      </c>
      <c r="H20" s="5" t="inlineStr">
        <is>
          <t>Harmesh Malhotra (14 June 1936 – 22 November 2005) was an Indian film director, producer and screenplay writer who worked in Hindi cinema from 1969 until shortly before his death.</t>
        </is>
      </c>
      <c r="I20" s="5" t="inlineStr">
        <is>
          <t>Directing from 1969; his best-known film is Nagina (1986).</t>
        </is>
      </c>
      <c r="J20" s="5" t="inlineStr">
        <is>
          <t>With Kapoor: Nagina (1986), Khazana (1987), Nigahen (1989), Amiri Garibi (1990), Banjaran (1991). His article names Nagina, starring Rishi Kapoor, Sridevi and Amrish Puri, as his best-known work, and Nigahen as its sequel.</t>
        </is>
      </c>
      <c r="K20" s="19" t="inlineStr">
        <is>
          <t>The snake-woman fantasy and its sequels, folk-mythological melodrama, and the mid-budget family film.</t>
        </is>
      </c>
      <c r="L20" s="19" t="inlineStr">
        <is>
          <t>Fantasy melodrama played straight, with song and spectacle doing the work of effects, aimed at the single-screen audience of the 1980s.</t>
        </is>
      </c>
      <c r="M20" s="5" t="n"/>
      <c r="N20" s="19" t="inlineStr">
        <is>
          <t>Director of Nagina, one of the biggest hits of 1986 and the film that made the ichchhadhari nagin a durable commercial formula.</t>
        </is>
      </c>
      <c r="O20" s="19" t="inlineStr">
        <is>
          <t>Five films in six years, 1986–1991, and the most important director of Kapoor's middle period. Nagina was a major hit that paired him with Sridevi and briefly revived his commercial standing; Nigahen was its sequel; Khazana, Amiri Garibi and Banjaran are modest melodramas from the same years. His article names Kapoor directly as Nagina's star, one of the few collaborator articles in this filmography that does.</t>
        </is>
      </c>
      <c r="P20" s="17" t="n">
        <v>5</v>
      </c>
      <c r="Q20" s="5" t="inlineStr">
        <is>
          <t>FILM-056; FILM-057; FILM-073; FILM-075; FILM-083</t>
        </is>
      </c>
      <c r="R20" s="5" t="inlineStr">
        <is>
          <t>Nagina (1986)</t>
        </is>
      </c>
      <c r="S20" s="5" t="inlineStr">
        <is>
          <t>Harmesh Malhotra directed five Rishi Kapoor films between 1986 and 1991, more than anyone except David Dhawan, and one of them matters out of proportion to the rest. Nagina (1986) cast Kapoor opposite Sridevi as the man who marries a shape-shifting serpent woman, and became one of the year's biggest successes; Malhotra's own article names it as his best-known film and lists Kapoor first among its stars. He followed it with the sequel Nigahen in 1989, again with Kapoor, and surrounded both with Khazana, Amiri Garibi and Banjaran — small, song-heavy melodramas typical of the films Kapoor was taking as his vehicles shrank. Malhotra worked from 1969 to 2005 and died in November 2005. His partnership with Kapoor is the clearest case in this filmography of a star's fortunes being temporarily restored by a genre film rather than a romance.</t>
        </is>
      </c>
      <c r="T20" s="5" t="inlineStr">
        <is>
          <t>SOURCE-173</t>
        </is>
      </c>
      <c r="U20" s="5" t="inlineStr">
        <is>
          <t>High</t>
        </is>
      </c>
    </row>
    <row r="21" ht="154" customHeight="1">
      <c r="A21" s="15" t="inlineStr">
        <is>
          <t>PERSON-020</t>
        </is>
      </c>
      <c r="B21" s="5" t="inlineStr">
        <is>
          <t>Kalpataru</t>
        </is>
      </c>
      <c r="C21" s="5" t="inlineStr">
        <is>
          <t>Director; Writer</t>
        </is>
      </c>
      <c r="D21" s="18" t="n"/>
      <c r="E21" s="18" t="n"/>
      <c r="F21" s="5" t="n"/>
      <c r="G21" s="5" t="inlineStr">
        <is>
          <t>Hindi cinema</t>
        </is>
      </c>
      <c r="H21" s="5" t="inlineStr">
        <is>
          <t>A Hindi-film director and writer active in the late 1980s and early 1990s, specialising in family melodrama. He has no Wikipedia article of his own, and the bare name resolves to the mythological wish-granting tree; his credits also appear under the spelling Kalptaru, which this workbook consolidates.</t>
        </is>
      </c>
      <c r="I21" s="5" t="n"/>
      <c r="J21" s="5" t="inlineStr">
        <is>
          <t>With Kapoor: Ghar Ghar Ki Kahani (1988), Bade Ghar Ki Beti (1989), Paraya Ghar (1989), Rishta To Ho Aisa (1992), Ghar Ki Izzat (1994).</t>
        </is>
      </c>
      <c r="K21" s="19" t="inlineStr">
        <is>
          <t>The joint-family melodrama of duty, dowry and domestic cruelty — four of his five Kapoor titles are literally named for the household.</t>
        </is>
      </c>
      <c r="L21" s="19" t="inlineStr">
        <is>
          <t>Dialogue-led domestic melodrama written for a single-screen audience, usually with Kader Khan on the script.</t>
        </is>
      </c>
      <c r="M21" s="5" t="n"/>
      <c r="N21" s="19" t="inlineStr">
        <is>
          <t>Not independently documented; notable here as the most frequent director of Kapoor's late-1980s family films.</t>
        </is>
      </c>
      <c r="O21" s="19" t="inlineStr">
        <is>
          <t>Five films, equal with David Dhawan and Harmesh Malhotra as the most by any director, yet with the least record attached to them. All five are domestic melodramas made between 1988 and 1994, four of them written with Kader Khan, in which Kapoor plays dutiful sons, husbands and brothers rather than lovers. The group is a good index of what his lead career had become by then: steady employment in films nobody wrote about.</t>
        </is>
      </c>
      <c r="P21" s="17" t="n">
        <v>5</v>
      </c>
      <c r="Q21" s="5" t="inlineStr">
        <is>
          <t>FILM-064; FILM-070; FILM-071; FILM-086; FILM-103</t>
        </is>
      </c>
      <c r="R21" s="5" t="inlineStr">
        <is>
          <t>Ghar Ghar Ki Kahani (1988)</t>
        </is>
      </c>
      <c r="S21" s="5" t="inlineStr">
        <is>
          <t>Kalpataru directed five Rishi Kapoor films and is the least documented of his frequent collaborators. He has no Wikipedia article; his name, which he used without a surname, resolves on Wikipedia to the mythological tree Kalpavriksha, and his credits in these films appear variously as Kalpataru and Kalptaru. What survives is a run of family melodramas made between 1988 and 1994 — Ghar Ghar Ki Kahani, Bade Ghar Ki Beti, Paraya Ghar, Rishta To Ho Aisa and Ghar Ki Izzat — four of them written with Kader Khan, several remade from Telugu originals, and all built on household duty rather than romance. Kapoor is the dutiful son or husband in each. That a director with five credits in a 160-film career should leave no biographical trace says something about the tier of production Kapoor was working in at the end of his leading-man years.</t>
        </is>
      </c>
      <c r="T21" s="5" t="inlineStr">
        <is>
          <t>SOURCE-061; SOURCE-064; SOURCE-065; SOURCE-084; SOURCE-096</t>
        </is>
      </c>
      <c r="U21" s="5" t="inlineStr">
        <is>
          <t>Low</t>
        </is>
      </c>
    </row>
    <row r="22" ht="139" customHeight="1">
      <c r="A22" s="15" t="inlineStr">
        <is>
          <t>PERSON-021</t>
        </is>
      </c>
      <c r="B22" s="5" t="inlineStr">
        <is>
          <t>Kalyanji–Anandji</t>
        </is>
      </c>
      <c r="C22" s="5" t="inlineStr">
        <is>
          <t>Song composer (composing duo)</t>
        </is>
      </c>
      <c r="D22" s="18" t="n"/>
      <c r="E22" s="18" t="n"/>
      <c r="F22" s="5" t="inlineStr">
        <is>
          <t>1954–1994</t>
        </is>
      </c>
      <c r="G22" s="5" t="inlineStr">
        <is>
          <t>Hindi cinema</t>
        </is>
      </c>
      <c r="H22" s="5" t="inlineStr">
        <is>
          <t>An Indian composing duo of the brothers Kalyanji Virji Shah (30 June 1928 – 24 August 2000) and Anandji Virji Shah (born 2 March 1933). Across more than forty years they composed for about 250 films.</t>
        </is>
      </c>
      <c r="I22" s="5" t="inlineStr">
        <is>
          <t>Working from 1954; their peak came in the 1970s.</t>
        </is>
      </c>
      <c r="J22" s="5" t="inlineStr">
        <is>
          <t>With Kapoor: Rafoo Chakkar (1975), Rangila Ratan (1976), Anjane Mein (1978), Katilon Ke Kaatil (1981), Ghar Parivar (1991). Elsewhere, Saraswatichandra, Kora Kagaz, Don and Qurbani.</t>
        </is>
      </c>
      <c r="K22" s="19" t="inlineStr">
        <is>
          <t>Urban thriller and masala scores alongside devotional and classical-leaning melody; the title song as a film's main asset.</t>
        </is>
      </c>
      <c r="L22" s="19" t="inlineStr">
        <is>
          <t>Melodic composition with an ear for the hook, equally at home in the qawwali, the cabaret and the ghazal, and closely associated with Kishore Kumar's 1970s hits.</t>
        </is>
      </c>
      <c r="M22" s="5" t="inlineStr">
        <is>
          <t>National Film Award for Best Music Direction for Saraswatichandra; their only Filmfare Award for Best Music Director was for Kora Kagaz, with a further nomination for Qurbani, whose soundtrack was the sixth best-selling Hindi album of the 1980s.</t>
        </is>
      </c>
      <c r="N22" s="19" t="inlineStr">
        <is>
          <t>One of the two or three defining composing teams of 1970s Hindi cinema, and the sound of its crime and action films.</t>
        </is>
      </c>
      <c r="O22" s="19" t="inlineStr">
        <is>
          <t>Five films spread thinly across sixteen years, beginning with the comedy Rafoo Chakkar (1975) and ending with Ghar Parivar (1991). Unlike Laxmikant–Pyarelal or R. D. Burman they never became a regular part of a Kapoor vehicle, and their credits here are mostly on ensemble or genre films rather than romances. Their article does not mention Kapoor.</t>
        </is>
      </c>
      <c r="P22" s="17" t="n">
        <v>5</v>
      </c>
      <c r="Q22" s="5" t="inlineStr">
        <is>
          <t>FILM-007; FILM-011; FILM-019; FILM-034; FILM-079</t>
        </is>
      </c>
      <c r="R22" s="5" t="inlineStr">
        <is>
          <t>Rafoo Chakkar (1975)</t>
        </is>
      </c>
      <c r="S22" s="5" t="inlineStr">
        <is>
          <t>Kalyanji–Anandji scored five Rishi Kapoor films without ever becoming central to his work. The Shah brothers composed for some 250 films over four decades, won a National Film Award for Saraswatichandra and a Filmfare Award for Kora Kagaz, and gave the 1970s crime film much of its sound, from Don to Qurbani, whose album was among the decade's best sellers. Their Kapoor credits are scattered and generically mixed: the cross-dressing comedy Rafoo Chakkar in 1975, Rangila Ratan and Anjane Mein in the late 1970s, the action film Katilon Ke Kaatil in 1981 and the family drama Ghar Parivar a decade later. The absence of a sustained partnership is itself informative — the composers most associated with Amitabh Bachchan's angry-young-man cycle had comparatively little to write for a star whose register was courtship.</t>
        </is>
      </c>
      <c r="T22" s="5" t="inlineStr">
        <is>
          <t>SOURCE-174</t>
        </is>
      </c>
      <c r="U22" s="5" t="inlineStr">
        <is>
          <t>High</t>
        </is>
      </c>
    </row>
    <row r="23" ht="214" customHeight="1">
      <c r="A23" s="15" t="inlineStr">
        <is>
          <t>PERSON-022</t>
        </is>
      </c>
      <c r="B23" s="5" t="inlineStr">
        <is>
          <t>Raj Kapoor</t>
        </is>
      </c>
      <c r="C23" s="5" t="inlineStr">
        <is>
          <t>Director; Producer</t>
        </is>
      </c>
      <c r="D23" s="17" t="n">
        <v>1924</v>
      </c>
      <c r="E23" s="17" t="n">
        <v>1988</v>
      </c>
      <c r="F23" s="5" t="inlineStr">
        <is>
          <t>1935–1988</t>
        </is>
      </c>
      <c r="G23" s="5" t="inlineStr">
        <is>
          <t>Hindi cinema</t>
        </is>
      </c>
      <c r="H23" s="5" t="inlineStr">
        <is>
          <t>Ranbir Raj Kapoor (14 December 1924 – 2 June 1988), born in Peshawar as the eldest son of Prithviraj Kapoor, was an Indian actor and filmmaker regarded as one of the most influential figures in Indian cinema, known as the Greatest Showman of Indian cinema. He founded R. K. Films in 1948 and was Rishi Kapoor's father.</t>
        </is>
      </c>
      <c r="I23" s="5" t="inlineStr">
        <is>
          <t>On screen from 1935; as a filmmaker from Aag (1948).</t>
        </is>
      </c>
      <c r="J23" s="5" t="inlineStr">
        <is>
          <t>With Kapoor: Shree 420 (1955), Mera Naam Joker (1970), Bobby (1973), Biwi-O-Biwi (1981), Prem Rog (1982). Elsewhere, Awaara, Shree 420, Jis Desh Men Ganga Behti Hai and Satyam Shivam Sundaram.</t>
        </is>
      </c>
      <c r="K23" s="19" t="inlineStr">
        <is>
          <t>The tramp hero drawn from Chaplin, love across class, the innocent in the city, and spectacle organised around music.</t>
        </is>
      </c>
      <c r="L23" s="19" t="inlineStr">
        <is>
          <t>Showmanship joined to social melodrama: large-scale song sequences, sentimental populism and a willingness to court controversy over sexuality in his later films.</t>
        </is>
      </c>
      <c r="M23" s="5" t="inlineStr">
        <is>
          <t>Three National Film Awards and eleven Filmfare Awards; the Padma Bhushan in 1971.</t>
        </is>
      </c>
      <c r="N23" s="19" t="inlineStr">
        <is>
          <t>One of the defining filmmakers of post-independence Indian cinema, and the founder of the studio and the family tradition his son inherited.</t>
        </is>
      </c>
      <c r="O23" s="19" t="inlineStr">
        <is>
          <t>His father, and the single most consequential figure in the career. He cast Rishi Kapoor as a small child in Shree 420 (1955), then as the adolescent version of his own character in Mera Naam Joker (1970), which won his son a National Film Award, and then directed him as the lead in Bobby (1973) at twenty-one. Prem Rog (1982) gave him his most serious role of that decade, and Biwi-O-Biwi was an R. K. production. Five of these films are father-and-son collaborations in the most literal sense, and three of them are the three most important films in this filmography.</t>
        </is>
      </c>
      <c r="P23" s="17" t="n">
        <v>5</v>
      </c>
      <c r="Q23" s="5" t="inlineStr">
        <is>
          <t>FILM-001; FILM-002; FILM-003; FILM-033; FILM-037</t>
        </is>
      </c>
      <c r="R23" s="5" t="inlineStr">
        <is>
          <t>Bobby (1973)</t>
        </is>
      </c>
      <c r="S23" s="5" t="inlineStr">
        <is>
          <t>Raj Kapoor created Rishi Kapoor's career twice over: once by casting him, and once by defining the kind of romance he would spend thirty years playing. The eldest son of Prithviraj Kapoor and the founder of R. K. Films, he was the most celebrated showman of post-independence Hindi cinema, winner of three National Film Awards and eleven Filmfare Awards and a Padma Bhushan in 1971, whose tramp persona in Awaara and Shree 420 fused Chaplin with social melodrama. His son appeared as a toddler in Shree 420, played him as a schoolboy in Mera Naam Joker — a performance that won a National Film Award — and was then handed Bobby, the teenage romance built to recover the studio's finances, which made him a star. Prem Rog followed in 1982. The father's preoccupation with love across a social prohibition became the son's recurring situation, long after he stopped working for R. K. Films.</t>
        </is>
      </c>
      <c r="T23" s="5" t="inlineStr">
        <is>
          <t>SOURCE-175</t>
        </is>
      </c>
      <c r="U23" s="5" t="inlineStr">
        <is>
          <t>High</t>
        </is>
      </c>
    </row>
    <row r="24" ht="154" customHeight="1">
      <c r="A24" s="15" t="inlineStr">
        <is>
          <t>PERSON-023</t>
        </is>
      </c>
      <c r="B24" s="5" t="inlineStr">
        <is>
          <t>Ranbir Pushp</t>
        </is>
      </c>
      <c r="C24" s="5" t="inlineStr">
        <is>
          <t>Writer</t>
        </is>
      </c>
      <c r="D24" s="18" t="n"/>
      <c r="E24" s="18" t="n"/>
      <c r="F24" s="5" t="n"/>
      <c r="G24" s="5" t="inlineStr">
        <is>
          <t>Hindi cinema</t>
        </is>
      </c>
      <c r="H24" s="5" t="inlineStr">
        <is>
          <t>An Indian screenwriter and novelist from Patiala who has worked on more than fifty feature films and six television serials, and who later directed the Punjabi-language football film Yaarana.</t>
        </is>
      </c>
      <c r="I24" s="5" t="inlineStr">
        <is>
          <t>Writing from the 1980s; his widest recognition came with Agni Sakshi (1996), which received seven Filmfare nominations and a National Film Award.</t>
        </is>
      </c>
      <c r="J24" s="5" t="inlineStr">
        <is>
          <t>With Kapoor: Hawalaat (1987), Deewana (1992), Honeymoon (1992), Izzat Ki Roti (1993), Kaun Sachcha Kaun Jhootha (1997). Elsewhere, Jaan, Hameshaa and Agni Sakshi.</t>
        </is>
      </c>
      <c r="K24" s="19" t="inlineStr">
        <is>
          <t>Melodrama of obsession and family honour; the thriller-inflected romance of the 1990s.</t>
        </is>
      </c>
      <c r="L24" s="19" t="inlineStr">
        <is>
          <t>Commercial screenwriting with a strong situation at its centre, written for star casts across more than fifty films.</t>
        </is>
      </c>
      <c r="M24" s="5" t="inlineStr">
        <is>
          <t>Nominated for the Filmfare Awards for Best Screenplay and Best Story for Agni Sakshi.</t>
        </is>
      </c>
      <c r="N24" s="19" t="inlineStr">
        <is>
          <t>A prolific commercial writer of the 1990s, chiefly remembered for Agni Sakshi.</t>
        </is>
      </c>
      <c r="O24" s="19" t="inlineStr">
        <is>
          <t>Five films, and one of them is pivotal: Deewana (1992), the hit in which Kapoor plays the first husband presumed dead and Shah Rukh Khan the second, the film usually read as the handover between two generations of romantic hero. Pushp's other credits with Kapoor — Hawalaat, Honeymoon, Izzat Ki Roti, Kaun Sachcha Kaun Jhootha — are modest films of the same years. His article names Hawalaat and Kapoor among his credits.</t>
        </is>
      </c>
      <c r="P24" s="17" t="n">
        <v>5</v>
      </c>
      <c r="Q24" s="5" t="inlineStr">
        <is>
          <t>FILM-059; FILM-087; FILM-088; FILM-095; FILM-109</t>
        </is>
      </c>
      <c r="R24" s="5" t="inlineStr">
        <is>
          <t>Deewana (1992)</t>
        </is>
      </c>
      <c r="S24" s="5" t="inlineStr">
        <is>
          <t>Ranbir Pushp wrote five Rishi Kapoor films, including the most consequential film of Kapoor's later career. A writer and novelist from Patiala with more than fifty films to his name, Pushp is best known for Agni Sakshi (1996), which drew seven Filmfare nominations and a National Film Award and brought him nominations for story and screenplay. For Kapoor he wrote the multi-star Hawalaat in 1987 and then Deewana in 1992 — the film in which Kapoor's character marries, is believed dead, and returns to find his widow remarried to a younger man played by the debuting Shah Rukh Khan. The structure gave Kapoor a dignified exit from romantic leads and is the single clearest marker of generational change in this filmography. Honeymoon, Izzat Ki Roti and Kaun Sachcha Kaun Jhootha followed in the same stretch, none of them memorable.</t>
        </is>
      </c>
      <c r="T24" s="5" t="inlineStr">
        <is>
          <t>SOURCE-176</t>
        </is>
      </c>
      <c r="U24" s="5" t="inlineStr">
        <is>
          <t>Medium</t>
        </is>
      </c>
    </row>
    <row r="25" ht="154" customHeight="1">
      <c r="A25" s="15" t="inlineStr">
        <is>
          <t>PERSON-024</t>
        </is>
      </c>
      <c r="B25" s="5" t="inlineStr">
        <is>
          <t>Ravi Kapoor</t>
        </is>
      </c>
      <c r="C25" s="5" t="inlineStr">
        <is>
          <t>Writer</t>
        </is>
      </c>
      <c r="D25" s="18" t="n"/>
      <c r="E25" s="18" t="n"/>
      <c r="F25" s="5" t="n"/>
      <c r="G25" s="5" t="inlineStr">
        <is>
          <t>Hindi cinema</t>
        </is>
      </c>
      <c r="H25" s="5" t="inlineStr">
        <is>
          <t>A Hindi-film screenwriter active from the mid-1980s to about 2000, with no Wikipedia article of his own; the bare name resolves to an unrelated British actor. Three of his five Kapoor credits are Rakesh Roshan productions, and the Wikipedia article on Honey Irani records a screenwriter named Ravi Kapoor sharing the Filmfare Award for Best Screenplay with her for Rakesh Roshan's Kaho Naa... Pyaar Hai (2000), which is very probably the same writer.</t>
        </is>
      </c>
      <c r="I25" s="5" t="n"/>
      <c r="J25" s="5" t="inlineStr">
        <is>
          <t>With Kapoor: Nagina (1986), Khazana (1987), Khudgarz (1987), Sheshnaag (1990), Karobaar (2000).</t>
        </is>
      </c>
      <c r="K25" s="19" t="inlineStr">
        <is>
          <t>Fantasy melodrama and revenge drama, written to a commercial template.</t>
        </is>
      </c>
      <c r="L25" s="19" t="inlineStr">
        <is>
          <t>A screenwriter of the Roshan and Harmesh Malhotra houses, usually sharing credit.</t>
        </is>
      </c>
      <c r="M25" s="5" t="n"/>
      <c r="N25" s="19" t="inlineStr">
        <is>
          <t>Not independently documented.</t>
        </is>
      </c>
      <c r="O25" s="19" t="inlineStr">
        <is>
          <t>Five films, straddling two of Kapoor's most reliable mid-career associations: Harmesh Malhotra's fantasy melodramas Nagina and Khazana, and Rakesh Roshan's Khudgarz and Karobaar, with Sheshnaag between them. He is one of six writers with five or more credits in this filmography and, like K. K. Shukla and Prayag Raj, almost undocumented.</t>
        </is>
      </c>
      <c r="P25" s="17" t="n">
        <v>5</v>
      </c>
      <c r="Q25" s="5" t="inlineStr">
        <is>
          <t>FILM-056; FILM-057; FILM-060; FILM-077; FILM-111</t>
        </is>
      </c>
      <c r="R25" s="5" t="inlineStr">
        <is>
          <t>Nagina (1986)</t>
        </is>
      </c>
      <c r="S25" s="5" t="inlineStr">
        <is>
          <t>Ravi Kapoor wrote five Rishi Kapoor films between 1986 and 2000 and has left almost no record outside their credits. He has no Wikipedia article, and his name collides with that of a British actor, which is how an earlier pass of this research attached the wrong article to him. What can be established from the credits is a clear pattern: he wrote for Harmesh Malhotra on Nagina and Khazana, the fantasy melodramas that briefly restored Kapoor's commercial standing, and for Rakesh Roshan on Khudgarz and Karobaar. The Wikipedia article on Honey Irani names a screenwriter called Ravi Kapoor who shared the Filmfare Award for Best Screenplay with her for Rakesh Roshan's Kaho Naa... Pyaar Hai, and the overlap of banner and period makes it very likely the same man, though this workbook does not treat the identification as settled.</t>
        </is>
      </c>
      <c r="T25" s="5" t="inlineStr">
        <is>
          <t>SOURCE-054; SOURCE-059; SOURCE-058; SOURCE-074; SOURCE-103</t>
        </is>
      </c>
      <c r="U25" s="5" t="inlineStr">
        <is>
          <t>Low</t>
        </is>
      </c>
    </row>
    <row r="26" ht="139" customHeight="1">
      <c r="A26" s="15" t="inlineStr">
        <is>
          <t>PERSON-025</t>
        </is>
      </c>
      <c r="B26" s="5" t="inlineStr">
        <is>
          <t>Rumi Jaffery</t>
        </is>
      </c>
      <c r="C26" s="5" t="inlineStr">
        <is>
          <t>Writer</t>
        </is>
      </c>
      <c r="D26" s="18" t="n"/>
      <c r="E26" s="18" t="n"/>
      <c r="F26" s="5" t="inlineStr">
        <is>
          <t>1986–present</t>
        </is>
      </c>
      <c r="G26" s="5" t="inlineStr">
        <is>
          <t>Hindi cinema</t>
        </is>
      </c>
      <c r="H26" s="5" t="inlineStr">
        <is>
          <t>Rumi Jaffery is an Indian screenwriter and director from Bhopal who wrote some fifty films, many of them with David Dhawan, before turning to direction with God Tussi Great Ho (2008).</t>
        </is>
      </c>
      <c r="I26" s="5" t="inlineStr">
        <is>
          <t>Writing from 1986; directorial debut God Tussi Great Ho (2008).</t>
        </is>
      </c>
      <c r="J26" s="5" t="inlineStr">
        <is>
          <t>With Kapoor: Shreemaan Aashique (1993), Pehla Pehla Pyar (1994), Prem Yog (1994), Saajan Ki Baahon Mein (1995), Yeh Hai Jalwa (2002). Elsewhere, Coolie No. 1, Hero No. 1, Biwi No.1 and, as director, Chehre (2021).</t>
        </is>
      </c>
      <c r="K26" s="19" t="inlineStr">
        <is>
          <t>Comedy of errors and romantic farce; the star comedy built around a single misunderstanding.</t>
        </is>
      </c>
      <c r="L26" s="19" t="inlineStr">
        <is>
          <t>A writer of commercial comedy in the Dhawan idiom, dialogue-forward and plotted around disguise and coincidence.</t>
        </is>
      </c>
      <c r="M26" s="5" t="n"/>
      <c r="N26" s="19" t="inlineStr">
        <is>
          <t>One of the principal writers of the 1990s Hindi comedy cycle.</t>
        </is>
      </c>
      <c r="O26" s="19" t="inlineStr">
        <is>
          <t>Five films in nine years, all in Kapoor's last stretch as a lead. Shreemaan Aashique (1993) is the clearest example — a romantic comedy written to Kapoor's established persona at a point when it was no longer commercially current — and Pehla Pehla Pyar, Prem Yog and Saajan Ki Baahon Mein continue it, before Yeh Hai Jalwa casts him as the elder. His article does not mention Kapoor.</t>
        </is>
      </c>
      <c r="P26" s="17" t="n">
        <v>5</v>
      </c>
      <c r="Q26" s="5" t="inlineStr">
        <is>
          <t>FILM-092; FILM-101; FILM-102; FILM-104; FILM-114</t>
        </is>
      </c>
      <c r="R26" s="5" t="inlineStr">
        <is>
          <t>Shreemaan Aashique (1993)</t>
        </is>
      </c>
      <c r="S26" s="5" t="inlineStr">
        <is>
          <t>Rumi Jaffery wrote five of Rishi Kapoor's films in the 1990s and early 2000s, all of them comedies or light romances. A writer from Bhopal who scripted some fifty films, Jaffery was one of the principal authors of the David Dhawan comedy cycle — Coolie No. 1, Hero No. 1, Biwi No.1 — and later became a director himself, making God Tussi Great Ho and, in 2021, Chehre. His films with Kapoor sit at the end of the actor's romantic career: Shreemaan Aashique, Pehla Pehla Pyar, Prem Yog and Saajan Ki Baahon Mein all cast him as a lover in the familiar mould between 1993 and 1995, by which time the mould itself had stopped selling; Yeh Hai Jalwa in 2002 moved him to the older generation. Jaffery is thus one of the writers who kept the lover-boy formula running longest, and whose credits show most plainly when it stopped working.</t>
        </is>
      </c>
      <c r="T26" s="5" t="inlineStr">
        <is>
          <t>SOURCE-177</t>
        </is>
      </c>
      <c r="U26" s="5" t="inlineStr">
        <is>
          <t>High</t>
        </is>
      </c>
    </row>
    <row r="27" ht="184" customHeight="1">
      <c r="A27" s="15" t="inlineStr">
        <is>
          <t>PERSON-026</t>
        </is>
      </c>
      <c r="B27" s="5" t="inlineStr">
        <is>
          <t>Yash Chopra</t>
        </is>
      </c>
      <c r="C27" s="5" t="inlineStr">
        <is>
          <t>Director; Producer</t>
        </is>
      </c>
      <c r="D27" s="17" t="n">
        <v>1932</v>
      </c>
      <c r="E27" s="17" t="n">
        <v>2012</v>
      </c>
      <c r="F27" s="5" t="inlineStr">
        <is>
          <t>1959–2012</t>
        </is>
      </c>
      <c r="G27" s="5" t="inlineStr">
        <is>
          <t>Hindi cinema</t>
        </is>
      </c>
      <c r="H27" s="5" t="inlineStr">
        <is>
          <t>Yash Raj Chopra (27 September 1932 – 21 October 2012), born in Lahore, was an Indian director and producer and the founding chairman of Yash Raj Films. He began as an assistant to I. S. Johar and to his brother B. R. Chopra, and directed his first film, Dhool Ka Phool, in 1959.</t>
        </is>
      </c>
      <c r="I27" s="5" t="inlineStr">
        <is>
          <t>Dhool Ka Phool (1959); his breakthrough was Waqt (1965).</t>
        </is>
      </c>
      <c r="J27" s="5" t="inlineStr">
        <is>
          <t>With Kapoor: Kabhie Kabhie (1976), Doosra Aadmi (1977), Vijay (1988), Chandni (1989), Jab Tak Hai Jaan (2012). Elsewhere, Waqt, Deewaar, Silsila, Lamhe, Dil To Pagal Hai and Veer-Zaara.</t>
        </is>
      </c>
      <c r="K27" s="19" t="inlineStr">
        <is>
          <t>Romance as the central subject of cinema: love triangles, adultery and longing, set in Switzerland and Kashmir and carried by music.</t>
        </is>
      </c>
      <c r="L27" s="19" t="inlineStr">
        <is>
          <t>The romantic film as high production value — chiffon, landscape, orchestral song — and a careful melodramatist's attention to the triangle.</t>
        </is>
      </c>
      <c r="M27" s="5" t="inlineStr">
        <is>
          <t>Six National Film Awards and eight Filmfare Awards; in 2006 he became the first Indian to receive a lifetime membership of BAFTA.</t>
        </is>
      </c>
      <c r="N27" s="19" t="inlineStr">
        <is>
          <t>The most influential director of romance in Hindi cinema and the founder of its dominant family studio.</t>
        </is>
      </c>
      <c r="O27" s="19" t="inlineStr">
        <is>
          <t>Five films across thirty-six years, and the relationship that twice redirected the career. Chopra cast Kapoor in the ensemble Kabhie Kabhie (1976) and produced Doosra Aadmi (1977) in his first flush of stardom; Vijay (1988) used him in an ensemble; and Chandni (1989) restored him to romantic leading man opposite Sridevi after a thin decade. Jab Tak Hai Jaan (2012), Chopra's last film, released during the production of which he died, gave Kapoor a late supporting role — the two careers ending in the same film.</t>
        </is>
      </c>
      <c r="P27" s="17" t="n">
        <v>5</v>
      </c>
      <c r="Q27" s="5" t="inlineStr">
        <is>
          <t>FILM-009; FILM-016; FILM-065; FILM-074; FILM-140</t>
        </is>
      </c>
      <c r="R27" s="5" t="inlineStr">
        <is>
          <t>Chandni (1989)</t>
        </is>
      </c>
      <c r="S27" s="5" t="inlineStr">
        <is>
          <t>Yash Chopra directed or produced five Rishi Kapoor films, and the most important of them arrived exactly when Kapoor needed it. The founder of Yash Raj Films, winner of six National Film Awards and eight Filmfare Awards and the first Indian given lifetime BAFTA membership, Chopra was the pre-eminent director of romance in Hindi cinema, and his interest in the love triangle shaped the roles he gave Kapoor. He used him in the ensemble Kabhie Kabhie in 1976 and produced Ramesh Talwar's Doosra Aadmi the next year. Then, after a decade in which Kapoor's vehicles had dwindled to small melodramas, Chandni (1989) put him opposite Sridevi in a hit built on music and longing, and made him a romantic lead again at thirty-seven. Chopra's final film, Jab Tak Hai Jaan, cast Kapoor in support; Chopra died of dengue fever during its production in 2012.</t>
        </is>
      </c>
      <c r="T27" s="5" t="inlineStr">
        <is>
          <t>SOURCE-178</t>
        </is>
      </c>
      <c r="U27" s="5" t="inlineStr">
        <is>
          <t>High</t>
        </is>
      </c>
    </row>
    <row r="28" ht="184" customHeight="1">
      <c r="A28" s="15" t="inlineStr">
        <is>
          <t>PERSON-027</t>
        </is>
      </c>
      <c r="B28" s="5" t="inlineStr">
        <is>
          <t>Dharma Productions</t>
        </is>
      </c>
      <c r="C28" s="5" t="inlineStr">
        <is>
          <t>Production banner</t>
        </is>
      </c>
      <c r="D28" s="18" t="n"/>
      <c r="E28" s="18" t="n"/>
      <c r="F28" s="5" t="inlineStr">
        <is>
          <t>1976–present</t>
        </is>
      </c>
      <c r="G28" s="5" t="inlineStr">
        <is>
          <t>Hindi cinema</t>
        </is>
      </c>
      <c r="H28" s="5" t="inlineStr">
        <is>
          <t>An Indian film production and distribution company established in Mumbai by Yash Johar in 1976 and taken over in 2004, after his death, by his son Karan Johar. It added an advertising arm, Dharma 2.0, in 2016 and a streaming arm, Dharmatic Entertainment, in 2018.</t>
        </is>
      </c>
      <c r="I28" s="5" t="inlineStr">
        <is>
          <t>Founded in 1976; its early productions include Dostana (1980) and Duniya (1984).</t>
        </is>
      </c>
      <c r="J28" s="5" t="inlineStr">
        <is>
          <t>With Kapoor: Duniya (1984), Agneepath (2012), Student of the Year (2012), Kapoor &amp; Sons (2016). Elsewhere, Kuch Kuch Hota Hai, Kabhi Khushi Kabhie Gham, My Name Is Khan and Shershaah.</t>
        </is>
      </c>
      <c r="K28" s="19" t="inlineStr">
        <is>
          <t>The family as subject and audience; glossy urban romance; and from 2012 the youth ensemble.</t>
        </is>
      </c>
      <c r="L28" s="19" t="inlineStr">
        <is>
          <t>High-gloss, star-led production with heavy music and marketing investment, and a house interest in family reconciliation.</t>
        </is>
      </c>
      <c r="M28" s="5" t="inlineStr">
        <is>
          <t>Its films have won National Film Awards and Filmfare Awards, including Best Popular Film and Best Film citations.</t>
        </is>
      </c>
      <c r="N28" s="19" t="inlineStr">
        <is>
          <t>With Yash Raj Films, the defining family studio of contemporary Hindi cinema.</t>
        </is>
      </c>
      <c r="O28" s="19" t="inlineStr">
        <is>
          <t>Four films, split across thirty-two years. Duniya (1984) came in Kapoor's lead period, when the company's own article records that it and Muqaddar Ka Faisla both underperformed. The other three belong to his character-actor phase and are the best of it: Agneepath (2012), where he plays the flesh-trader Rauf Lala, Student of the Year (2012), where he is the college dean, and Kapoor &amp; Sons (2016), where he plays the 90-year-old patriarch under prosthetics. No banner gave his late career better parts.</t>
        </is>
      </c>
      <c r="P28" s="17" t="n">
        <v>4</v>
      </c>
      <c r="Q28" s="5" t="inlineStr">
        <is>
          <t>FILM-043; FILM-137; FILM-139; FILM-152</t>
        </is>
      </c>
      <c r="R28" s="5" t="inlineStr">
        <is>
          <t>Kapoor &amp; Sons (2016)</t>
        </is>
      </c>
      <c r="S28" s="5" t="inlineStr">
        <is>
          <t>Dharma Productions produced four Rishi Kapoor films, and three of them define his second career. Founded by Yash Johar in 1976 and run by his son Karan Johar since 2004, the company became one of the two dominant family studios of Hindi cinema. Its first film with Kapoor, Duniya (1984), was a commercial disappointment, as the company's own history records. The later three are of a different order: Agneepath (2012) cast him against type as the brothel-keeper Rauf Lala, a performance widely regarded as among his best; Student of the Year (2012) made him the dean of a fantasy college; and Kapoor &amp; Sons (2016) buried him in prosthetics as a mischievous ninety-year-old grandfather, a role that drew some of the warmest notices of his life. For an actor whose lead career ended in anonymous melodrama, the Dharma films are evidence of how completely a studio could re-cast him.</t>
        </is>
      </c>
      <c r="T28" s="5" t="inlineStr">
        <is>
          <t>SOURCE-179</t>
        </is>
      </c>
      <c r="U28" s="5" t="inlineStr">
        <is>
          <t>High</t>
        </is>
      </c>
    </row>
    <row r="29" ht="109" customHeight="1">
      <c r="A29" s="15" t="inlineStr">
        <is>
          <t>PERSON-028</t>
        </is>
      </c>
      <c r="B29" s="5" t="inlineStr">
        <is>
          <t>Jatin–Lalit</t>
        </is>
      </c>
      <c r="C29" s="5" t="inlineStr">
        <is>
          <t>Song composer (composing duo)</t>
        </is>
      </c>
      <c r="D29" s="18" t="n"/>
      <c r="E29" s="18" t="n"/>
      <c r="F29" s="5" t="inlineStr">
        <is>
          <t>1991–2006</t>
        </is>
      </c>
      <c r="G29" s="5" t="inlineStr">
        <is>
          <t>Hindi cinema</t>
        </is>
      </c>
      <c r="H29" s="5" t="inlineStr">
        <is>
          <t>An Indian composing duo of the brothers Jatin Pandit and Lalit Pandit, dominant in Hindi film music through the 1990s and early 2000s. They worked together from 1991 until 2006 and have composed independently since.</t>
        </is>
      </c>
      <c r="I29" s="5" t="inlineStr">
        <is>
          <t>Noticed for Jo Jeeta Wohi Sikander (1992) and Khiladi (1992), which brought their first Filmfare nomination.</t>
        </is>
      </c>
      <c r="J29" s="5" t="inlineStr">
        <is>
          <t>With Kapoor: Raju Chacha (2000), Hum Tum (2004), Pyaar Mein Twist (2005), Fanaa (2006). Elsewhere, Dilwale Dulhania Le Jayenge, Kuch Kuch Hota Hai, Mohabbatein and Kabhi Khushi Kabhie Gham.</t>
        </is>
      </c>
      <c r="K29" s="19" t="inlineStr">
        <is>
          <t>The melodic romance of the 1990s studio film, written for Yash Raj and Dharma.</t>
        </is>
      </c>
      <c r="L29" s="19" t="inlineStr">
        <is>
          <t>Melody-led songwriting with light orchestration, built around hummable refrains and the playback voices of Kumar Sanu, Udit Narayan and Alka Yagnik.</t>
        </is>
      </c>
      <c r="M29" s="5" t="inlineStr">
        <is>
          <t>Multiple Filmfare nominations for Best Music Director, including for Dilwale Dulhania Le Jayenge and Kuch Kuch Hota Hai.</t>
        </is>
      </c>
      <c r="N29" s="19" t="inlineStr">
        <is>
          <t>The composers of the canonical 1990s Hindi romance soundtracks, and so of the genre in which Kapoor's successors became stars.</t>
        </is>
      </c>
      <c r="O29" s="19" t="inlineStr">
        <is>
          <t>Four films, all after 2000 and all in his character-actor phase: Raju Chacha, the Yash Raj romance Hum Tum, the low-budget Pyaar Mein Twist in which he plays a widower in love, and Fanaa, the duo's final collaboration before splitting. Their article does not mention Kapoor.</t>
        </is>
      </c>
      <c r="P29" s="17" t="n">
        <v>4</v>
      </c>
      <c r="Q29" s="5" t="inlineStr">
        <is>
          <t>FILM-112; FILM-118; FILM-119; FILM-120</t>
        </is>
      </c>
      <c r="R29" s="5" t="inlineStr">
        <is>
          <t>Pyaar Mein Twist (2005)</t>
        </is>
      </c>
      <c r="S29" s="5" t="inlineStr">
        <is>
          <t>Jatin–Lalit wrote the music for four Rishi Kapoor films, all of them in his second career. The Pandit brothers were the defining romantic composers of 1990s Hindi cinema — Dilwale Dulhania Le Jayenge, Kuch Kuch Hota Hai, Mohabbatein — and worked as a duo from 1991 until their split in 2006. By the time they came to Kapoor he was no longer a romantic lead, which makes one of these films unusually interesting: Pyaar Mein Twist (2005) gave him a late love story as a widower courting a widow, with the opposition supplied by their grown children rather than by parents, an inversion of the Bobby situation thirty-two years on. The others are Raju Chacha, Hum Tum, where he plays the hero's father, and Fanaa, the last score the brothers wrote together.</t>
        </is>
      </c>
      <c r="T29" s="5" t="inlineStr">
        <is>
          <t>SOURCE-180</t>
        </is>
      </c>
      <c r="U29" s="5" t="inlineStr">
        <is>
          <t>High</t>
        </is>
      </c>
    </row>
    <row r="30" ht="184" customHeight="1">
      <c r="A30" s="15" t="inlineStr">
        <is>
          <t>PERSON-029</t>
        </is>
      </c>
      <c r="B30" s="5" t="inlineStr">
        <is>
          <t>Javed Akhtar</t>
        </is>
      </c>
      <c r="C30" s="5" t="inlineStr">
        <is>
          <t>Writer</t>
        </is>
      </c>
      <c r="D30" s="17" t="n">
        <v>1945</v>
      </c>
      <c r="E30" s="18" t="n"/>
      <c r="F30" s="5" t="n"/>
      <c r="G30" s="5" t="inlineStr">
        <is>
          <t>Hindi cinema</t>
        </is>
      </c>
      <c r="H30" s="5" t="inlineStr">
        <is>
          <t>Javed Akhtar (born 17 January 1945 in Gwalior) is an Indian screenwriter, lyricist and poet. He first became known as half of the screenwriting duo Salim–Javed with Salim Khan, whose Zanjeer (1973), Deewaar (1975) and Sholay (1975) created the angry-young-man archetype; after their split in the early 1980s he worked chiefly as a lyricist.</t>
        </is>
      </c>
      <c r="I30" s="5" t="inlineStr">
        <is>
          <t>Breakthrough with Zanjeer (1973) as part of Salim–Javed.</t>
        </is>
      </c>
      <c r="J30" s="5" t="inlineStr">
        <is>
          <t>With Kapoor: Duniya (1984), Zamana (1985), Saagar (1985), Luck by Chance (2009). Elsewhere, Deewaar, Sholay, Don, Mr. India and a long career as a lyricist.</t>
        </is>
      </c>
      <c r="K30" s="19" t="inlineStr">
        <is>
          <t>The wronged son and the compromised city; later, lyric poetry of longing and loss.</t>
        </is>
      </c>
      <c r="L30" s="19" t="inlineStr">
        <is>
          <t>Tight commercial construction with an ear for the declamatory line, and from the 1980s an Urdu-inflected lyricism.</t>
        </is>
      </c>
      <c r="M30" s="5" t="inlineStr">
        <is>
          <t>Five National Film Awards and sixteen Filmfare Awards; Padma Shri in 1999 and Padma Bhushan in 2007; nominated to the Rajya Sabha from 2010 to 2016.</t>
        </is>
      </c>
      <c r="N30" s="19" t="inlineStr">
        <is>
          <t>Widely regarded as one of the greatest screenwriters and lyricists in Indian cinema, and co-author of the template that displaced the romantic hero in the 1970s.</t>
        </is>
      </c>
      <c r="O30" s="19" t="inlineStr">
        <is>
          <t>Four films, and an instructive near-miss. The Salim–Javed scripts that dominated the 1970s were written for Amitabh Bachchan's avenger, not for Kapoor's lover, and Akhtar's credits here come only after the duo split: Duniya and Zamana, both from scripts the pair had left behind, and Saagar (1985), Ramesh Sippy's triangle in which Kapoor plays the man who loses. Luck by Chance (2009) is a late supporting part in his daughter Zoya Akhtar's film. His article does not mention Kapoor.</t>
        </is>
      </c>
      <c r="P30" s="17" t="n">
        <v>8</v>
      </c>
      <c r="Q30" s="5" t="inlineStr">
        <is>
          <t>FILM-043; FILM-046; FILM-049; FILM-111; FILM-116; FILM-117; FILM-125; FILM-128</t>
        </is>
      </c>
      <c r="R30" s="5" t="inlineStr">
        <is>
          <t>Saagar (1985)</t>
        </is>
      </c>
      <c r="S30" s="5" t="inlineStr">
        <is>
          <t>Javed Akhtar's four credits in this filmography matter less for what they are than for what they imply. As half of Salim–Javed he wrote the films that redirected Hindi cinema in the 1970s — Zanjeer, Deewaar, Sholay — and in doing so built the archetype that competed directly with the romantic hero Rishi Kapoor was playing. Only after the duo's split did their paths cross: Duniya and Zamana were made from Salim–Javed material, and Saagar (1985) gave Kapoor one of his finest performances as the man who loves and loses to Kamal Haasan's character in Ramesh Sippy's triangle. Akhtar, a five-time National Film Award winner, sixteen-time Filmfare Award winner, Padma Bhushan recipient and Rajya Sabha nominee, later became Hindi cinema's foremost lyricist; his last film with Kapoor, Luck by Chance, was directed by his daughter Zoya Akhtar.</t>
        </is>
      </c>
      <c r="T30" s="5" t="inlineStr">
        <is>
          <t>SOURCE-181</t>
        </is>
      </c>
      <c r="U30" s="5" t="inlineStr">
        <is>
          <t>High</t>
        </is>
      </c>
    </row>
    <row r="31" ht="154" customHeight="1">
      <c r="A31" s="15" t="inlineStr">
        <is>
          <t>PERSON-030</t>
        </is>
      </c>
      <c r="B31" s="5" t="inlineStr">
        <is>
          <t>Ketan Desai</t>
        </is>
      </c>
      <c r="C31" s="5" t="inlineStr">
        <is>
          <t>Director; Producer</t>
        </is>
      </c>
      <c r="D31" s="17" t="n">
        <v>1957</v>
      </c>
      <c r="E31" s="18" t="n"/>
      <c r="F31" s="5" t="n"/>
      <c r="G31" s="5" t="inlineStr">
        <is>
          <t>Hindi cinema</t>
        </is>
      </c>
      <c r="H31" s="5" t="inlineStr">
        <is>
          <t>Ketan Desai (born 29 June 1957) is an Indian film producer and director, the son of Manmohan Desai. He produced five Hindi films and directed three masala films, and is married to Kanchan Kapoor, a daughter of Shammi Kapoor.</t>
        </is>
      </c>
      <c r="I31" s="5" t="inlineStr">
        <is>
          <t>Produced Coolie (1983) and was executive producer of Mard (1985).</t>
        </is>
      </c>
      <c r="J31" s="5" t="inlineStr">
        <is>
          <t>With Kapoor: Coolie (1983), Allah Rakha (1986), Anmol (1993), Yeh Hai Jalwa (2002).</t>
        </is>
      </c>
      <c r="K31" s="19" t="inlineStr">
        <is>
          <t>Inherited masala: multi-star action comedy, disguise and reunion plots carried over from his father's cinema.</t>
        </is>
      </c>
      <c r="L31" s="19" t="inlineStr">
        <is>
          <t>The Desai formula at one remove, maintained into decades that had moved on from it.</t>
        </is>
      </c>
      <c r="M31" s="5" t="n"/>
      <c r="N31" s="19" t="inlineStr">
        <is>
          <t>Chiefly the custodian of the Manmohan Desai production line, which he continued as producer and director through the 1980s and 1990s.</t>
        </is>
      </c>
      <c r="O31" s="19" t="inlineStr">
        <is>
          <t>Four films, and a family connection as well as a professional one: his wife is a daughter of Shammi Kapoor, making him Rishi Kapoor's cousin by marriage. He produced Coolie (1983), one of Kapoor's largest hits, and directed Allah Rakha (1986), Anmol (1993) and Yeh Hai Jalwa (2002), three attempts to keep the masala multi-starrer alive with Kapoor in it. His article names Coolie among his credits.</t>
        </is>
      </c>
      <c r="P31" s="17" t="n">
        <v>4</v>
      </c>
      <c r="Q31" s="5" t="inlineStr">
        <is>
          <t>FILM-041; FILM-053; FILM-096; FILM-114</t>
        </is>
      </c>
      <c r="R31" s="5" t="inlineStr">
        <is>
          <t>Allah Rakha (1986)</t>
        </is>
      </c>
      <c r="S31" s="5" t="inlineStr">
        <is>
          <t>Ketan Desai's four films with Rishi Kapoor are the afterlife of his father's cinema. Born in 1957, the son of Manmohan Desai and married to Shammi Kapoor's daughter Kanchan — which makes him Kapoor's cousin by marriage — he produced five Hindi films and directed three, all in the masala idiom his father had perfected. He produced Coolie in 1983, the Amitabh Bachchan vehicle in which Kapoor played the second lead and which became one of the biggest hits either man appeared in, and then directed Allah Rakha (1986), Anmol (1993) and Yeh Hai Jalwa (2002). Each is a multi-star entertainment assembled from the elements of Amar Akbar Anthony and Naseeb, and each landed in a market with progressively less appetite for them. The sequence is a useful record of a formula outliving its moment, with Kapoor aboard throughout.</t>
        </is>
      </c>
      <c r="T31" s="5" t="inlineStr">
        <is>
          <t>SOURCE-182</t>
        </is>
      </c>
      <c r="U31" s="5" t="inlineStr">
        <is>
          <t>High</t>
        </is>
      </c>
    </row>
    <row r="32" ht="169" customHeight="1">
      <c r="A32" s="15" t="inlineStr">
        <is>
          <t>PERSON-031</t>
        </is>
      </c>
      <c r="B32" s="5" t="inlineStr">
        <is>
          <t>Khwaja Ahmad Abbas</t>
        </is>
      </c>
      <c r="C32" s="5" t="inlineStr">
        <is>
          <t>Writer</t>
        </is>
      </c>
      <c r="D32" s="17" t="n">
        <v>1914</v>
      </c>
      <c r="E32" s="17" t="n">
        <v>1987</v>
      </c>
      <c r="F32" s="5" t="inlineStr">
        <is>
          <t>1935–1987</t>
        </is>
      </c>
      <c r="G32" s="5" t="inlineStr">
        <is>
          <t>Hindi cinema; Urdu, Hindi and English literature and journalism</t>
        </is>
      </c>
      <c r="H32" s="5" t="inlineStr">
        <is>
          <t>Khwaja Ahmad Abbas (7 June 1914 – 1 June 1987) was an Indian film director, screenwriter, novelist, journalist and columnist in Urdu, Hindi and English, and one of the pioneers of Indian neo-realist cinema. He won four National Film Awards; his films took the Grand Prize at Cannes and the Crystal Globe at Karlovy Vary.</t>
        </is>
      </c>
      <c r="I32" s="5" t="inlineStr">
        <is>
          <t>Active from 1935; wrote for Raj Kapoor from Awaara onwards.</t>
        </is>
      </c>
      <c r="J32" s="5" t="inlineStr">
        <is>
          <t>With Kapoor: Shree 420 (1955), Mera Naam Joker (1970), Bobby (1973), Henna (1991). Elsewhere, Awaara, Neecha Nagar, Shehar Aur Sapna, Saat Hindustani and Do Boond Pani.</t>
        </is>
      </c>
      <c r="K32" s="19" t="inlineStr">
        <is>
          <t>Social realism and the poor in the city; the nation as subject; love across religious and national divides.</t>
        </is>
      </c>
      <c r="L32" s="19" t="inlineStr">
        <is>
          <t>A journalist's social argument worked into popular melodrama, with a lifelong willingness to write both art cinema and showmanship.</t>
        </is>
      </c>
      <c r="M32" s="5" t="inlineStr">
        <is>
          <t>Four National Film Awards; Cannes Grand Prize and the Karlovy Vary Crystal Globe for his own films; Shehar Aur Sapna won Best Feature Film, and Saat Hindustani and Do Boond Pani won National Awards for national integration.</t>
        </is>
      </c>
      <c r="N32" s="19" t="inlineStr">
        <is>
          <t>A founder of Indian parallel cinema who simultaneously wrote the biggest Raj Kapoor hits, and the writer who opened the Soviet market to Indian films.</t>
        </is>
      </c>
      <c r="O32" s="19" t="inlineStr">
        <is>
          <t>Four films spanning thirty-six years, and the writer who brackets the career. Abbas wrote Shree 420 (1955), in which Kapoor appears as a toddler, Mera Naam Joker (1970), his credited debut, Bobby (1973), his first lead, and Henna (1991), the cross-border romance released three years after Raj Kapoor's death. No other collaborator connects the beginning and the end of the filmography so directly, and his article names Bobby and Henna among his Raj Kapoor scripts.</t>
        </is>
      </c>
      <c r="P32" s="17" t="n">
        <v>4</v>
      </c>
      <c r="Q32" s="5" t="inlineStr">
        <is>
          <t>FILM-001; FILM-002; FILM-003; FILM-081</t>
        </is>
      </c>
      <c r="R32" s="5" t="inlineStr">
        <is>
          <t>Bobby (1973)</t>
        </is>
      </c>
      <c r="S32" s="5" t="inlineStr">
        <is>
          <t>Khwaja Ahmad Abbas wrote the first film Rishi Kapoor appeared in and one of the last of his lead career, a span of thirty-six years. A journalist, novelist and filmmaker in Urdu, Hindi and English, Abbas won four National Film Awards and is counted among the founders of Indian neo-realist cinema, with Neecha Nagar taking the Grand Prize at Cannes and Shehar Aur Sapna and Saat Hindustani winning National Awards. He was also, in parallel, Raj Kapoor's principal writer, scripting Awaara, Shree 420, Mera Naam Joker, Bobby and Henna. For this filmography that double life matters: the social argument of Abbas's own cinema — poverty, partition, love across a prohibited line — is what gives the R. K. romances their moral frame, and it is his writing that placed a toddler in Shree 420, an adolescent in Mera Naam Joker, and a twenty-one-year-old lead in Bobby.</t>
        </is>
      </c>
      <c r="T32" s="5" t="inlineStr">
        <is>
          <t>SOURCE-183</t>
        </is>
      </c>
      <c r="U32" s="5" t="inlineStr">
        <is>
          <t>High</t>
        </is>
      </c>
    </row>
    <row r="33" ht="184" customHeight="1">
      <c r="A33" s="15" t="inlineStr">
        <is>
          <t>PERSON-032</t>
        </is>
      </c>
      <c r="B33" s="5" t="inlineStr">
        <is>
          <t>Manmohan Desai</t>
        </is>
      </c>
      <c r="C33" s="5" t="inlineStr">
        <is>
          <t>Director; Producer</t>
        </is>
      </c>
      <c r="D33" s="17" t="n">
        <v>1937</v>
      </c>
      <c r="E33" s="17" t="n">
        <v>1994</v>
      </c>
      <c r="F33" s="5" t="inlineStr">
        <is>
          <t>1957–1994</t>
        </is>
      </c>
      <c r="G33" s="5" t="inlineStr">
        <is>
          <t>Hindi cinema</t>
        </is>
      </c>
      <c r="H33" s="5" t="inlineStr">
        <is>
          <t>Manmohan Desai (26 February 1937 – 1 March 1994) was an Indian film producer and director, one of the most successful filmmakers of the 1970s and 1980s and the pioneer of the masala film. He was married to the writer Jeevanprabha Gandhi, credited on Amar Akbar Anthony as Jeevanprabha M. Desai, and was the father of Ketan Desai.</t>
        </is>
      </c>
      <c r="I33" s="5" t="inlineStr">
        <is>
          <t>Directing from 1957; his defining success was Amar Akbar Anthony (1977).</t>
        </is>
      </c>
      <c r="J33" s="5" t="inlineStr">
        <is>
          <t>With Kapoor: Amar Akbar Anthony (1977), Naseeb (1981), Coolie (1983), Anmol (1993). Elsewhere, Dharam Veer, Chacha Bhatija, Parvarish, Suhaag and Mard.</t>
        </is>
      </c>
      <c r="K33" s="19" t="inlineStr">
        <is>
          <t>Families separated and reunited, religion as costume, coincidence as structure, and the hero as one of three brothers.</t>
        </is>
      </c>
      <c r="L33" s="19" t="inlineStr">
        <is>
          <t>The masala film in its purest form: multiple stars, parallel plots, comic bravado and an unembarrassed faith in coincidence.</t>
        </is>
      </c>
      <c r="M33" s="5" t="n"/>
      <c r="N33" s="19" t="inlineStr">
        <is>
          <t>The pioneer and most successful practitioner of the masala film, the dominant commercial form of 1970s Hindi cinema.</t>
        </is>
      </c>
      <c r="O33" s="19" t="inlineStr">
        <is>
          <t>Four films, including the two largest hits of the career. Amar Akbar Anthony (1977) cast Kapoor as Akbar, the qawwali-singing Muslim brother, in an ensemble with Amitabh Bachchan and Vinod Khanna; Naseeb (1981) and Coolie (1983) repeated the formula. Desai's films are where Kapoor's romantic register had to coexist with Bachchan's comedy and action, and the compromise shaped his billing for a decade. His article names Amar Akbar Anthony, Naseeb and Coolie among his most successful films.</t>
        </is>
      </c>
      <c r="P33" s="17" t="n">
        <v>4</v>
      </c>
      <c r="Q33" s="5" t="inlineStr">
        <is>
          <t>FILM-014; FILM-032; FILM-041; FILM-096</t>
        </is>
      </c>
      <c r="R33" s="5" t="inlineStr">
        <is>
          <t>Amar Akbar Anthony (1977)</t>
        </is>
      </c>
      <c r="S33" s="5" t="inlineStr">
        <is>
          <t>Manmohan Desai directed the most commercially successful film Rishi Kapoor ever appeared in, and in doing so defined the limits of his stardom. The pioneer of the masala film and one of the dominant filmmakers of the 1970s and 1980s, Desai built pictures out of separated families, religious disguise and outrageous coincidence, and cast them with as many stars as a budget would hold. In Amar Akbar Anthony (1977) Kapoor played Akbar, the qawwali singer, alongside Amitabh Bachchan's Anthony and Vinod Khanna's Amar; the film was a phenomenon, and Kapoor's share of it was the music and the courtship. Naseeb (1981) and Coolie (1983) followed the same design. Working for Desai gave Kapoor hits he could not have had alone, at the cost of never being the only centre of them — the structural fact that distinguishes his career from Bachchan's in exactly these years.</t>
        </is>
      </c>
      <c r="T33" s="5" t="inlineStr">
        <is>
          <t>SOURCE-184</t>
        </is>
      </c>
      <c r="U33" s="5" t="inlineStr">
        <is>
          <t>High</t>
        </is>
      </c>
    </row>
    <row r="34" ht="199" customHeight="1">
      <c r="A34" s="15" t="inlineStr">
        <is>
          <t>PERSON-033</t>
        </is>
      </c>
      <c r="B34" s="5" t="inlineStr">
        <is>
          <t>Rahul Rawail</t>
        </is>
      </c>
      <c r="C34" s="5" t="inlineStr">
        <is>
          <t>Director; Writer</t>
        </is>
      </c>
      <c r="D34" s="18" t="n"/>
      <c r="E34" s="18" t="n"/>
      <c r="F34" s="5" t="inlineStr">
        <is>
          <t>1968–2007</t>
        </is>
      </c>
      <c r="G34" s="5" t="inlineStr">
        <is>
          <t>Hindi cinema</t>
        </is>
      </c>
      <c r="H34" s="5" t="inlineStr">
        <is>
          <t>Rahul Rawail is an Indian film director and editor, the son of the director H. S. Rawail. He began as an assistant to Raj Kapoor — an apprenticeship he later documented in his book Raj Kapoor: The Master at Work — and directed from 1980 to 2007.</t>
        </is>
      </c>
      <c r="I34" s="5" t="inlineStr">
        <is>
          <t>Directorial debut Gunehgaar (1980), starring Parveen Babi, Rishi Kapoor, Rajendra Kumar and Asha Parekh. His first two films failed; his third, Love Story (1981), was a hit.</t>
        </is>
      </c>
      <c r="J34" s="5" t="inlineStr">
        <is>
          <t>With Kapoor: Gunahgaar (1980), Biwi-O-Biwi (1981), Deedar-E-Yaar (1982), Kuch Khatti Kuch Meethi (2001). Elsewhere, Love Story, Betaab (1983), Arjun (1985), Dacait, Anjaam and Aur Pyaar Ho Gaya.</t>
        </is>
      </c>
      <c r="K34" s="19" t="inlineStr">
        <is>
          <t>Youth romance against parental opposition, and the action drama of the angry young man of the 1980s.</t>
        </is>
      </c>
      <c r="L34" s="19" t="inlineStr">
        <is>
          <t>A launcher of new actors — Kumar Gaurav and Vijayeta Pandit in Love Story, Sunny Deol and Amrita Singh in Betaab, Kajol in Bekhudi, Aishwarya Rai in Aur Pyaar Ho Gaya — working in mainstream romance and action.</t>
        </is>
      </c>
      <c r="M34" s="5" t="inlineStr">
        <is>
          <t>Filmfare nominations for Best Director for Betaab (1983) and Arjun (1985).</t>
        </is>
      </c>
      <c r="N34" s="19" t="inlineStr">
        <is>
          <t>A significant commercial director of the 1980s and one of Hindi cinema's most prolific star-launchers.</t>
        </is>
      </c>
      <c r="O34" s="19" t="inlineStr">
        <is>
          <t>Four films across twenty-one years, and the only collaborator whose directorial debut was a Kapoor film: his article names Gunehgaar (1980), with Kapoor, Parveen Babi, Rajendra Kumar and Asha Parekh, as his first film, which is how this workbook recovers the director credit for a film that has no Wikipedia article of its own. He then directed the R. K. production Biwi-O-Biwi (1981), co-wrote his father's Deedar-E-Yaar (1982) with Kapoor in the lead, and directed him again in Kuch Khatti Kuch Meethi (2001) after an eighteen-year gap.</t>
        </is>
      </c>
      <c r="P34" s="17" t="n">
        <v>4</v>
      </c>
      <c r="Q34" s="5" t="inlineStr">
        <is>
          <t>FILM-027; FILM-033; FILM-038; FILM-113</t>
        </is>
      </c>
      <c r="R34" s="5" t="inlineStr">
        <is>
          <t>Gunahgaar (1980)</t>
        </is>
      </c>
      <c r="S34" s="5" t="inlineStr">
        <is>
          <t>Rahul Rawail began his directing career with a Rishi Kapoor film and returned to him twice more. The son of the director H. S. Rawail, he trained as Raj Kapoor's assistant — the subject of his later book Raj Kapoor: The Master at Work — before making his debut with Gunehgaar in 1980, a film starring Kapoor, Parveen Babi, Rajendra Kumar and Asha Parekh that failed commercially and left so little trace that this workbook has to recover its director credit from Rawail's own article. Love Story the following year made him, and through the 1980s he launched a succession of new stars — Sunny Deol and Amrita Singh in Betaab, later Kajol and Aishwarya Rai — while earning Filmfare nominations for Betaab and Arjun. His other Kapoor films are the R. K. comedy Biwi-O-Biwi, his father's Deedar-E-Yaar, which he co-wrote, and Kuch Khatti Kuch Meethi in 2001.</t>
        </is>
      </c>
      <c r="T34" s="5" t="inlineStr">
        <is>
          <t>SOURCE-168</t>
        </is>
      </c>
      <c r="U34" s="5" t="inlineStr">
        <is>
          <t>High</t>
        </is>
      </c>
    </row>
    <row r="35" ht="169" customHeight="1">
      <c r="A35" s="15" t="inlineStr">
        <is>
          <t>PERSON-034</t>
        </is>
      </c>
      <c r="B35" s="5" t="inlineStr">
        <is>
          <t>Rakesh Roshan</t>
        </is>
      </c>
      <c r="C35" s="5" t="inlineStr">
        <is>
          <t>Director; Producer; Writer</t>
        </is>
      </c>
      <c r="D35" s="17" t="n">
        <v>1949</v>
      </c>
      <c r="E35" s="18" t="n"/>
      <c r="F35" s="5" t="inlineStr">
        <is>
          <t>1970–present</t>
        </is>
      </c>
      <c r="G35" s="5" t="inlineStr">
        <is>
          <t>Hindi cinema</t>
        </is>
      </c>
      <c r="H35" s="5" t="inlineStr">
        <is>
          <t>Rakesh Roshan Nagrath (born 6 September 1949) is an Indian actor turned director and producer, a son of the composer Roshan and brother of the composer Rajesh Roshan. He appeared in 84 films in the 1970s and 1980s, founded the production company Filmkraft in 1980, and from 1987 directed a series of films with titles beginning with K. He is the father of Hrithik Roshan.</t>
        </is>
      </c>
      <c r="I35" s="5" t="inlineStr">
        <is>
          <t>Acting from 1970; Filmkraft's first production was Aap Ke Deewane (1980), a box-office failure; his directing breakthrough was Khudgarz (1987).</t>
        </is>
      </c>
      <c r="J35" s="5" t="inlineStr">
        <is>
          <t>With Kapoor: Aap Ke Deewane (1980), Khudgarz (1987), Kaun Sachcha Kaun Jhootha (1997), Karobaar (2000). Elsewhere, Khoon Bhari Maang, Karan Arjun, Kaho Naa... Pyaar Hai and the Krrish series.</t>
        </is>
      </c>
      <c r="K35" s="19" t="inlineStr">
        <is>
          <t>Revenge and rebirth, family honour, and from 2000 the superhero and science-fiction franchise.</t>
        </is>
      </c>
      <c r="L35" s="19" t="inlineStr">
        <is>
          <t>Tightly formulaic commercial direction with a strong musical identity, usually scored by his brother, and a habit of launching or relaunching stars.</t>
        </is>
      </c>
      <c r="M35" s="5" t="inlineStr">
        <is>
          <t>Filmfare Awards for Best Film and Best Director for Kaho Naa... Pyaar Hai and Koi... Mil Gaya.</t>
        </is>
      </c>
      <c r="N35" s="19" t="inlineStr">
        <is>
          <t>A successful second-generation filmmaker who built one of Hindi cinema's enduring production houses and launched Hrithik Roshan's career.</t>
        </is>
      </c>
      <c r="O35" s="19" t="inlineStr">
        <is>
          <t>Four films as director or producer, plus a prior connection as a fellow actor — his article records him playing a supporting role in Khel Khel Mein, with Kapoor in the lead. His Filmkraft debut Aap Ke Deewane (1980) was a flop, but Khudgarz (1987) was among the few solid successes of Kapoor's weakest decade, and Kaun Sachcha Kaun Jhootha and Karobaar continued the association into the 1990s and 2000s. Three of the four are scored by his brother Rajesh Roshan.</t>
        </is>
      </c>
      <c r="P35" s="17" t="n">
        <v>4</v>
      </c>
      <c r="Q35" s="5" t="inlineStr">
        <is>
          <t>FILM-030; FILM-060; FILM-109; FILM-111</t>
        </is>
      </c>
      <c r="R35" s="5" t="inlineStr">
        <is>
          <t>Khudgarz (1987)</t>
        </is>
      </c>
      <c r="S35" s="5" t="inlineStr">
        <is>
          <t>Rakesh Roshan moved from acting beside Rishi Kapoor to directing him, and gave him one of the few hits of his thinnest decade. The son of the composer Roshan, he appeared in 84 films through the 1970s and 1980s, including a supporting role in Khel Khel Mein opposite Kapoor's lead, before founding Filmkraft in 1980; its first production, Aap Ke Deewane, with Kapoor, failed. Khudgarz (1987), his breakthrough as a director, was different: a revenge melodrama that worked commercially and reminded the industry that Kapoor could still open a film. Kaun Sachcha Kaun Jhootha (1997) and Karobaar (2000) followed, by which time Roshan's attention was turning to launching his son Hrithik in Kaho Naa... Pyaar Hai, which won him Filmfare Awards for Best Film and Best Director. Nearly all of his films with Kapoor are scored by his brother Rajesh Roshan, making this a two-family collaboration.</t>
        </is>
      </c>
      <c r="T35" s="5" t="inlineStr">
        <is>
          <t>SOURCE-185</t>
        </is>
      </c>
      <c r="U35" s="5" t="inlineStr">
        <is>
          <t>High</t>
        </is>
      </c>
    </row>
    <row r="36" ht="184" customHeight="1">
      <c r="A36" s="15" t="inlineStr">
        <is>
          <t>PERSON-035</t>
        </is>
      </c>
      <c r="B36" s="5" t="inlineStr">
        <is>
          <t>Ramesh Talwar</t>
        </is>
      </c>
      <c r="C36" s="5" t="inlineStr">
        <is>
          <t>Director</t>
        </is>
      </c>
      <c r="D36" s="18" t="n"/>
      <c r="E36" s="18" t="n"/>
      <c r="F36" s="5" t="inlineStr">
        <is>
          <t>1969–present</t>
        </is>
      </c>
      <c r="G36" s="5" t="inlineStr">
        <is>
          <t>Hindi cinema; Indian theatre and television</t>
        </is>
      </c>
      <c r="H36" s="5" t="inlineStr">
        <is>
          <t>Ramesh Talwar is an Indian film, theatre and television director, co-producer and actor, and a nephew of the writer Sagar Sarhadi. He appeared as a child artist in Dhool Ka Phool (1959) and Love in Simla (1960), was Yash Chopra's assistant director from 1969 to 1979, and has directed extensively for the stage.</t>
        </is>
      </c>
      <c r="I36" s="5" t="inlineStr">
        <is>
          <t>Directorial debut Doosra Aadmi (1977), starring Raakhee, Rishi Kapoor and Neetu Singh.</t>
        </is>
      </c>
      <c r="J36" s="5" t="inlineStr">
        <is>
          <t>With Kapoor: Doosra Aadmi (1977), Duniya (1984), Zamana (1985), Sahibaan (1993). Elsewhere, Baseraa (1981), which brought him a Filmfare nomination for Best Director.</t>
        </is>
      </c>
      <c r="K36" s="19" t="inlineStr">
        <is>
          <t>Adult romantic melodrama in the Yash Chopra manner: triangles, second chances and the pull of the past.</t>
        </is>
      </c>
      <c r="L36" s="19" t="inlineStr">
        <is>
          <t>A Chopra-trained director of restrained melodrama, more interested in performance and dialogue than in spectacle, and with a parallel career in theatre.</t>
        </is>
      </c>
      <c r="M36" s="5" t="inlineStr">
        <is>
          <t>Filmfare nomination for Best Director for Baseraa (1981).</t>
        </is>
      </c>
      <c r="N36" s="19" t="inlineStr">
        <is>
          <t>A significant graduate of the Yash Chopra school and a long-serving figure in Hindi theatre and television.</t>
        </is>
      </c>
      <c r="O36" s="19" t="inlineStr">
        <is>
          <t>Four films, the first of them one of the most interesting in the filmography. Doosra Aadmi (1977), Talwar's debut, cast Kapoor as a young man drawn into an affair with an older woman played by Raakhee, who sees her dead lover in him — a deliberate inversion of the boyish romantic persona Bobby had created. Duniya (1984), Zamana (1985) and Sahibaan (1993) followed. His article names Kapoor and Neetu Singh among Doosra Aadmi's cast and records that only two of his seven films succeeded.</t>
        </is>
      </c>
      <c r="P36" s="17" t="n">
        <v>4</v>
      </c>
      <c r="Q36" s="5" t="inlineStr">
        <is>
          <t>FILM-016; FILM-043; FILM-046; FILM-094</t>
        </is>
      </c>
      <c r="R36" s="5" t="inlineStr">
        <is>
          <t>Doosra Aadmi (1977)</t>
        </is>
      </c>
      <c r="S36" s="5" t="inlineStr">
        <is>
          <t>Ramesh Talwar directed four Rishi Kapoor films, beginning with the one that most sharply questioned Kapoor's image. A nephew of the writer Sagar Sarhadi and a child actor in Dhool Ka Phool, Talwar spent a decade as Yash Chopra's assistant before making Doosra Aadmi in 1977, in which Kapoor's young advertising executive is pursued by an older woman, Raakhee, who is trying to recover a dead lover through him. Released four years after Bobby, it used his youth against him. Talwar went on to direct Duniya, Zamana and Sahibaan with Kapoor, and earned a Filmfare nomination for Baseraa in 1981, though by his article's own account only two of his seven features succeeded commercially. He has worked continuously in theatre and television since, and is one of the clearest examples in this filmography of a Chopra-trained director taking the romantic hero seriously enough to complicate him.</t>
        </is>
      </c>
      <c r="T36" s="5" t="inlineStr">
        <is>
          <t>SOURCE-186</t>
        </is>
      </c>
      <c r="U36" s="5" t="inlineStr">
        <is>
          <t>High</t>
        </is>
      </c>
    </row>
    <row r="37" ht="139" customHeight="1">
      <c r="A37" s="15" t="inlineStr">
        <is>
          <t>PERSON-036</t>
        </is>
      </c>
      <c r="B37" s="5" t="inlineStr">
        <is>
          <t>Ravi Malhotra</t>
        </is>
      </c>
      <c r="C37" s="5" t="inlineStr">
        <is>
          <t>Producer</t>
        </is>
      </c>
      <c r="D37" s="18" t="n"/>
      <c r="E37" s="18" t="n"/>
      <c r="F37" s="5" t="n"/>
      <c r="G37" s="5" t="inlineStr">
        <is>
          <t>Hindi cinema</t>
        </is>
      </c>
      <c r="H37" s="5" t="inlineStr">
        <is>
          <t>A Hindi-film producer active from the mid-1970s to the mid-1990s, with no Wikipedia article of his own. Three of his four Kapoor films were directed by Ravi Tandon, which suggests a standing producer-director partnership rather than four unrelated ventures.</t>
        </is>
      </c>
      <c r="I37" s="5" t="n"/>
      <c r="J37" s="5" t="inlineStr">
        <is>
          <t>With Kapoor: Khel Khel Mein (1975), Jhoota Kahin Ka (1979), Rahi Badal Gaye (1985), Hum Dono (1995).</t>
        </is>
      </c>
      <c r="K37" s="19" t="inlineStr">
        <is>
          <t>Youth comedy and light romance in the 1970s, moving to family drama in the 1980s and 1990s.</t>
        </is>
      </c>
      <c r="L37" s="19" t="inlineStr">
        <is>
          <t>Not documented; his output is identified with Ravi Tandon's direction and R. D. Burman's music.</t>
        </is>
      </c>
      <c r="M37" s="5" t="n"/>
      <c r="N37" s="19" t="inlineStr">
        <is>
          <t>Not independently documented.</t>
        </is>
      </c>
      <c r="O37" s="19" t="inlineStr">
        <is>
          <t>Four films across twenty years, beginning with Khel Khel Mein (1975), the college musical that was among the defining successes of Kapoor's early career, and continuing through Jhoota Kahin Ka, Rahi Badal Gaye and Hum Dono. Three of the four pair him with the director Ravi Tandon and two with R. D. Burman's music, making this one of the stable production units of Kapoor's youth phase.</t>
        </is>
      </c>
      <c r="P37" s="17" t="n">
        <v>4</v>
      </c>
      <c r="Q37" s="5" t="inlineStr">
        <is>
          <t>FILM-006; FILM-025; FILM-047; FILM-105</t>
        </is>
      </c>
      <c r="R37" s="5" t="inlineStr">
        <is>
          <t>Khel Khel Mein (1975)</t>
        </is>
      </c>
      <c r="S37" s="5" t="inlineStr">
        <is>
          <t>Ravi Malhotra produced four Rishi Kapoor films and has no documented biography. What the credits show is a working unit rather than a series of one-off investments: three of his four films with Kapoor were directed by Ravi Tandon, and two were scored by R. D. Burman, the same combination that produced Khel Khel Mein in 1975. That film — a campus comedy of pranks and mistaken death, with Kapoor and Neetu Singh at its centre and a soundtrack that outlasted it — is among the handful that established his youthful persona in the years immediately after Bobby. Jhoota Kahin Ka (1979) and Rahi Badal Gaye (1985) continued the partnership in diminishing form, and Hum Dono followed in 1995. The row is built from film credits alone, and its confidence grade reflects that.</t>
        </is>
      </c>
      <c r="T37" s="5" t="inlineStr">
        <is>
          <t>SOURCE-006; SOURCE-025; SOURCE-047; SOURCE-098</t>
        </is>
      </c>
      <c r="U37" s="5" t="inlineStr">
        <is>
          <t>Low</t>
        </is>
      </c>
    </row>
    <row r="38" ht="169" customHeight="1">
      <c r="A38" s="15" t="inlineStr">
        <is>
          <t>PERSON-037</t>
        </is>
      </c>
      <c r="B38" s="5" t="inlineStr">
        <is>
          <t>Ravi Tandon</t>
        </is>
      </c>
      <c r="C38" s="5" t="inlineStr">
        <is>
          <t>Director</t>
        </is>
      </c>
      <c r="D38" s="17" t="n">
        <v>1935</v>
      </c>
      <c r="E38" s="17" t="n">
        <v>2022</v>
      </c>
      <c r="F38" s="5" t="inlineStr">
        <is>
          <t>1960–1987</t>
        </is>
      </c>
      <c r="G38" s="5" t="inlineStr">
        <is>
          <t>Hindi cinema</t>
        </is>
      </c>
      <c r="H38" s="5" t="inlineStr">
        <is>
          <t>Ravi Tandon (17 February 1935 – 11 February 2022) was an Indian film director and producer, born in Agra, who also worked as an assistant director and story writer. He was the father of the actress Raveena Tandon, and died of respiratory failure in Mumbai at the age of 86.</t>
        </is>
      </c>
      <c r="I38" s="5" t="inlineStr">
        <is>
          <t>Working from 1960; his best-known films include Khel Khel Mein, Anhonee, Majboor, Khud-daar and Nazrana.</t>
        </is>
      </c>
      <c r="J38" s="5" t="inlineStr">
        <is>
          <t>With Kapoor: Khel Khel Mein (1975), Jhoota Kahin Ka (1979), Aan Aur Shaan (1984), Rahi Badal Gaye (1985). Elsewhere, Majboor, Khud-daar and Nazrana (1987), the fifth highest grosser of its year.</t>
        </is>
      </c>
      <c r="K38" s="19" t="inlineStr">
        <is>
          <t>Campus comedy and urban youth romance alongside star-vehicle action drama.</t>
        </is>
      </c>
      <c r="L38" s="19" t="inlineStr">
        <is>
          <t>Light, briskly paced commercial direction with a strong feel for song placement, and a preference for ensembles of young players.</t>
        </is>
      </c>
      <c r="M38" s="5" t="n"/>
      <c r="N38" s="19" t="inlineStr">
        <is>
          <t>A dependable commercial director of the 1970s and 1980s whose Khel Khel Mein helped establish the Hindi campus musical.</t>
        </is>
      </c>
      <c r="O38" s="19" t="inlineStr">
        <is>
          <t>Four films, and the director most responsible for the carefree comic register of Kapoor's youth. Khel Khel Mein (1975) is the key one: a campus comedy with Kapoor, Neetu Singh and Rakesh Roshan, a hit R. D. Burman soundtrack, and a plot driven by a prank that goes wrong. Jhoota Kahin Ka, Aan Aur Shaan and Rahi Badal Gaye followed over the next decade, three of the four produced by Ravi Malhotra. His article lists Khel Khel Mein first among his hits.</t>
        </is>
      </c>
      <c r="P38" s="17" t="n">
        <v>4</v>
      </c>
      <c r="Q38" s="5" t="inlineStr">
        <is>
          <t>FILM-006; FILM-025; FILM-042; FILM-047</t>
        </is>
      </c>
      <c r="R38" s="5" t="inlineStr">
        <is>
          <t>Khel Khel Mein (1975)</t>
        </is>
      </c>
      <c r="S38" s="5" t="inlineStr">
        <is>
          <t>Ravi Tandon directed four Rishi Kapoor films, and the first of them is one of the foundations of his early persona. Born in Agra in 1935 and the father of the actress Raveena Tandon, Tandon worked as an assistant director and story writer before building a career of dependable commercial hits — Anhonee, Majboor, Khud-daar, Nazrana — and his own article names Khel Khel Mein (1975) first among them. That film cast Kapoor, Neetu Singh and Rakesh Roshan as students whose prank spirals into a murder plot, and its R. D. Burman songs did as much as Bobby to fix Kapoor as the singing, flirting college hero. Jhoota Kahin Ka, Aan Aur Shaan and Rahi Badal Gaye followed, three of them produced by Ravi Malhotra, the same unit working repeatedly. Tandon directed until 1987 and died in February 2022.</t>
        </is>
      </c>
      <c r="T38" s="5" t="inlineStr">
        <is>
          <t>SOURCE-187</t>
        </is>
      </c>
      <c r="U38" s="5" t="inlineStr">
        <is>
          <t>High</t>
        </is>
      </c>
    </row>
    <row r="39" ht="199" customHeight="1">
      <c r="A39" s="15" t="inlineStr">
        <is>
          <t>PERSON-038</t>
        </is>
      </c>
      <c r="B39" s="5" t="inlineStr">
        <is>
          <t>Sagar Sarhadi</t>
        </is>
      </c>
      <c r="C39" s="5" t="inlineStr">
        <is>
          <t>Writer</t>
        </is>
      </c>
      <c r="D39" s="17" t="n">
        <v>1933</v>
      </c>
      <c r="E39" s="17" t="n">
        <v>2021</v>
      </c>
      <c r="F39" s="5" t="n"/>
      <c r="G39" s="5" t="inlineStr">
        <is>
          <t>Hindi cinema; Urdu literature and theatre</t>
        </is>
      </c>
      <c r="H39" s="5" t="inlineStr">
        <is>
          <t>Sagar Sarhadi (11 May 1933 – 22 March 2021) was an Indian Urdu short-story writer and playwright who became a film writer, director and producer. Born in Baffa in what is now Pakistan, he was the uncle of the director Ramesh Talwar, and directed the parallel-cinema film Bazaar.</t>
        </is>
      </c>
      <c r="I39" s="5" t="inlineStr">
        <is>
          <t>Became known in films with Yash Chopra's Kabhi Kabhie (1976).</t>
        </is>
      </c>
      <c r="J39" s="5" t="inlineStr">
        <is>
          <t>With Kapoor: Kabhie Kabhie (1976), Doosra Aadmi (1977), Deewana (1992), Karobaar (2000). Elsewhere, Noorie, Silsila, Bazaar and Faasle; his article also lists Chandni (1989) among his credits.</t>
        </is>
      </c>
      <c r="K39" s="19" t="inlineStr">
        <is>
          <t>Adult longing and renunciation; marriages shadowed by earlier loves; the Urdu literary sensibility inside the commercial romance.</t>
        </is>
      </c>
      <c r="L39" s="19" t="inlineStr">
        <is>
          <t>A literary writer of restrained, dialogue-driven romance, working mainly for Yash Chopra and in parallel cinema as a director.</t>
        </is>
      </c>
      <c r="M39" s="5" t="inlineStr">
        <is>
          <t>Lifetime Achievement Award at the International Cultural Artifact Film Festival in 2019.</t>
        </is>
      </c>
      <c r="N39" s="19" t="inlineStr">
        <is>
          <t>One of the writers who gave the 1970s and 1980s Hindi romance its adult register, and a notable Urdu playwright in his own right.</t>
        </is>
      </c>
      <c r="O39" s="19" t="inlineStr">
        <is>
          <t>Four films across twenty-four years, three of them central. He wrote Kabhie Kabhie (1976), the Yash Chopra ensemble about a marriage haunted by a first love, and Doosra Aadmi (1977), in which Kapoor is loved as a dead man's substitute — two films that complicated his new stardom rather than confirming it. Deewana (1992) marked the end of his lead career and Karobaar (2000) came after it. His article records Chandni (1989) among his credits as well, though this workbook's Films row for that film does not list him.</t>
        </is>
      </c>
      <c r="P39" s="17" t="n">
        <v>4</v>
      </c>
      <c r="Q39" s="5" t="inlineStr">
        <is>
          <t>FILM-009; FILM-016; FILM-087; FILM-111</t>
        </is>
      </c>
      <c r="R39" s="5" t="inlineStr">
        <is>
          <t>Doosra Aadmi (1977)</t>
        </is>
      </c>
      <c r="S39" s="5" t="inlineStr">
        <is>
          <t>Sagar Sarhadi wrote the films in which Rishi Kapoor's romanticism was treated as a problem rather than a given. An Urdu short-story writer and playwright born in Baffa in 1933, Sarhadi entered cinema with Yash Chopra's Kabhi Kabhie in 1976 and went on to write Noorie, Silsila and Faasle while directing the parallel-cinema film Bazaar. His two most important films with Kapoor came in consecutive years: Kabhie Kabhie, where the young couple's romance is set against an older marriage's buried history, and Doosra Aadmi, where Kapoor's character is desired as the image of a dead man. Both are about love as repetition and substitution, and both were made at the moment when Kapoor's boyishness was most marketable. He wrote Deewana in 1992, the film that closed Kapoor's leading career, and Karobaar in 2000. Sarhadi received a lifetime achievement award in 2019 and died in March 2021.</t>
        </is>
      </c>
      <c r="T39" s="5" t="inlineStr">
        <is>
          <t>SOURCE-188</t>
        </is>
      </c>
      <c r="U39" s="5" t="inlineStr">
        <is>
          <t>High</t>
        </is>
      </c>
    </row>
    <row r="40" ht="139" customHeight="1">
      <c r="A40" s="15" t="inlineStr">
        <is>
          <t>PERSON-039</t>
        </is>
      </c>
      <c r="B40" s="5" t="inlineStr">
        <is>
          <t>Shankar–Ehsaan–Loy</t>
        </is>
      </c>
      <c r="C40" s="5" t="inlineStr">
        <is>
          <t>Song composer (composing trio)</t>
        </is>
      </c>
      <c r="D40" s="18" t="n"/>
      <c r="E40" s="18" t="n"/>
      <c r="F40" s="5" t="inlineStr">
        <is>
          <t>1997–present</t>
        </is>
      </c>
      <c r="G40" s="5" t="inlineStr">
        <is>
          <t>Hindi cinema; Tamil, Telugu, Malayalam and Marathi cinema</t>
        </is>
      </c>
      <c r="H40" s="5" t="inlineStr">
        <is>
          <t>An Indian composing trio of Shankar Mahadevan, Ehsaan Noorani and Loy Mendonsa, formed in the mid-1990s, who have composed more than fifty soundtracks across six languages. Shankar Mahadevan received the Padma Shri in 2019.</t>
        </is>
      </c>
      <c r="I40" s="5" t="inlineStr">
        <is>
          <t>Composing together from 1997; their breakthrough soundtrack was Dil Chahta Hai (2001).</t>
        </is>
      </c>
      <c r="J40" s="5" t="inlineStr">
        <is>
          <t>With Kapoor: Thoda Pyaar Thoda Magic (2008), Luck by Chance (2009), Patiala House (2011), D-Day (2013). Elsewhere, Dil Chahta Hai, Kal Ho Naa Ho, Kabhi Alvida Naa Kehna, My Name Is Khan and Zindagi Na Milegi Dobara.</t>
        </is>
      </c>
      <c r="K40" s="19" t="inlineStr">
        <is>
          <t>Urban friendship and self-discovery; the ensemble film; fusion of Indian classical and Western popular forms.</t>
        </is>
      </c>
      <c r="L40" s="19" t="inlineStr">
        <is>
          <t>Layered, arrangement-conscious composition that treats a soundtrack as an album, with Mahadevan's classical training audible inside pop structures.</t>
        </is>
      </c>
      <c r="M40" s="5" t="inlineStr">
        <is>
          <t>National Film Awards, Filmfare Awards and IIFA Awards, including the National Film Award for Best Music Direction and a Filmfare Award for Best Music Director.</t>
        </is>
      </c>
      <c r="N40" s="19" t="inlineStr">
        <is>
          <t>The leading composers of the post-2000 urban Hindi film, and the sound of its shift from song-and-dance to soundtrack.</t>
        </is>
      </c>
      <c r="O40" s="19" t="inlineStr">
        <is>
          <t>Four films, all in Kapoor's character-actor phase and all in the new urban cinema that had replaced his own. Their soundtracks accompany him as the eccentric in Thoda Pyaar Thoda Magic, the ageing producer in Luck by Chance — a film explicitly about the film industry's generations — the father in Patiala House and the elder in D-Day. Their article does not mention Kapoor.</t>
        </is>
      </c>
      <c r="P40" s="17" t="n">
        <v>4</v>
      </c>
      <c r="Q40" s="5" t="inlineStr">
        <is>
          <t>FILM-127; FILM-128; FILM-135; FILM-143</t>
        </is>
      </c>
      <c r="R40" s="5" t="inlineStr">
        <is>
          <t>Luck by Chance (2009)</t>
        </is>
      </c>
      <c r="S40" s="5" t="inlineStr">
        <is>
          <t>Shankar–Ehsaan–Loy scored four Rishi Kapoor films, all of them after 2008, and their presence marks how completely the industry around him had changed. The trio of Shankar Mahadevan, Ehsaan Noorani and Loy Mendonsa became the defining composers of post-2000 urban Hindi cinema with Dil Chahta Hai, Kal Ho Naa Ho and Zindagi Na Milegi Dobara, winning National and Filmfare awards and working across six languages. Kapoor appears in their films as a character actor: the oddity in Thoda Pyaar Thoda Magic, the father in Patiala House, the elder statesman in D-Day, and — most pointedly — the washed-up producer Rommy Rolly in Zoya Akhtar's Luck by Chance, a film about how Hindi cinema uses and discards its people. That a 1970s romantic lead should be scored by this trio in such a role is a neat summary of his second career.</t>
        </is>
      </c>
      <c r="T40" s="5" t="inlineStr">
        <is>
          <t>SOURCE-189</t>
        </is>
      </c>
      <c r="U40" s="5" t="inlineStr">
        <is>
          <t>High</t>
        </is>
      </c>
    </row>
    <row r="41" ht="124" customHeight="1">
      <c r="A41" s="15" t="inlineStr">
        <is>
          <t>PERSON-040</t>
        </is>
      </c>
      <c r="B41" s="5" t="inlineStr">
        <is>
          <t>A. R. Rahman</t>
        </is>
      </c>
      <c r="C41" s="5" t="inlineStr">
        <is>
          <t>Song composer</t>
        </is>
      </c>
      <c r="D41" s="17" t="n">
        <v>1967</v>
      </c>
      <c r="E41" s="18" t="n"/>
      <c r="F41" s="5" t="inlineStr">
        <is>
          <t>1992–present</t>
        </is>
      </c>
      <c r="G41" s="5" t="inlineStr">
        <is>
          <t>Tamil cinema; Hindi cinema; international</t>
        </is>
      </c>
      <c r="H41" s="5" t="inlineStr">
        <is>
          <t>A. R. Rahman, born A. S. Dileep Kumar, is an Indian composer whose film career began with the Tamil film Roja in the early 1990s and who works from his own studio, Panchathan Record Inn. He received the Padma Bhushan in 2010 and an honorary doctorate from Berklee College of Music in 2014.</t>
        </is>
      </c>
      <c r="I41" s="5" t="inlineStr">
        <is>
          <t>Roja (1992), followed by Gentleman, Kaadhalan, Thiruda Thiruda and Bombay.</t>
        </is>
      </c>
      <c r="J41" s="5" t="inlineStr">
        <is>
          <t>With Kapoor: Tehzeeb (2003), Delhi-6 (2009), Jab Tak Hai Jaan (2012). Elsewhere, Roja, Bombay, Lagaan, Slumdog Millionaire and Rang De Basanti.</t>
        </is>
      </c>
      <c r="K41" s="19" t="inlineStr">
        <is>
          <t>Fusion of Indian classical and devotional forms with electronica and world music; the soundtrack as a standalone album.</t>
        </is>
      </c>
      <c r="L41" s="19" t="inlineStr">
        <is>
          <t>Studio-centred composition built on layered arrangement and unconventional voices, often recorded over long periods and treated as an album rather than a set of cues.</t>
        </is>
      </c>
      <c r="M41" s="5" t="inlineStr">
        <is>
          <t>Two Academy Awards for Slumdog Millionaire (Best Original Score and Best Original Song for 'Jai Ho') at the 81st ceremony, two Grammy Awards in 2010, the BMI Award for Couples Retreat, the Padma Bhushan in 2010, and numerous National Film Awards.</t>
        </is>
      </c>
      <c r="N41" s="19" t="inlineStr">
        <is>
          <t>The most internationally recognised Indian film composer, and the figure who changed how Hindi and Tamil soundtracks are recorded and sold.</t>
        </is>
      </c>
      <c r="O41" s="19" t="inlineStr">
        <is>
          <t>Three films, all in Kapoor's character-actor phase and all for directors of a newer generation: Khalid Mohamed's Tehzeeb (2003), Rakeysh Omprakash Mehra's Delhi-6 (2009), and Yash Chopra's final film Jab Tak Hai Jaan (2012). None is a Kapoor vehicle; in each he is a supporting presence inside an ensemble. His article does not mention Kapoor.</t>
        </is>
      </c>
      <c r="P41" s="17" t="n">
        <v>3</v>
      </c>
      <c r="Q41" s="5" t="inlineStr">
        <is>
          <t>FILM-117; FILM-129; FILM-140</t>
        </is>
      </c>
      <c r="R41" s="5" t="inlineStr">
        <is>
          <t>Delhi-6 (2009)</t>
        </is>
      </c>
      <c r="S41" s="5" t="inlineStr">
        <is>
          <t>A. R. Rahman scored three films in which Rishi Kapoor appears, all of them after 2003 and none of them his. Born A. S. Dileep Kumar, Rahman transformed Indian film music from Roja onwards, working out of his own Chennai studio and treating the soundtrack as an album; he won two Academy Awards and two Grammys for Slumdog Millionaire, received the Padma Bhushan in 2010 and an honorary Berklee doctorate in 2014. His Kapoor films are Tehzeeb, in which Kapoor plays a dying patriarch; Delhi-6, where he is a neighbourhood elder in Rakeysh Omprakash Mehra's Chandni Chowk ensemble; and Jab Tak Hai Jaan, Yash Chopra's last film. The pairing is a marker of era rather than of partnership: the composer who defined Indian film music after 1992 encountered Kapoor only once the actor had become a character player.</t>
        </is>
      </c>
      <c r="T41" s="5" t="inlineStr">
        <is>
          <t>SOURCE-190</t>
        </is>
      </c>
      <c r="U41" s="5" t="inlineStr">
        <is>
          <t>High</t>
        </is>
      </c>
    </row>
    <row r="42" ht="124" customHeight="1">
      <c r="A42" s="15" t="inlineStr">
        <is>
          <t>PERSON-041</t>
        </is>
      </c>
      <c r="B42" s="5" t="inlineStr">
        <is>
          <t>Amaal Mallik</t>
        </is>
      </c>
      <c r="C42" s="5" t="inlineStr">
        <is>
          <t>Song composer</t>
        </is>
      </c>
      <c r="D42" s="17" t="n">
        <v>1990</v>
      </c>
      <c r="E42" s="18" t="n"/>
      <c r="F42" s="5" t="inlineStr">
        <is>
          <t>2014–present</t>
        </is>
      </c>
      <c r="G42" s="5" t="inlineStr">
        <is>
          <t>Hindi cinema</t>
        </is>
      </c>
      <c r="H42" s="5" t="inlineStr">
        <is>
          <t>Amaal Mallik (born 16 June 1990) is an Indian music director, composer and singer working primarily in Hindi cinema. He is a grandson of the composer Sardar Malik, a nephew of Anu Malik and a brother of the singer Armaan Malik.</t>
        </is>
      </c>
      <c r="I42" s="5" t="inlineStr">
        <is>
          <t>Jai Ho (2014); wider recognition came with 'Sooraj Dooba Hain' in 2015.</t>
        </is>
      </c>
      <c r="J42" s="5" t="inlineStr">
        <is>
          <t>With Kapoor: All Is Well (2015), Sanam Re (2016), Kapoor &amp; Sons (2016). Elsewhere, Airlift, Badrinath Ki Dulhania, Golmaal Again and Kabir Singh.</t>
        </is>
      </c>
      <c r="K42" s="19" t="inlineStr">
        <is>
          <t>Contemporary romantic pop for the urban Hindi film, and the non-film single.</t>
        </is>
      </c>
      <c r="L42" s="19" t="inlineStr">
        <is>
          <t>Melodic pop composition with heavy use of guest singers, written as much for streaming and radio as for a film's narrative.</t>
        </is>
      </c>
      <c r="M42" s="5" t="inlineStr">
        <is>
          <t>Several Mirchi Music and IIFA awards, and a Filmfare nomination for Best Music Director shared with Tanishk Bagchi and Akhil Sachdeva.</t>
        </is>
      </c>
      <c r="N42" s="19" t="inlineStr">
        <is>
          <t>One of the principal composers of the 2010s Hindi film song, a period in which soundtracks were increasingly assembled from several composers.</t>
        </is>
      </c>
      <c r="O42" s="19" t="inlineStr">
        <is>
          <t>Three films in two years at the very end of the career, all of them ensembles in which Kapoor plays an elder: All Is Well (2015), Sanam Re (2016) and Kapoor &amp; Sons (2016), the last his most admired late performance. His article does not mention Kapoor.</t>
        </is>
      </c>
      <c r="P42" s="17" t="n">
        <v>3</v>
      </c>
      <c r="Q42" s="5" t="inlineStr">
        <is>
          <t>FILM-148; FILM-151; FILM-152</t>
        </is>
      </c>
      <c r="R42" s="5" t="inlineStr">
        <is>
          <t>Kapoor &amp; Sons (2016)</t>
        </is>
      </c>
      <c r="S42" s="5" t="inlineStr">
        <is>
          <t>Amaal Mallik is the youngest composer in this filmography, and his three credits all come in Rishi Kapoor's final decade. Born in 1990 into the Malik family of composers — grandson of Sardar Malik, nephew of Anu Malik, brother of Armaan Malik — he debuted with Jai Ho in 2014 and became one of the busiest composers of the following years, working in the fragmented manner of 2010s Hindi soundtracks where several composers share one film. He wrote songs for All Is Well and Sanam Re, both mediocre vehicles in which Kapoor plays a father, and for Kapoor &amp; Sons, where Kapoor's ninety-year-old patriarch under heavy prosthetics drew the best reviews of his late career. That a composer born after Kapoor's lead career ended should score his last substantial ensemble is a measure of how long that second career ran.</t>
        </is>
      </c>
      <c r="T42" s="5" t="inlineStr">
        <is>
          <t>SOURCE-191</t>
        </is>
      </c>
      <c r="U42" s="5" t="inlineStr">
        <is>
          <t>High</t>
        </is>
      </c>
    </row>
    <row r="43" ht="124" customHeight="1">
      <c r="A43" s="15" t="inlineStr">
        <is>
          <t>PERSON-042</t>
        </is>
      </c>
      <c r="B43" s="5" t="inlineStr">
        <is>
          <t>Bhushan Kumar</t>
        </is>
      </c>
      <c r="C43" s="5" t="inlineStr">
        <is>
          <t>Producer</t>
        </is>
      </c>
      <c r="D43" s="17" t="n">
        <v>1977</v>
      </c>
      <c r="E43" s="18" t="n"/>
      <c r="F43" s="5" t="inlineStr">
        <is>
          <t>1996–present</t>
        </is>
      </c>
      <c r="G43" s="5" t="inlineStr">
        <is>
          <t>Hindi cinema; Indian music industry</t>
        </is>
      </c>
      <c r="H43" s="5" t="inlineStr">
        <is>
          <t>Bhushan Kumar Dua (born 27 November 1977) is an Indian film and music producer, chairman and managing director of Super Cassettes Industries Limited, better known as T-Series. He is the son of the company's founder Gulshan Kumar.</t>
        </is>
      </c>
      <c r="I43" s="5" t="inlineStr">
        <is>
          <t>Took over T-Series after his father's murder in 1997 and built it into a dominant film producer as well as a music label.</t>
        </is>
      </c>
      <c r="J43" s="5" t="inlineStr">
        <is>
          <t>With Kapoor: Patiala House (2011), All Is Well (2015), Sanam Re (2016). Elsewhere, a large slate of T-Series productions across the 2010s.</t>
        </is>
      </c>
      <c r="K43" s="19" t="inlineStr">
        <is>
          <t>Music-led production: films commissioned partly to generate soundtrack catalogue.</t>
        </is>
      </c>
      <c r="L43" s="19" t="inlineStr">
        <is>
          <t>A volume producer whose film and music businesses reinforce each other, with soundtracks typically split among several composers.</t>
        </is>
      </c>
      <c r="M43" s="5" t="n"/>
      <c r="N43" s="19" t="inlineStr">
        <is>
          <t>Head of the company that became both India's largest music label and one of its most prolific film producers.</t>
        </is>
      </c>
      <c r="O43" s="19" t="inlineStr">
        <is>
          <t>Three films, all late supporting roles and all T-Series productions scored by multiple composers — Patiala House (2011), All Is Well (2015) and Sanam Re (2016). The pattern shows how Kapoor's final decade was spent partly inside a music-industry production model rather than with individual filmmakers. His article does not mention Kapoor.</t>
        </is>
      </c>
      <c r="P43" s="17" t="n">
        <v>3</v>
      </c>
      <c r="Q43" s="5" t="inlineStr">
        <is>
          <t>FILM-135; FILM-148; FILM-151</t>
        </is>
      </c>
      <c r="R43" s="5" t="inlineStr">
        <is>
          <t>Patiala House (2011)</t>
        </is>
      </c>
      <c r="S43" s="5" t="inlineStr">
        <is>
          <t>Bhushan Kumar produced three of Rishi Kapoor's late films. The son of Gulshan Kumar, the founder of T-Series who was murdered in 1997, he took over Super Cassettes Industries and turned it into both India's largest music company and one of Hindi cinema's most prolific film producers, with a slate built around soundtrack catalogue as much as story. Kapoor appears in Patiala House as the domineering London patriarch opposing his son's cricket career — one of his better late parts — and in All Is Well and Sanam Re as a father in weaker films. The association is institutional rather than personal: all three were cast and scored through the same production machinery, each soundtrack divided among several composers, which is characteristic of the system Kapoor worked in after 2010 and quite unlike the composer-and-director partnerships of his youth.</t>
        </is>
      </c>
      <c r="T43" s="5" t="inlineStr">
        <is>
          <t>SOURCE-192</t>
        </is>
      </c>
      <c r="U43" s="5" t="inlineStr">
        <is>
          <t>High</t>
        </is>
      </c>
    </row>
    <row r="44" ht="124" customHeight="1">
      <c r="A44" s="15" t="inlineStr">
        <is>
          <t>PERSON-043</t>
        </is>
      </c>
      <c r="B44" s="5" t="inlineStr">
        <is>
          <t>Himesh Reshammiya</t>
        </is>
      </c>
      <c r="C44" s="5" t="inlineStr">
        <is>
          <t>Song composer</t>
        </is>
      </c>
      <c r="D44" s="17" t="n">
        <v>1973</v>
      </c>
      <c r="E44" s="18" t="n"/>
      <c r="F44" s="5" t="inlineStr">
        <is>
          <t>1998–present</t>
        </is>
      </c>
      <c r="G44" s="5" t="inlineStr">
        <is>
          <t>Hindi cinema</t>
        </is>
      </c>
      <c r="H44" s="5" t="inlineStr">
        <is>
          <t>Himesh Reshammiya (born 23 July 1973) is an Indian composer, playback singer, songwriter, producer and actor with over 1,300 credited songs. He began as a composer with Pyaar Kiya To Darna Kya (1998) and made his acting debut with Aap Kaa Surroor (2007).</t>
        </is>
      </c>
      <c r="I44" s="5" t="inlineStr">
        <is>
          <t>Composing from Pyaar Kiya To Darna Kya (1998); his singing breakthrough was 'Aashiq Banaya Aapne' (2005).</t>
        </is>
      </c>
      <c r="J44" s="5" t="inlineStr">
        <is>
          <t>With Kapoor: Yeh Hai Jalwa (2002), Namastey London (2007), All Is Well (2015). Elsewhere, Tere Naam, Aashiq Banaya Aapne and Namastey London.</t>
        </is>
      </c>
      <c r="K44" s="19" t="inlineStr">
        <is>
          <t>Nasal-voiced romantic pop, the title-song hook, and the composer as performer.</t>
        </is>
      </c>
      <c r="L44" s="19" t="inlineStr">
        <is>
          <t>Immediately identifiable melodic pop, usually sung by himself, built around a single repeated hook.</t>
        </is>
      </c>
      <c r="M44" s="5" t="inlineStr">
        <is>
          <t>Filmfare Award for Best Male Playback Singer in 2006 for 'Aashiq Banaya Aapne', with a Filmfare nomination for Best Music Direction.</t>
        </is>
      </c>
      <c r="N44" s="19" t="inlineStr">
        <is>
          <t>One of the defining and most imitated popular voices of mid-2000s Hindi film music.</t>
        </is>
      </c>
      <c r="O44" s="19" t="inlineStr">
        <is>
          <t>Three films across thirteen years, each with Kapoor in a supporting role: the David Dhawan comedy Yeh Hai Jalwa (2002), the diaspora romance Namastey London (2007), in which he plays the Punjabi father, and All Is Well (2015). His article does not mention Kapoor.</t>
        </is>
      </c>
      <c r="P44" s="17" t="n">
        <v>3</v>
      </c>
      <c r="Q44" s="5" t="inlineStr">
        <is>
          <t>FILM-114; FILM-123; FILM-148</t>
        </is>
      </c>
      <c r="R44" s="5" t="inlineStr">
        <is>
          <t>Namastey London (2007)</t>
        </is>
      </c>
      <c r="S44" s="5" t="inlineStr">
        <is>
          <t>Himesh Reshammiya scored three films in which Rishi Kapoor plays a father. A composer from 1998 and later one of the most recognisable singers in India, with more than 1,300 credited songs and a Filmfare Award for 'Aashiq Banaya Aapne', Reshammiya belongs to the period when a soundtrack's commercial identity could rest on a composer's own voice. His films with Kapoor are Yeh Hai Jalwa, a David Dhawan comedy in which Kapoor is the older generation; Namastey London, where his Punjabi father insisting on an Indian marriage for his British daughter is one of the most widely seen performances of his late career; and All Is Well. The relationship is characteristic of Kapoor's second act — employed as the paternal figure in films whose music, marketing and youth appeal belonged entirely to other people.</t>
        </is>
      </c>
      <c r="T44" s="5" t="inlineStr">
        <is>
          <t>SOURCE-193</t>
        </is>
      </c>
      <c r="U44" s="5" t="inlineStr">
        <is>
          <t>High</t>
        </is>
      </c>
    </row>
    <row r="45" ht="169" customHeight="1">
      <c r="A45" s="15" t="inlineStr">
        <is>
          <t>PERSON-044</t>
        </is>
      </c>
      <c r="B45" s="5" t="inlineStr">
        <is>
          <t>Hiroo Yash Johar</t>
        </is>
      </c>
      <c r="C45" s="5" t="inlineStr">
        <is>
          <t>Producer</t>
        </is>
      </c>
      <c r="D45" s="18" t="n"/>
      <c r="E45" s="18" t="n"/>
      <c r="F45" s="5" t="n"/>
      <c r="G45" s="5" t="inlineStr">
        <is>
          <t>Hindi cinema</t>
        </is>
      </c>
      <c r="H45" s="5" t="inlineStr">
        <is>
          <t>An Indian film producer and the co-head of Dharma Productions, who has no Wikipedia article of her own. The articles on her husband Yash Johar and her son Karan Johar record that she married Yash Johar in 1971, that she is a sister of the filmmaker Yash Chopra, and that Karan Johar — who named his daughter after her — was born in 1972.</t>
        </is>
      </c>
      <c r="I45" s="5" t="n"/>
      <c r="J45" s="5" t="inlineStr">
        <is>
          <t>With Kapoor: Agneepath (2012), Student of the Year (2012), Kapoor &amp; Sons (2016). Elsewhere, she is credited as producer on the Dharma Productions slate from the 2000s onward.</t>
        </is>
      </c>
      <c r="K45" s="19" t="inlineStr">
        <is>
          <t>The Dharma house style: family, friendship and glossy urban romance.</t>
        </is>
      </c>
      <c r="L45" s="19" t="inlineStr">
        <is>
          <t>A producer working alongside her son on the company her husband founded, with credits across its entire modern output.</t>
        </is>
      </c>
      <c r="M45" s="5" t="n"/>
      <c r="N45" s="19" t="inlineStr">
        <is>
          <t>Co-head of one of the two dominant family studios of contemporary Hindi cinema, and a connecting figure between the Johar and Chopra families.</t>
        </is>
      </c>
      <c r="O45" s="19" t="inlineStr">
        <is>
          <t>Three films, all Dharma productions of Kapoor's late period, and all among its strongest: Agneepath (2012), where he plays Rauf Lala, Student of the Year (2012), where he is the dean, and Kapoor &amp; Sons (2016), where he plays the ninety-year-old grandfather. Her family connections place her at the centre of this filmography's institutions — sister to Yash Chopra, whose banner employed Kapoor eleven times, and co-producer of the Dharma films that remade his late career.</t>
        </is>
      </c>
      <c r="P45" s="17" t="n">
        <v>3</v>
      </c>
      <c r="Q45" s="5" t="inlineStr">
        <is>
          <t>FILM-137; FILM-139; FILM-152</t>
        </is>
      </c>
      <c r="R45" s="5" t="inlineStr">
        <is>
          <t>Kapoor &amp; Sons (2016)</t>
        </is>
      </c>
      <c r="S45" s="5" t="inlineStr">
        <is>
          <t>Hiroo Yash Johar co-produced the three Dharma Productions films that gave Rishi Kapoor his best late roles, and she has no Wikipedia article of her own. What is documented, through the articles on her husband and son, is that she married Yash Johar in 1971, that she is the sister of Yash Chopra, and that her son Karan Johar was born the following year and later named his daughter after her. Her credits with Kapoor are Agneepath, in which he plays the brothel-keeper Rauf Lala; Student of the Year, where he is the college dean; and Kapoor &amp; Sons, where he plays a mischievous ninety-year-old under prosthetics. Her family position is worth stating plainly: the two production houses that account for most of Kapoor's work across fifty years, Yash Raj Films and Dharma Productions, were run by her brother and by her husband and son.</t>
        </is>
      </c>
      <c r="T45" s="5" t="inlineStr">
        <is>
          <t>SOURCE-129; SOURCE-131; SOURCE-144; SOURCE-194</t>
        </is>
      </c>
      <c r="U45" s="5" t="inlineStr">
        <is>
          <t>Medium</t>
        </is>
      </c>
    </row>
    <row r="46" ht="169" customHeight="1">
      <c r="A46" s="15" t="inlineStr">
        <is>
          <t>PERSON-045</t>
        </is>
      </c>
      <c r="B46" s="5" t="inlineStr">
        <is>
          <t>Honey Irani</t>
        </is>
      </c>
      <c r="C46" s="5" t="inlineStr">
        <is>
          <t>Writer</t>
        </is>
      </c>
      <c r="D46" s="18" t="n"/>
      <c r="E46" s="18" t="n"/>
      <c r="F46" s="5" t="n"/>
      <c r="G46" s="5" t="inlineStr">
        <is>
          <t>Hindi cinema</t>
        </is>
      </c>
      <c r="H46" s="5" t="inlineStr">
        <is>
          <t>Honey Irani is an Indian actress and screenwriter who began as a child actor in films including Pyar Ki Pyas, Chirag Kahan Roshni Kahan and Bombay Ka Chor, and turned to screenwriting as an adult. She was married to Javed Akhtar; their children are the filmmakers Farhan Akhtar and Zoya Akhtar. Her sister is the actress Daisy Irani.</t>
        </is>
      </c>
      <c r="I46" s="5" t="inlineStr">
        <is>
          <t>Child actor from the late 1950s; established as a screenwriter from the early 1990s.</t>
        </is>
      </c>
      <c r="J46" s="5" t="inlineStr">
        <is>
          <t>With Kapoor: Anmol (1993), Pehla Pehla Pyar (1994), Prem Yog (1994). Elsewhere, Lamhe, Aaina, Kya Kehna and Kaho Naa... Pyaar Hai.</t>
        </is>
      </c>
      <c r="K46" s="19" t="inlineStr">
        <is>
          <t>Women's choices inside family constraint; the romantic melodrama written from the woman's side.</t>
        </is>
      </c>
      <c r="L46" s="19" t="inlineStr">
        <is>
          <t>A screenwriter of emotionally driven mainstream drama, frequently centred on a female protagonist's decision.</t>
        </is>
      </c>
      <c r="M46" s="5" t="inlineStr">
        <is>
          <t>Filmfare Award for Best Story, won again for Kya Kehna, and the Filmfare Award for Best Screenplay shared with Ravi Kapoor for Kaho Naa... Pyaar Hai.</t>
        </is>
      </c>
      <c r="N46" s="19" t="inlineStr">
        <is>
          <t>One of the few women writing mainstream Hindi screenplays in the 1990s, and the matriarch of the Akhtar filmmaking family.</t>
        </is>
      </c>
      <c r="O46" s="19" t="inlineStr">
        <is>
          <t>Three films in two years, 1993–94, at the close of Kapoor's lead career: Anmol, Pehla Pehla Pyar and Prem Yog, all romances written to a persona that was no longer selling. Her connection to this filmography is wider than the credits: her sister Daisy Irani was married to K. K. Shukla, one of Kapoor's most frequent writers, and the Ravi Kapoor with whom she shared a Filmfare Award is probably the writer of five other Kapoor films.</t>
        </is>
      </c>
      <c r="P46" s="17" t="n">
        <v>3</v>
      </c>
      <c r="Q46" s="5" t="inlineStr">
        <is>
          <t>FILM-096; FILM-101; FILM-102</t>
        </is>
      </c>
      <c r="R46" s="5" t="inlineStr">
        <is>
          <t>Anmol (1993)</t>
        </is>
      </c>
      <c r="S46" s="5" t="inlineStr">
        <is>
          <t>Honey Irani wrote three Rishi Kapoor films at the point when his romantic lead was ending. A child actress of the late 1950s and 1960s who became one of the few women writing mainstream Hindi screenplays, she won the Filmfare Award for Best Story twice and shared the Best Screenplay award with Ravi Kapoor for Kaho Naa... Pyaar Hai. Her Kapoor credits — Anmol, Pehla Pehla Pyar and Prem Yog, all from 1993 and 1994 — are romances built on his established image, made when audiences had moved to younger actors. Her family threads through this filmography more widely than her three credits suggest: she was married to Javed Akhtar, who has four credits of his own here; her children are Farhan and Zoya Akhtar, both of whom later employed Kapoor; and her sister Daisy was the wife of the screenwriter K. K. Shukla.</t>
        </is>
      </c>
      <c r="T46" s="5" t="inlineStr">
        <is>
          <t>SOURCE-195</t>
        </is>
      </c>
      <c r="U46" s="5" t="inlineStr">
        <is>
          <t>High</t>
        </is>
      </c>
    </row>
    <row r="47" ht="124" customHeight="1">
      <c r="A47" s="15" t="inlineStr">
        <is>
          <t>PERSON-046</t>
        </is>
      </c>
      <c r="B47" s="5" t="inlineStr">
        <is>
          <t>Javed Siddiqui</t>
        </is>
      </c>
      <c r="C47" s="5" t="inlineStr">
        <is>
          <t>Writer</t>
        </is>
      </c>
      <c r="D47" s="17" t="n">
        <v>1942</v>
      </c>
      <c r="E47" s="18" t="n"/>
      <c r="F47" s="5" t="inlineStr">
        <is>
          <t>1977–present</t>
        </is>
      </c>
      <c r="G47" s="5" t="inlineStr">
        <is>
          <t>Hindi and Urdu cinema; Urdu theatre and literature</t>
        </is>
      </c>
      <c r="H47" s="5" t="inlineStr">
        <is>
          <t>Javed Siddiqui (born 13 January 1942) is a Hindi and Urdu screenwriter, dialogue writer and playwright who has written more than fifty storylines, screenplays and dialogue scripts. He has worked with directors from Satyajit Ray and Shyam Benegal to Yash Chopra and Subhash Ghai, and writes for Urdu theatre.</t>
        </is>
      </c>
      <c r="I47" s="5" t="inlineStr">
        <is>
          <t>Writing for films from 1977, beginning with Satyajit Ray's Shatranj Ke Khilari.</t>
        </is>
      </c>
      <c r="J47" s="5" t="inlineStr">
        <is>
          <t>With Kapoor: Allah Rakha (1986), Tehzeeb (2003), Sadiyaan (2010). Elsewhere, Umrao Jaan, Mammo, Fiza, Zubeidaa, Baazigar and Dilwale Dulhania Le Jayenge.</t>
        </is>
      </c>
      <c r="K47" s="19" t="inlineStr">
        <is>
          <t>Muslim social milieu and Urdu idiom; the woman's story inside a conservative setting; and, in parallel, commercial masala dialogue.</t>
        </is>
      </c>
      <c r="L47" s="19" t="inlineStr">
        <is>
          <t>A writer equally employable in art and commercial cinema, valued for Urdu dialogue of unusual literary quality.</t>
        </is>
      </c>
      <c r="M47" s="5" t="inlineStr">
        <is>
          <t>Two Filmfare Awards, two Star Screen Awards and a BFJA Award.</t>
        </is>
      </c>
      <c r="N47" s="19" t="inlineStr">
        <is>
          <t>One of the last major Urdu-trained dialogue writers of Hindi cinema, working across parallel and mainstream film for four decades.</t>
        </is>
      </c>
      <c r="O47" s="19" t="inlineStr">
        <is>
          <t>Three films across twenty-four years, in three different registers: the masala multi-starrer Allah Rakha (1986), Khalid Mohamed's Tehzeeb (2003), where Kapoor plays a dying patriarch in a Muslim-social setting that is Siddiqui's own territory, and the partition romance Sadiyaan (2010). His article does not mention Kapoor.</t>
        </is>
      </c>
      <c r="P47" s="17" t="n">
        <v>3</v>
      </c>
      <c r="Q47" s="5" t="inlineStr">
        <is>
          <t>FILM-053; FILM-117; FILM-133</t>
        </is>
      </c>
      <c r="R47" s="5" t="inlineStr">
        <is>
          <t>Tehzeeb (2003)</t>
        </is>
      </c>
      <c r="S47" s="5" t="inlineStr">
        <is>
          <t>Javed Siddiqui wrote three Rishi Kapoor films, and they are unusually far apart in time and kind. Born in 1942, Siddiqui is among the last of Hindi cinema's Urdu-trained dialogue writers, with more than fifty films to his name and a career that ran simultaneously through parallel cinema — Satyajit Ray's Shatranj Ke Khilari, Umrao Jaan, Mammo, Zubeidaa — and the commercial mainstream, including Baazigar and Dilwale Dulhania Le Jayenge. He won two Filmfare Awards and continues to write for Urdu theatre. For Kapoor he wrote the masala ensemble Allah Rakha in 1986; then, seventeen years later, Tehzeeb, in which Kapoor plays the ailing father in a family drama set in precisely the Muslim-social world Siddiqui knows best; and finally the partition-era romance Sadiyaan in 2010.</t>
        </is>
      </c>
      <c r="T47" s="5" t="inlineStr">
        <is>
          <t>SOURCE-196</t>
        </is>
      </c>
      <c r="U47" s="5" t="inlineStr">
        <is>
          <t>High</t>
        </is>
      </c>
    </row>
    <row r="48" ht="154" customHeight="1">
      <c r="A48" s="15" t="inlineStr">
        <is>
          <t>PERSON-047</t>
        </is>
      </c>
      <c r="B48" s="5" t="inlineStr">
        <is>
          <t>K. Ravi Shankar</t>
        </is>
      </c>
      <c r="C48" s="5" t="inlineStr">
        <is>
          <t>Director; Producer</t>
        </is>
      </c>
      <c r="D48" s="18" t="n"/>
      <c r="E48" s="18" t="n"/>
      <c r="F48" s="5" t="n"/>
      <c r="G48" s="5" t="inlineStr">
        <is>
          <t>Hindi cinema</t>
        </is>
      </c>
      <c r="H48" s="5" t="inlineStr">
        <is>
          <t>K. Ravi Shankar, born Krishnamoorthy Ravi Shankar, is an Indian film director best known for his Hindi films of the late 1980s and early 1990s. He also produced several films, including Swarag Se Sunder (1986) and Gharana (1989), and launched Govinda in Dariya Dil (1988) and Shilpa Shetty in Aag (1994).</t>
        </is>
      </c>
      <c r="I48" s="5" t="inlineStr">
        <is>
          <t>Directing from the mid-1980s; his films with Kapoor begin with Sindoor (1987).</t>
        </is>
      </c>
      <c r="J48" s="5" t="inlineStr">
        <is>
          <t>With Kapoor: Sindoor (1987), Gharana (1989), Sadhna (1993). Elsewhere, Dariya Dil, Benaam Badsha, Apradhi, Meherbaan and Aag.</t>
        </is>
      </c>
      <c r="K48" s="19" t="inlineStr">
        <is>
          <t>Family melodrama of honour, sacrifice and restored respectability, usually with a large star cast.</t>
        </is>
      </c>
      <c r="L48" s="19" t="inlineStr">
        <is>
          <t>Mid-budget melodrama assembled around songs and confrontation scenes, and a habit of casting newcomers alongside established stars.</t>
        </is>
      </c>
      <c r="M48" s="5" t="n"/>
      <c r="N48" s="19" t="inlineStr">
        <is>
          <t>A dependable commercial director of the late 1980s, notable for launching Govinda and Shilpa Shetty.</t>
        </is>
      </c>
      <c r="O48" s="19" t="inlineStr">
        <is>
          <t>Three films, and one of them is among the more interesting of the period: Gharana (1989), in which Kapoor's character appears mercenary — renouncing one woman and marrying another for dowry money — precisely because he is sacrificing himself, an inversion of the lover-boy pattern. Sindoor (1987) preceded it and Sadhna (1993) followed. The Sadhna credit comes from this director's own article, since the film has none of its own.</t>
        </is>
      </c>
      <c r="P48" s="17" t="n">
        <v>3</v>
      </c>
      <c r="Q48" s="5" t="inlineStr">
        <is>
          <t>FILM-061; FILM-068; FILM-091</t>
        </is>
      </c>
      <c r="R48" s="5" t="inlineStr">
        <is>
          <t>Gharana (1989)</t>
        </is>
      </c>
      <c r="S48" s="5" t="inlineStr">
        <is>
          <t>K. Ravi Shankar directed three Rishi Kapoor films in the stretch when Kapoor's vehicles had become mid-budget melodramas. Born Krishnamoorthy Ravi Shankar, he was a reliable commercial director of the late 1980s and early 1990s who also produced, and who launched Govinda in Dariya Dil and Shilpa Shetty in Aag. Sindoor (1987) and Gharana (1989) both gave Kapoor roles built on renunciation rather than courtship; in Gharana he plays a man who abandons the woman he loves and marries for dowry money, and whose apparent mercenariness is revealed as sacrifice — a deliberate inversion of the persona Bobby had established. Sadhna (1993) is the third, and is one of six films in this filmography with no Wikipedia article of its own; its director credit is recovered from Shankar's article, whose filmography list is unlabelled, so the attribution is recorded at Medium confidence.</t>
        </is>
      </c>
      <c r="T48" s="5" t="inlineStr">
        <is>
          <t>SOURCE-169</t>
        </is>
      </c>
      <c r="U48" s="5" t="inlineStr">
        <is>
          <t>Medium</t>
        </is>
      </c>
    </row>
    <row r="49" ht="154" customHeight="1">
      <c r="A49" s="15" t="inlineStr">
        <is>
          <t>PERSON-048</t>
        </is>
      </c>
      <c r="B49" s="5" t="inlineStr">
        <is>
          <t>Karan Johar</t>
        </is>
      </c>
      <c r="C49" s="5" t="inlineStr">
        <is>
          <t>Director; Producer; Writer</t>
        </is>
      </c>
      <c r="D49" s="17" t="n">
        <v>1972</v>
      </c>
      <c r="E49" s="18" t="n"/>
      <c r="F49" s="5" t="inlineStr">
        <is>
          <t>1989–present</t>
        </is>
      </c>
      <c r="G49" s="5" t="inlineStr">
        <is>
          <t>Hindi cinema</t>
        </is>
      </c>
      <c r="H49" s="5" t="inlineStr">
        <is>
          <t>Karan Johar, born Rahul Kumar Johar on 25 May 1972, is an Indian filmmaker, producer and television personality, the son of the producer Yash Johar and of Hiroo Yash Johar. He has run Dharma Productions since 2004 and has launched the careers of numerous actors and directors.</t>
        </is>
      </c>
      <c r="I49" s="5" t="inlineStr">
        <is>
          <t>Directorial debut Kuch Kuch Hota Hai (1998), which won the National Film Award for Best Popular Film and the Filmfare Awards for Best Director and Best Screenplay.</t>
        </is>
      </c>
      <c r="J49" s="5" t="inlineStr">
        <is>
          <t>With Kapoor: Agneepath (2012), Student of the Year (2012), Kapoor &amp; Sons (2016). Elsewhere, Kuch Kuch Hota Hai, Kabhi Khushi Kabhie Gham, My Name Is Khan, Raazi and Shershaah.</t>
        </is>
      </c>
      <c r="K49" s="19" t="inlineStr">
        <is>
          <t>Family reconciliation, friendship and the diaspora; glamour as a moral setting; and, latterly, the youth ensemble.</t>
        </is>
      </c>
      <c r="L49" s="19" t="inlineStr">
        <is>
          <t>High-gloss studio filmmaking with an emphasis on star image, music and emotional set pieces, and an unusually active role in casting new actors.</t>
        </is>
      </c>
      <c r="M49" s="5" t="inlineStr">
        <is>
          <t>Four National Film Awards and eight Filmfare Awards; the Padma Shri in 2020.</t>
        </is>
      </c>
      <c r="N49" s="19" t="inlineStr">
        <is>
          <t>The most visible producer-director of contemporary Hindi cinema and the architect of Dharma's second life as a star-making studio.</t>
        </is>
      </c>
      <c r="O49" s="19" t="inlineStr">
        <is>
          <t>Three films, as director of Student of the Year (2012), in which Kapoor plays the college dean, and as producer of Agneepath (2012) and Kapoor &amp; Sons (2016), the two strongest performances of his late career. Johar's own article records that he launched three debutant actors in Student of the Year, and the use of Kapoor as its senior presence is part of the same calculation: a veteran to anchor a cast of newcomers.</t>
        </is>
      </c>
      <c r="P49" s="17" t="n">
        <v>3</v>
      </c>
      <c r="Q49" s="5" t="inlineStr">
        <is>
          <t>FILM-137; FILM-139; FILM-152</t>
        </is>
      </c>
      <c r="R49" s="5" t="inlineStr">
        <is>
          <t>Kapoor &amp; Sons (2016)</t>
        </is>
      </c>
      <c r="S49" s="5" t="inlineStr">
        <is>
          <t>Karan Johar gave Rishi Kapoor three of his last significant roles, one as director and two as producer. Born in 1972 to Yash and Hiroo Johar, Johar took over Dharma Productions after his father's death in 2004 and became the most conspicuous producer-director in Hindi cinema, a four-time National Film Award and eight-time Filmfare Award winner honoured with the Padma Shri in 2020. He directed Kapoor as the dean in Student of the Year, a film cast with three debutants who needed a familiar older face beside them, and produced Agneepath, in which Kapoor's Rauf Lala is a genuinely frightening villain, and Kapoor &amp; Sons, in which his ninety-year-old grandfather is comic and tender at once. For an actor whose own lead career had ended in anonymity, these were the films that re-established him with a young audience.</t>
        </is>
      </c>
      <c r="T49" s="5" t="inlineStr">
        <is>
          <t>SOURCE-197</t>
        </is>
      </c>
      <c r="U49" s="5" t="inlineStr">
        <is>
          <t>High</t>
        </is>
      </c>
    </row>
    <row r="50" ht="109" customHeight="1">
      <c r="A50" s="15" t="inlineStr">
        <is>
          <t>PERSON-049</t>
        </is>
      </c>
      <c r="B50" s="5" t="inlineStr">
        <is>
          <t>Keshav Rathod</t>
        </is>
      </c>
      <c r="C50" s="5" t="inlineStr">
        <is>
          <t>Writer</t>
        </is>
      </c>
      <c r="D50" s="18" t="n"/>
      <c r="E50" s="18" t="n"/>
      <c r="F50" s="5" t="n"/>
      <c r="G50" s="5" t="inlineStr">
        <is>
          <t>Hindi cinema</t>
        </is>
      </c>
      <c r="H50" s="5" t="inlineStr">
        <is>
          <t>A Hindi-film writer active in the late 1980s and 1990s, working on family melodrama. He has no Wikipedia article of his own, and his credits here are all shared.</t>
        </is>
      </c>
      <c r="I50" s="5" t="n"/>
      <c r="J50" s="5" t="inlineStr">
        <is>
          <t>With Kapoor: Ghar Ghar Ki Kahani (1988), Saajan Ka Ghar (1994), Ghar Ki Izzat (1994).</t>
        </is>
      </c>
      <c r="K50" s="19" t="inlineStr">
        <is>
          <t>The household melodrama of duty and mistreatment; two of his three titles name the home directly.</t>
        </is>
      </c>
      <c r="L50" s="19" t="inlineStr">
        <is>
          <t>Not documented; he is credited alongside Kader Khan on two of the three films.</t>
        </is>
      </c>
      <c r="M50" s="5" t="n"/>
      <c r="N50" s="19" t="inlineStr">
        <is>
          <t>Not independently documented.</t>
        </is>
      </c>
      <c r="O50" s="19" t="inlineStr">
        <is>
          <t>Three films, two of them directed by Kalpataru and written with Kader Khan — Ghar Ghar Ki Kahani and Ghar Ki Izzat — plus Saajan Ka Ghar. All three belong to the dense run of domestic melodramas Kapoor made between 1988 and 1994, in which he plays sons and husbands rather than lovers.</t>
        </is>
      </c>
      <c r="P50" s="17" t="n">
        <v>3</v>
      </c>
      <c r="Q50" s="5" t="inlineStr">
        <is>
          <t>FILM-064; FILM-100; FILM-103</t>
        </is>
      </c>
      <c r="R50" s="5" t="inlineStr">
        <is>
          <t>Ghar Ghar Ki Kahani (1988)</t>
        </is>
      </c>
      <c r="S50" s="5" t="inlineStr">
        <is>
          <t>Keshav Rathod wrote three Rishi Kapoor films and has no documented biography. All three are family melodramas from the stretch between 1988 and 1994 when Kapoor's work had settled into domestic subjects: Ghar Ghar Ki Kahani, a remake of a Telugu film whose real subject is a mother-in-law's cruelty to her daughters-in-law; Ghar Ki Izzat, again for the director Kalpataru and again co-written with Kader Khan; and Saajan Ka Ghar. The grouping is more informative than the individual credits — the same small team of writers and directors, working to the same template of household duty, supplied a large share of Kapoor's output in those years, and almost none of them left a biographical record. This row is built from film credits alone.</t>
        </is>
      </c>
      <c r="T50" s="5" t="inlineStr">
        <is>
          <t>SOURCE-061; SOURCE-092; SOURCE-096</t>
        </is>
      </c>
      <c r="U50" s="5" t="inlineStr">
        <is>
          <t>Low</t>
        </is>
      </c>
    </row>
    <row r="51" ht="109" customHeight="1">
      <c r="A51" s="15" t="inlineStr">
        <is>
          <t>PERSON-050</t>
        </is>
      </c>
      <c r="B51" s="5" t="inlineStr">
        <is>
          <t>Krishan Kumar</t>
        </is>
      </c>
      <c r="C51" s="5" t="inlineStr">
        <is>
          <t>Producer</t>
        </is>
      </c>
      <c r="D51" s="18" t="n"/>
      <c r="E51" s="18" t="n"/>
      <c r="F51" s="5" t="inlineStr">
        <is>
          <t>1982–present</t>
        </is>
      </c>
      <c r="G51" s="5" t="inlineStr">
        <is>
          <t>Hindi cinema; Indian music industry</t>
        </is>
      </c>
      <c r="H51" s="5" t="inlineStr">
        <is>
          <t>Krishan Kumar Dua is an Indian actor and film producer, a younger brother of the T-Series founder Gulshan Kumar and an owner of the company. He is best known as an actor for Bewafa Sanam (1995).</t>
        </is>
      </c>
      <c r="I51" s="5" t="inlineStr">
        <is>
          <t>Acting from 1982; subsequently a producer within T-Series.</t>
        </is>
      </c>
      <c r="J51" s="5" t="inlineStr">
        <is>
          <t>With Kapoor: Patiala House (2011), All Is Well (2015), Sanam Re (2016). Elsewhere, the T-Series production slate.</t>
        </is>
      </c>
      <c r="K51" s="19" t="inlineStr">
        <is>
          <t>Music-led production in partnership with his nephew Bhushan Kumar.</t>
        </is>
      </c>
      <c r="L51" s="19" t="inlineStr">
        <is>
          <t>A family producer inside the T-Series system rather than a filmmaker with a distinct signature.</t>
        </is>
      </c>
      <c r="M51" s="5" t="n"/>
      <c r="N51" s="19" t="inlineStr">
        <is>
          <t>A principal of India's largest music company and a producer on much of its film output.</t>
        </is>
      </c>
      <c r="O51" s="19" t="inlineStr">
        <is>
          <t>Three films, the same three T-Series productions as Bhushan Kumar — Patiala House, All Is Well and Sanam Re — in which Kapoor plays fathers. His article is chiefly concerned with his acting career and does not mention Kapoor.</t>
        </is>
      </c>
      <c r="P51" s="17" t="n">
        <v>3</v>
      </c>
      <c r="Q51" s="5" t="inlineStr">
        <is>
          <t>FILM-135; FILM-148; FILM-151</t>
        </is>
      </c>
      <c r="R51" s="5" t="inlineStr">
        <is>
          <t>Patiala House (2011)</t>
        </is>
      </c>
      <c r="S51" s="5" t="inlineStr">
        <is>
          <t>Krishan Kumar co-produced the same three late Rishi Kapoor films as his nephew Bhushan Kumar. A younger brother of Gulshan Kumar, who founded T-Series and was murdered in 1997, he began as an actor in the 1980s and is still best known in that capacity for Bewafa Sanam, while holding an ownership role in what became India's largest music company. His producing credits with Kapoor — Patiala House, All Is Well and Sanam Re — are family-firm productions in which Kapoor was cast as the patriarch, most effectively in Patiala House as the London Punjabi father who forbids his son's cricket career. The row is a reminder that in the 2010s Kapoor's employers were as often music-company proprietors as directors.</t>
        </is>
      </c>
      <c r="T51" s="5" t="inlineStr">
        <is>
          <t>SOURCE-198</t>
        </is>
      </c>
      <c r="U51" s="5" t="inlineStr">
        <is>
          <t>Medium</t>
        </is>
      </c>
    </row>
    <row r="52" ht="154" customHeight="1">
      <c r="A52" s="15" t="inlineStr">
        <is>
          <t>PERSON-051</t>
        </is>
      </c>
      <c r="B52" s="5" t="inlineStr">
        <is>
          <t>Kunal Kohli</t>
        </is>
      </c>
      <c r="C52" s="5" t="inlineStr">
        <is>
          <t>Director; Producer; Writer</t>
        </is>
      </c>
      <c r="D52" s="18" t="n"/>
      <c r="E52" s="18" t="n"/>
      <c r="F52" s="5" t="n"/>
      <c r="G52" s="5" t="inlineStr">
        <is>
          <t>Hindi cinema</t>
        </is>
      </c>
      <c r="H52" s="5" t="inlineStr">
        <is>
          <t>Kunal Kohli is an Indian film director, producer, writer and actor, and a nephew of David Dhawan. He directed for Yash Raj Films before founding his own company, Kunal Kohli Productions.</t>
        </is>
      </c>
      <c r="I52" s="5" t="inlineStr">
        <is>
          <t>Directing from the early 2000s; his breakthrough was Hum Tum (2004).</t>
        </is>
      </c>
      <c r="J52" s="5" t="inlineStr">
        <is>
          <t>With Kapoor: Hum Tum (2004), Fanaa (2006), Thoda Pyaar Thoda Magic (2008). Elsewhere, Break Ke Baad, Teri Meri Kahaani and Phir Se...</t>
        </is>
      </c>
      <c r="K52" s="19" t="inlineStr">
        <is>
          <t>The modern romantic comedy of bickering equals; the romance that spans years and cities.</t>
        </is>
      </c>
      <c r="L52" s="19" t="inlineStr">
        <is>
          <t>Light, dialogue-driven romance in the Yash Raj register, with a strong reliance on star chemistry.</t>
        </is>
      </c>
      <c r="M52" s="5" t="inlineStr">
        <is>
          <t>Filmfare Award for Best Director for Hum Tum (2004), won against Yash Chopra's Veer-Zaara.</t>
        </is>
      </c>
      <c r="N52" s="19" t="inlineStr">
        <is>
          <t>One of the directors Yash Raj Films developed in-house during its studio phase, and the maker of a defining 2000s romantic comedy.</t>
        </is>
      </c>
      <c r="O52" s="19" t="inlineStr">
        <is>
          <t>Three consecutive films, 2004–2008, which together open Kapoor's character-actor phase: Hum Tum, where he plays the hero's father; Fanaa, where he is the Kashmiri father of Kajol's blind heroine; and Thoda Pyaar Thoda Magic, produced by his own company. Hum Tum is the film that restarted Kapoor's mainstream employment after a quiet stretch, which makes Kohli more consequential to the late career than his three credits suggest.</t>
        </is>
      </c>
      <c r="P52" s="17" t="n">
        <v>3</v>
      </c>
      <c r="Q52" s="5" t="inlineStr">
        <is>
          <t>FILM-118; FILM-120; FILM-127</t>
        </is>
      </c>
      <c r="R52" s="5" t="inlineStr">
        <is>
          <t>Hum Tum (2004)</t>
        </is>
      </c>
      <c r="S52" s="5" t="inlineStr">
        <is>
          <t>Kunal Kohli directed the film that began Rishi Kapoor's second career. A nephew of David Dhawan who came up inside Yash Raj Films, Kohli won the Filmfare Award for Best Director for Hum Tum in 2004 — beating his mentor Yash Chopra — with a romantic comedy about two people who meet and quarrel across years and continents. Kapoor plays the hero's father in it, his first prominent supporting role in a major studio film, and followed Kohli to Fanaa (2006) as the Kashmiri father of Kajol's blind heroine and to Thoda Pyaar Thoda Magic (2008), produced by Kohli's own company. Three films in five years re-established Kapoor as a bankable senior presence in exactly the studio that had employed him as a young lead thirty years earlier.</t>
        </is>
      </c>
      <c r="T52" s="5" t="inlineStr">
        <is>
          <t>SOURCE-199</t>
        </is>
      </c>
      <c r="U52" s="5" t="inlineStr">
        <is>
          <t>High</t>
        </is>
      </c>
    </row>
    <row r="53" ht="124" customHeight="1">
      <c r="A53" s="15" t="inlineStr">
        <is>
          <t>PERSON-052</t>
        </is>
      </c>
      <c r="B53" s="5" t="inlineStr">
        <is>
          <t>MKD Films Combine</t>
        </is>
      </c>
      <c r="C53" s="5" t="inlineStr">
        <is>
          <t>Production banner</t>
        </is>
      </c>
      <c r="D53" s="18" t="n"/>
      <c r="E53" s="18" t="n"/>
      <c r="F53" s="5" t="n"/>
      <c r="G53" s="5" t="inlineStr">
        <is>
          <t>Hindi cinema</t>
        </is>
      </c>
      <c r="H53" s="5" t="inlineStr">
        <is>
          <t>The production banner of the Desai family, named for Manmohan K. Desai, under which his son Ketan Desai made films from the mid-1980s. It has no Wikipedia article of its own, and its name appears in credits variously as MKD Films Combine, M.K.D Films Combines and MKD Films, consolidated here.</t>
        </is>
      </c>
      <c r="I53" s="5" t="n"/>
      <c r="J53" s="5" t="inlineStr">
        <is>
          <t>With Kapoor: Allah Rakha (1986), Anmol (1993), Yeh Hai Jalwa (2002).</t>
        </is>
      </c>
      <c r="K53" s="19" t="inlineStr">
        <is>
          <t>The masala multi-starrer inherited from Manmohan Desai: disguise, reunion and comic bravado.</t>
        </is>
      </c>
      <c r="L53" s="19" t="inlineStr">
        <is>
          <t>A family banner continuing the Desai formula after its originator stopped directing.</t>
        </is>
      </c>
      <c r="M53" s="5" t="n"/>
      <c r="N53" s="19" t="inlineStr">
        <is>
          <t>Not independently documented; of interest as the vehicle through which the Desai masala style persisted into the 1990s and 2000s.</t>
        </is>
      </c>
      <c r="O53" s="19" t="inlineStr">
        <is>
          <t>Three films, all directed by Ketan Desai and all attempts to sustain the multi-star entertainment that had given Kapoor his biggest hits under Manmohan Desai. Allah Rakha (1986) is the most ambitious; Anmol (1993) and Yeh Hai Jalwa (2002) are later and progressively further from the form's heyday.</t>
        </is>
      </c>
      <c r="P53" s="17" t="n">
        <v>3</v>
      </c>
      <c r="Q53" s="5" t="inlineStr">
        <is>
          <t>FILM-053; FILM-096; FILM-114</t>
        </is>
      </c>
      <c r="R53" s="5" t="inlineStr">
        <is>
          <t>Allah Rakha (1986)</t>
        </is>
      </c>
      <c r="S53" s="5" t="inlineStr">
        <is>
          <t>MKD Films Combine is the Desai family banner, and its three Rishi Kapoor films trace the long decline of the masala multi-starrer. Named for Manmohan K. Desai, whose Amar Akbar Anthony, Naseeb and Coolie had given Kapoor his largest commercial successes, the company was the vehicle through which his son Ketan Desai continued the family trade: Allah Rakha in 1986, with Kapoor in a cast assembled on the old pattern; Anmol in 1993; and Yeh Hai Jalwa in 2002, by which time Kapoor was playing the older generation in a David Dhawan comedy. The banner has no Wikipedia article and its name is spelled three different ways across these credits, which this workbook consolidates. Its real significance is as evidence of a formula outliving the audience that had made it.</t>
        </is>
      </c>
      <c r="T53" s="5" t="inlineStr">
        <is>
          <t>SOURCE-051; SOURCE-089; SOURCE-106</t>
        </is>
      </c>
      <c r="U53" s="5" t="inlineStr">
        <is>
          <t>Low</t>
        </is>
      </c>
    </row>
    <row r="54" ht="139" customHeight="1">
      <c r="A54" s="15" t="inlineStr">
        <is>
          <t>PERSON-053</t>
        </is>
      </c>
      <c r="B54" s="5" t="inlineStr">
        <is>
          <t>Madan Joshi</t>
        </is>
      </c>
      <c r="C54" s="5" t="inlineStr">
        <is>
          <t>Writer</t>
        </is>
      </c>
      <c r="D54" s="18" t="n"/>
      <c r="E54" s="18" t="n"/>
      <c r="F54" s="5" t="n"/>
      <c r="G54" s="5" t="inlineStr">
        <is>
          <t>Hindi cinema</t>
        </is>
      </c>
      <c r="H54" s="5" t="inlineStr">
        <is>
          <t>A Hindi-film writer active from the late 1970s to the mid-1980s, with no Wikipedia article of his own.</t>
        </is>
      </c>
      <c r="I54" s="5" t="n"/>
      <c r="J54" s="5" t="inlineStr">
        <is>
          <t>With Kapoor: Badaltey Rishtey (1978), Aap Ke Deewane (1980), Ek Chadar Maili Si (1986).</t>
        </is>
      </c>
      <c r="K54" s="19" t="inlineStr">
        <is>
          <t>Melodrama of obligation and changed circumstance; the love triangle resolved by duty.</t>
        </is>
      </c>
      <c r="L54" s="19" t="inlineStr">
        <is>
          <t>Not documented.</t>
        </is>
      </c>
      <c r="M54" s="5" t="n"/>
      <c r="N54" s="19" t="inlineStr">
        <is>
          <t>Not independently documented.</t>
        </is>
      </c>
      <c r="O54" s="19" t="inlineStr">
        <is>
          <t>Three films spanning Kapoor's late youth and middle period: Badaltey Rishtey (1978), the Filmkraft debut Aap Ke Deewane (1980), and Ek Chadar Maili Si (1986), an adaptation of Rajinder Singh Bedi's novel and the most serious film of the three. The group covers the transition from Kapoor as young romantic lead to Kapoor as the man in a difficult marriage.</t>
        </is>
      </c>
      <c r="P54" s="17" t="n">
        <v>3</v>
      </c>
      <c r="Q54" s="5" t="inlineStr">
        <is>
          <t>FILM-022; FILM-030; FILM-054</t>
        </is>
      </c>
      <c r="R54" s="5" t="inlineStr">
        <is>
          <t>Ek Chadar Maili Si (1986)</t>
        </is>
      </c>
      <c r="S54" s="5" t="inlineStr">
        <is>
          <t>Madan Joshi wrote three Rishi Kapoor films and left no biographical record. The three are more varied than most of the undocumented writers' groupings in this filmography: Badaltey Rishtey in 1978, a triangle from the end of his first flush of stardom; Aap Ke Deewane in 1980, the first production of Rakesh Roshan's Filmkraft and a commercial failure; and Ek Chadar Maili Si in 1986, adapted from Rajinder Singh Bedi's Urdu novel about a widow married to her dead husband's younger brother, which is among the few genuinely literary projects Kapoor took in that decade. That a writer with a credit on that film should have no article is characteristic of how thinly the Hindi film workforce of the period is documented. This row is built from film credits alone.</t>
        </is>
      </c>
      <c r="T54" s="5" t="inlineStr">
        <is>
          <t>SOURCE-020; SOURCE-030; SOURCE-052</t>
        </is>
      </c>
      <c r="U54" s="5" t="inlineStr">
        <is>
          <t>Low</t>
        </is>
      </c>
    </row>
    <row r="55" ht="124" customHeight="1">
      <c r="A55" s="15" t="inlineStr">
        <is>
          <t>PERSON-054</t>
        </is>
      </c>
      <c r="B55" s="5" t="inlineStr">
        <is>
          <t>Sajid–Wajid</t>
        </is>
      </c>
      <c r="C55" s="5" t="inlineStr">
        <is>
          <t>Song composer (composing duo)</t>
        </is>
      </c>
      <c r="D55" s="18" t="n"/>
      <c r="E55" s="18" t="n"/>
      <c r="F55" s="5" t="inlineStr">
        <is>
          <t>1998–2020</t>
        </is>
      </c>
      <c r="G55" s="5" t="inlineStr">
        <is>
          <t>Hindi cinema</t>
        </is>
      </c>
      <c r="H55" s="5" t="inlineStr">
        <is>
          <t>An Indian composing duo of the brothers Sajid Khan and Wajid Khan, sons of the tabla player Sharafat Ali Khan and grandsons of the Padma Shri awardee Ustad Faiyyaz Ahmed Khan, from Saharanpur. They composed together from 1998 until Wajid Khan's death on 1 June 2020.</t>
        </is>
      </c>
      <c r="I55" s="5" t="inlineStr">
        <is>
          <t>Composing from 1998, closely associated with Salman Khan's films.</t>
        </is>
      </c>
      <c r="J55" s="5" t="inlineStr">
        <is>
          <t>With Kapoor: Kal Kissne Dekha (2009), Housefull 2 (2012), Chashme Buddoor (2013). Elsewhere, Dabangg, Partner and Wanted.</t>
        </is>
      </c>
      <c r="K55" s="19" t="inlineStr">
        <is>
          <t>Mass-market dance and romance songs, Sufi-inflected melody, and the star entrance number.</t>
        </is>
      </c>
      <c r="L55" s="19" t="inlineStr">
        <is>
          <t>Percussive, hook-led commercial composition built for star choreography.</t>
        </is>
      </c>
      <c r="M55" s="5" t="n"/>
      <c r="N55" s="19" t="inlineStr">
        <is>
          <t>Among the principal composers of the Salman Khan-led mass entertainer of the 2000s and 2010s.</t>
        </is>
      </c>
      <c r="O55" s="19" t="inlineStr">
        <is>
          <t>Three films, all late comedies or ensembles in which Kapoor plays a senior figure: Kal Kissne Dekha (2009), Housefull 2 (2012) and Chashme Buddoor (2013). Their article does not mention Kapoor.</t>
        </is>
      </c>
      <c r="P55" s="17" t="n">
        <v>3</v>
      </c>
      <c r="Q55" s="5" t="inlineStr">
        <is>
          <t>FILM-130; FILM-138; FILM-141</t>
        </is>
      </c>
      <c r="R55" s="5" t="inlineStr">
        <is>
          <t>Housefull 2 (2012)</t>
        </is>
      </c>
      <c r="S55" s="5" t="inlineStr">
        <is>
          <t>Sajid–Wajid scored three of Rishi Kapoor's late comedies. The brothers Sajid and Wajid Khan came from a Saharanpur musical family — their father a tabla player, their maternal grandfather a Padma Shri-awarded classical musician — and from 1998 became among the most commercially dependable composers in Hindi cinema, closely tied to Salman Khan's run of mass entertainers. Their Kapoor films are Kal Kissne Dekha, Housefull 2, in which he is one of two feuding brothers in a large farce, and Chashme Buddoor, David Dhawan's remake, where he appears in support. The duo ended when Wajid Khan died in June 2020, six weeks after Kapoor's own death. None of these films is substantial, but together they show what kind of work was available to him at the very end: ensemble comedy, in which an ageing star is one attraction among many.</t>
        </is>
      </c>
      <c r="T55" s="5" t="inlineStr">
        <is>
          <t>SOURCE-200</t>
        </is>
      </c>
      <c r="U55" s="5" t="inlineStr">
        <is>
          <t>High</t>
        </is>
      </c>
    </row>
    <row r="56" ht="124" customHeight="1">
      <c r="A56" s="15" t="inlineStr">
        <is>
          <t>PERSON-055</t>
        </is>
      </c>
      <c r="B56" s="5" t="inlineStr">
        <is>
          <t>Sandeep Chowta</t>
        </is>
      </c>
      <c r="C56" s="5" t="inlineStr">
        <is>
          <t>Background-score composer</t>
        </is>
      </c>
      <c r="D56" s="17" t="n">
        <v>1967</v>
      </c>
      <c r="E56" s="18" t="n"/>
      <c r="F56" s="5" t="inlineStr">
        <is>
          <t>1996–present</t>
        </is>
      </c>
      <c r="G56" s="5" t="inlineStr">
        <is>
          <t>Hindi cinema; Telugu cinema</t>
        </is>
      </c>
      <c r="H56" s="5" t="inlineStr">
        <is>
          <t>Sandeep Chowta, born in 1967 or 1968 in Buduburam, Ghana, is an Indian music director working mainly in Hindi and Telugu cinema, and has headed Columbia Records in India. He produced the anti-substance-abuse documentary Dead End in 2003 and is a core member of the world-music group AO Music.</t>
        </is>
      </c>
      <c r="I56" s="5" t="inlineStr">
        <is>
          <t>Composing from 1996.</t>
        </is>
      </c>
      <c r="J56" s="5" t="inlineStr">
        <is>
          <t>With Kapoor: Daraar (1996), Om Shanti Om (2007), Thoda Pyaar Thoda Magic (2008). Elsewhere, Satya and Kaante.</t>
        </is>
      </c>
      <c r="K56" s="19" t="inlineStr">
        <is>
          <t>Background score for the urban thriller; cross-genre work between film music and world music.</t>
        </is>
      </c>
      <c r="L56" s="19" t="inlineStr">
        <is>
          <t>An atmosphere-first score composer, usually hired for background music rather than songs, with a parallel career in non-film recording.</t>
        </is>
      </c>
      <c r="M56" s="5" t="n"/>
      <c r="N56" s="19" t="inlineStr">
        <is>
          <t>One of the first Hindi film composers to specialise in background score as a distinct craft from song composition.</t>
        </is>
      </c>
      <c r="O56" s="19" t="inlineStr">
        <is>
          <t>Three films, all as background-score composer rather than songwriter, and spread across the two halves of Kapoor's career: Daraar (1996), one of his last leads, and then the ensembles Om Shanti Om (2007), in which he appears as himself, and Thoda Pyaar Thoda Magic (2008). His article does not mention Kapoor.</t>
        </is>
      </c>
      <c r="P56" s="17" t="n">
        <v>3</v>
      </c>
      <c r="Q56" s="5" t="inlineStr">
        <is>
          <t>FILM-108; FILM-125; FILM-127</t>
        </is>
      </c>
      <c r="R56" s="5" t="inlineStr">
        <is>
          <t>Daraar (1996)</t>
        </is>
      </c>
      <c r="S56" s="5" t="inlineStr">
        <is>
          <t>Sandeep Chowta wrote the background score for three films in this filmography, and his presence marks a structural change in how Hindi films were scored. Born in Ghana in the late 1960s, Chowta became one of the first composers in Hindi cinema to specialise in background music rather than songs — the division of labour that would later let Salim–Sulaiman score four Kapoor films whose songs were written by others — while also heading Columbia Records in India and recording with the world-music group AO Music. His Kapoor credits are Daraar in 1996, a thriller from the very end of Kapoor's leading career; Om Shanti Om in 2007, in which Kapoor appears briefly as himself among a crowd of stars; and Thoda Pyaar Thoda Magic in 2008. Three films, three decades, and no songs between them.</t>
        </is>
      </c>
      <c r="T56" s="5" t="inlineStr">
        <is>
          <t>SOURCE-201</t>
        </is>
      </c>
      <c r="U56" s="5" t="inlineStr">
        <is>
          <t>High</t>
        </is>
      </c>
    </row>
    <row r="57" ht="124" customHeight="1">
      <c r="A57" s="15" t="inlineStr">
        <is>
          <t>PERSON-056</t>
        </is>
      </c>
      <c r="B57" s="5" t="inlineStr">
        <is>
          <t>Shiv–Hari</t>
        </is>
      </c>
      <c r="C57" s="5" t="inlineStr">
        <is>
          <t>Song composer (composing duo)</t>
        </is>
      </c>
      <c r="D57" s="18" t="n"/>
      <c r="E57" s="18" t="n"/>
      <c r="F57" s="5" t="inlineStr">
        <is>
          <t>1967–2022</t>
        </is>
      </c>
      <c r="G57" s="5" t="inlineStr">
        <is>
          <t>Hindi cinema; Indian classical music</t>
        </is>
      </c>
      <c r="H57" s="5" t="inlineStr">
        <is>
          <t>The composing duo of the santoor player Shivkumar Sharma and the flautist Hariprasad Chaurasia, both leading Hindustani classical soloists, who scored Hindi films together while maintaining concert careers. Their film work was done mainly for Yash Chopra.</t>
        </is>
      </c>
      <c r="I57" s="5" t="inlineStr">
        <is>
          <t>Active from 1967; their film scores are concentrated in the 1980s.</t>
        </is>
      </c>
      <c r="J57" s="5" t="inlineStr">
        <is>
          <t>With Kapoor: Vijay (1988), Chandni (1989), Sahibaan (1993). Elsewhere, Silsila, Faasle, Lamhe and Darr.</t>
        </is>
      </c>
      <c r="K57" s="19" t="inlineStr">
        <is>
          <t>Classical instrumentation inside the popular love song; the Chopra romance.</t>
        </is>
      </c>
      <c r="L57" s="19" t="inlineStr">
        <is>
          <t>Two classical soloists composing film songs around santoor and bansuri, producing a sound more austere and raga-inflected than their contemporaries'.</t>
        </is>
      </c>
      <c r="M57" s="5" t="n"/>
      <c r="N57" s="19" t="inlineStr">
        <is>
          <t>The most prominent case of front-rank Hindustani classical musicians composing mainstream Hindi film soundtracks.</t>
        </is>
      </c>
      <c r="O57" s="19" t="inlineStr">
        <is>
          <t>Three films in six years, two of them for Yash Chopra, and one of them central: Chandni (1989), whose soundtrack carried Kapoor's return to romantic leading man opposite Sridevi. Vijay (1988) preceded it and Sahibaan (1993) followed. Their article does not mention Kapoor, and records that they worked mainly for Chopra.</t>
        </is>
      </c>
      <c r="P57" s="17" t="n">
        <v>3</v>
      </c>
      <c r="Q57" s="5" t="inlineStr">
        <is>
          <t>FILM-065; FILM-074; FILM-094</t>
        </is>
      </c>
      <c r="R57" s="5" t="inlineStr">
        <is>
          <t>Chandni (1989)</t>
        </is>
      </c>
      <c r="S57" s="5" t="inlineStr">
        <is>
          <t>Shiv–Hari wrote the music for Rishi Kapoor's late romantic revival. The duo were not film composers by trade: Shivkumar Sharma, the santoor player who brought that instrument into classical concert music, and Hariprasad Chaurasia, the leading bansuri soloist of his generation, composed a small number of Hindi soundtracks almost exclusively for Yash Chopra, beginning with Silsila. Their work is audible as classical musicianship inside a popular form, and in Chandni (1989) it produced the songs that returned Kapoor to romantic leading man after a decade of melodrama, opposite Sridevi and in a film built around music more than plot. Vijay (1988) and Sahibaan (1993) complete their work with him. The pairing stands out in a filmography otherwise scored by career film composers.</t>
        </is>
      </c>
      <c r="T57" s="5" t="inlineStr">
        <is>
          <t>SOURCE-202</t>
        </is>
      </c>
      <c r="U57" s="5" t="inlineStr">
        <is>
          <t>High</t>
        </is>
      </c>
    </row>
    <row r="58" ht="139" customHeight="1">
      <c r="A58" s="15" t="inlineStr">
        <is>
          <t>PERSON-057</t>
        </is>
      </c>
      <c r="B58" s="5" t="inlineStr">
        <is>
          <t>Surendra Mohan</t>
        </is>
      </c>
      <c r="C58" s="5" t="inlineStr">
        <is>
          <t>Director; Producer</t>
        </is>
      </c>
      <c r="D58" s="18" t="n"/>
      <c r="E58" s="18" t="n"/>
      <c r="F58" s="5" t="n"/>
      <c r="G58" s="5" t="inlineStr">
        <is>
          <t>Hindi cinema</t>
        </is>
      </c>
      <c r="H58" s="5" t="inlineStr">
        <is>
          <t>A Hindi-film director and producer active from the late 1970s to the early 1990s, with no Wikipedia article of his own. He is credited on Aap Ke Deewane as Surendera Mohan, a spelling this workbook consolidates.</t>
        </is>
      </c>
      <c r="I58" s="5" t="n"/>
      <c r="J58" s="5" t="inlineStr">
        <is>
          <t>With Kapoor: Aap Ke Deewane (1980), Hawalaat (1987), Honeymoon (1992).</t>
        </is>
      </c>
      <c r="K58" s="19" t="inlineStr">
        <is>
          <t>The triangle and the multi-star melodrama of the 1980s.</t>
        </is>
      </c>
      <c r="L58" s="19" t="inlineStr">
        <is>
          <t>Not documented; on two of the three films he is both director and producer.</t>
        </is>
      </c>
      <c r="M58" s="5" t="n"/>
      <c r="N58" s="19" t="inlineStr">
        <is>
          <t>Not independently documented.</t>
        </is>
      </c>
      <c r="O58" s="19" t="inlineStr">
        <is>
          <t>Three films across twelve years. Aap Ke Deewane (1980) is a triangle whose ending the surviving account does not resolve, made as the first production of Rakesh Roshan's Filmkraft; Hawalaat (1987) is a multi-starrer with Mithun Chakraborty; Honeymoon (1992) comes at the close of Kapoor's lead career. On the latter two he produced as well as directed.</t>
        </is>
      </c>
      <c r="P58" s="17" t="n">
        <v>3</v>
      </c>
      <c r="Q58" s="5" t="inlineStr">
        <is>
          <t>FILM-030; FILM-059; FILM-088</t>
        </is>
      </c>
      <c r="R58" s="5" t="inlineStr">
        <is>
          <t>Aap Ke Deewane (1980)</t>
        </is>
      </c>
      <c r="S58" s="5" t="inlineStr">
        <is>
          <t>Surendra Mohan directed three Rishi Kapoor films and has no documented biography. The first, Aap Ke Deewane (1980), is the better known: the debut production of Rakesh Roshan's Filmkraft, scored by Rajesh Roshan, with Kapoor in a triangle whose resolution the film's surviving summary does not record. He directed and produced Hawalaat in 1987, a multi-starrer with Mithun Chakraborty, and Honeymoon in 1992, as Kapoor's leading career was closing. His name is spelled Surendera Mohan on the first of the three, one of many small inconsistencies in the credits of this period that this workbook has had to reconcile. The row is built from film credits alone, and its confidence grade reflects that.</t>
        </is>
      </c>
      <c r="T58" s="5" t="inlineStr">
        <is>
          <t>SOURCE-030; SOURCE-057; SOURCE-083</t>
        </is>
      </c>
      <c r="U58" s="5" t="inlineStr">
        <is>
          <t>Low</t>
        </is>
      </c>
    </row>
    <row r="59" ht="124" customHeight="1">
      <c r="A59" s="15" t="inlineStr">
        <is>
          <t>PERSON-058</t>
        </is>
      </c>
      <c r="B59" s="5" t="inlineStr">
        <is>
          <t>Umesh Shukla</t>
        </is>
      </c>
      <c r="C59" s="5" t="inlineStr">
        <is>
          <t>Director; Writer</t>
        </is>
      </c>
      <c r="D59" s="18" t="n"/>
      <c r="E59" s="18" t="n"/>
      <c r="F59" s="5" t="inlineStr">
        <is>
          <t>1994–present</t>
        </is>
      </c>
      <c r="G59" s="5" t="inlineStr">
        <is>
          <t>Hindi cinema; Gujarati theatre</t>
        </is>
      </c>
      <c r="H59" s="5" t="inlineStr">
        <is>
          <t>Umesh Shukla is an Indian director, writer and actor who works in Hindi cinema and Gujarati theatre. He acted before directing — notably as a villain in Yaar Gaddar — made his directorial debut with Dhoondte Reh Jaaoge, and is best known for the comedy-drama Oh My God. He has directed many Gujarati plays, including Kanjee Viruddha Kanjee, the source of Oh My God.</t>
        </is>
      </c>
      <c r="I59" s="5" t="inlineStr">
        <is>
          <t>Working from 1994; directorial debut Dhoondte Reh Jaaoge.</t>
        </is>
      </c>
      <c r="J59" s="5" t="inlineStr">
        <is>
          <t>With Kapoor: Kucch To Hai (2003), All Is Well (2015), 102 Not Out (2018). Elsewhere, Oh My God (2012).</t>
        </is>
      </c>
      <c r="K59" s="19" t="inlineStr">
        <is>
          <t>Adapted stage comedy; the argument between generations within a family.</t>
        </is>
      </c>
      <c r="L59" s="19" t="inlineStr">
        <is>
          <t>A theatre director's cinema: two or three characters, a confined setting, and dialogue carrying the comedy and the argument.</t>
        </is>
      </c>
      <c r="M59" s="5" t="n"/>
      <c r="N59" s="19" t="inlineStr">
        <is>
          <t>The director of Oh My God, one of the most successful Hindi adaptations of a Gujarati play, and of the two-hander that gave Kapoor his last lead.</t>
        </is>
      </c>
      <c r="O59" s="19" t="inlineStr">
        <is>
          <t>Three films across fifteen years, ending with the most important: 102 Not Out (2018), in which the 65-year-old Kapoor plays the 75-year-old son of Amitabh Bachchan's 102-year-old father, his last leading role and his ninth film with Bachchan. All Is Well (2015) preceded it and Kucch To Hai (2003) opened the association.</t>
        </is>
      </c>
      <c r="P59" s="17" t="n">
        <v>3</v>
      </c>
      <c r="Q59" s="5" t="inlineStr">
        <is>
          <t>FILM-115; FILM-148; FILM-154</t>
        </is>
      </c>
      <c r="R59" s="5" t="inlineStr">
        <is>
          <t>102 Not Out (2018)</t>
        </is>
      </c>
      <c r="S59" s="5" t="inlineStr">
        <is>
          <t>Umesh Shukla directed Rishi Kapoor's last lead role. A Gujarati theatre director who moved into Hindi cinema, Shukla had his biggest success with Oh My God, adapted from his own stage play Kanjee Viruddha Kanjee, and his method stayed theatrical: small casts, enclosed settings, argument as structure. He first directed Kapoor in Kucch To Hai (2003), then in All Is Well (2015), and finally in 102 Not Out (2018), a two-hander in which Kapoor plays the morose seventy-five-year-old son of Amitabh Bachchan's irrepressible centenarian father. It was the ninth film the two men made together across forty-one years — they had first appeared together in Amar Akbar Anthony — and the only one in which Kapoor played the younger generation to Bachchan's elder. It was also his last lead before his death in 2020.</t>
        </is>
      </c>
      <c r="T59" s="5" t="inlineStr">
        <is>
          <t>SOURCE-203</t>
        </is>
      </c>
      <c r="U59" s="5" t="inlineStr">
        <is>
          <t>High</t>
        </is>
      </c>
    </row>
    <row r="60" ht="124" customHeight="1">
      <c r="A60" s="15" t="inlineStr">
        <is>
          <t>PERSON-059</t>
        </is>
      </c>
      <c r="B60" s="5" t="inlineStr">
        <is>
          <t>V. P. Sathe</t>
        </is>
      </c>
      <c r="C60" s="5" t="inlineStr">
        <is>
          <t>Writer</t>
        </is>
      </c>
      <c r="D60" s="18" t="n"/>
      <c r="E60" s="18" t="n"/>
      <c r="F60" s="5" t="n"/>
      <c r="G60" s="5" t="inlineStr">
        <is>
          <t>Hindi cinema</t>
        </is>
      </c>
      <c r="H60" s="5" t="inlineStr">
        <is>
          <t>A Hindi-film story and screenplay writer associated with Raj Kapoor's R. K. Films, where he worked alongside Khwaja Ahmad Abbas. He has no Wikipedia article of his own.</t>
        </is>
      </c>
      <c r="I60" s="5" t="n"/>
      <c r="J60" s="5" t="inlineStr">
        <is>
          <t>With Kapoor: Shree 420 (1955), Bobby (1973), Henna (1991).</t>
        </is>
      </c>
      <c r="K60" s="19" t="inlineStr">
        <is>
          <t>The R. K. Films subject: love across class or nation, the innocent tested by the city, and reconciliation through sacrifice.</t>
        </is>
      </c>
      <c r="L60" s="19" t="inlineStr">
        <is>
          <t>A collaborative story writer, credited with Abbas on all three of these films.</t>
        </is>
      </c>
      <c r="M60" s="5" t="n"/>
      <c r="N60" s="19" t="inlineStr">
        <is>
          <t>Not independently documented; notable as a long-serving member of the R. K. Films writing team across thirty-six years.</t>
        </is>
      </c>
      <c r="O60" s="19" t="inlineStr">
        <is>
          <t>Three films, and the same remarkable span as Khwaja Ahmad Abbas: Shree 420 (1955), in which Kapoor appears as a toddler, Bobby (1973), his first leading role, and Henna (1991), near the end of it. He is credited with Abbas on all three, which makes the pair the only writing partnership to touch both ends of this filmography.</t>
        </is>
      </c>
      <c r="P60" s="17" t="n">
        <v>3</v>
      </c>
      <c r="Q60" s="5" t="inlineStr">
        <is>
          <t>FILM-001; FILM-003; FILM-081</t>
        </is>
      </c>
      <c r="R60" s="5" t="inlineStr">
        <is>
          <t>Bobby (1973)</t>
        </is>
      </c>
      <c r="S60" s="5" t="inlineStr">
        <is>
          <t>V. P. Sathe wrote three Rishi Kapoor films thirty-six years apart, and nothing about him is documented beyond those credits. He was part of the R. K. Films writing team, working with Khwaja Ahmad Abbas on Shree 420 in 1955 — the film in which a three-year-old Kapoor walks through 'Pyar Hua Iqrar Hua' — on Bobby in 1973, the romance that made him a star at twenty-one, and on Henna in 1991, the cross-border love story Randhir Kapoor completed after their father's death. The pairing with Abbas on all three is the notable fact: the same two writers framed the beginning, the making and the late recapitulation of Kapoor's romantic persona, and only one of them has an article. This row is built from film credits alone.</t>
        </is>
      </c>
      <c r="T60" s="5" t="inlineStr">
        <is>
          <t>SOURCE-002; SOURCE-004; SOURCE-076</t>
        </is>
      </c>
      <c r="U60" s="5" t="inlineStr">
        <is>
          <t>Low</t>
        </is>
      </c>
    </row>
    <row r="61" ht="139" customHeight="1">
      <c r="A61" s="15" t="inlineStr">
        <is>
          <t>PERSON-060</t>
        </is>
      </c>
      <c r="B61" s="5" t="inlineStr">
        <is>
          <t>Viacom18 Motion Pictures</t>
        </is>
      </c>
      <c r="C61" s="5" t="inlineStr">
        <is>
          <t>Producer; Production banner</t>
        </is>
      </c>
      <c r="D61" s="18" t="n"/>
      <c r="E61" s="18" t="n"/>
      <c r="F61" s="5" t="n"/>
      <c r="G61" s="5" t="inlineStr">
        <is>
          <t>Hindi cinema</t>
        </is>
      </c>
      <c r="H61" s="5" t="inlineStr">
        <is>
          <t>Viacom18 Studios, credited on these films as Viacom18 Motion Pictures, was an Indian film production and distribution company based in Mumbai, among the first studio-model film businesses in India, covering acquisition, production, syndication, marketing and worldwide distribution. It distributed Paramount Pictures films in India from 2011 and was later merged into Star Studio18.</t>
        </is>
      </c>
      <c r="I61" s="5" t="inlineStr">
        <is>
          <t>Operating under the Viacom18 name from the late 2000s.</t>
        </is>
      </c>
      <c r="J61" s="5" t="inlineStr">
        <is>
          <t>With Kapoor: Chashme Buddoor (2013), Manto (2018), The Body (2019).</t>
        </is>
      </c>
      <c r="K61" s="19" t="inlineStr">
        <is>
          <t>A broad studio slate from mass comedy to festival-facing biography.</t>
        </is>
      </c>
      <c r="L61" s="19" t="inlineStr">
        <is>
          <t>A corporate studio acquiring and producing across genres rather than a banner with an authorial signature.</t>
        </is>
      </c>
      <c r="M61" s="5" t="n"/>
      <c r="N61" s="19" t="inlineStr">
        <is>
          <t>One of the first corporate studios in Indian cinema, and a model for the acquisition-and-distribution business that displaced the independent producer.</t>
        </is>
      </c>
      <c r="O61" s="19" t="inlineStr">
        <is>
          <t>Three films, and the three are unusually unalike: David Dhawan's remake Chashme Buddoor (2013), Nandita Das's Manto (2018), in which Kapoor has a small part in a serious biographical film, and The Body (2019), the last film released in his lifetime. The spread is characteristic of a corporate studio's slate rather than of a working relationship.</t>
        </is>
      </c>
      <c r="P61" s="17" t="n">
        <v>3</v>
      </c>
      <c r="Q61" s="5" t="inlineStr">
        <is>
          <t>FILM-141; FILM-156; FILM-159</t>
        </is>
      </c>
      <c r="R61" s="5" t="inlineStr">
        <is>
          <t>Manto (2018)</t>
        </is>
      </c>
      <c r="S61" s="5" t="inlineStr">
        <is>
          <t>Viacom18 Motion Pictures produced or distributed the last three Rishi Kapoor films in this filmography, including the final one released while he was alive. The company was among the first corporate studios in India, running acquisition, production, marketing and worldwide distribution on an integrated model and handling Paramount's Indian releases from 2011; it was later folded into Star Studio18. Its Kapoor films show the range such a studio carried: Chashme Buddoor, a David Dhawan comedy remake; Manto, Nandita Das's biographical film about the Urdu writer, in which Kapoor takes a small role in a festival-facing production quite unlike anything in his lead career; and The Body, a thriller released in December 2019, five months before his death. The studio is less a collaborator than the shape the industry had taken by the end.</t>
        </is>
      </c>
      <c r="T61" s="5" t="inlineStr">
        <is>
          <t>SOURCE-204</t>
        </is>
      </c>
      <c r="U61" s="5" t="inlineStr">
        <is>
          <t>High</t>
        </is>
      </c>
    </row>
    <row r="62" ht="139" customHeight="1">
      <c r="A62" s="15" t="inlineStr">
        <is>
          <t>PERSON-061</t>
        </is>
      </c>
      <c r="B62" s="5" t="inlineStr">
        <is>
          <t>Aadesh Shrivastava</t>
        </is>
      </c>
      <c r="C62" s="5" t="inlineStr">
        <is>
          <t>Song composer; Background-score composer</t>
        </is>
      </c>
      <c r="D62" s="17" t="n">
        <v>1964</v>
      </c>
      <c r="E62" s="17" t="n">
        <v>2015</v>
      </c>
      <c r="F62" s="5" t="inlineStr">
        <is>
          <t>1990–2015</t>
        </is>
      </c>
      <c r="G62" s="5" t="inlineStr">
        <is>
          <t>Hindi cinema</t>
        </is>
      </c>
      <c r="H62" s="5" t="inlineStr">
        <is>
          <t>Aadesh Shrivastava (4 September 1964 – 5 September 2015) was an Indian composer and playback singer from Jabalpur who worked as a drummer for composers including R. D. Burman and Rajesh Roshan before composing independently. He composed for over 100 Hindi films and was married to the singer Vijayta Pandit.</t>
        </is>
      </c>
      <c r="I62" s="5" t="inlineStr">
        <is>
          <t>Began as a session drummer; composing independently from 1990.</t>
        </is>
      </c>
      <c r="J62" s="5" t="inlineStr">
        <is>
          <t>With Kapoor: Yeh Hai Jalwa (2002), Love at Times Square (2003).</t>
        </is>
      </c>
      <c r="K62" s="19" t="inlineStr">
        <is>
          <t>Percussion-forward commercial songs and qawwali-inflected numbers for the 1990s and 2000s mainstream.</t>
        </is>
      </c>
      <c r="L62" s="19" t="inlineStr">
        <is>
          <t>A drummer's composition, rhythm-led and built for large arrangements, often sung by himself.</t>
        </is>
      </c>
      <c r="M62" s="5" t="n"/>
      <c r="N62" s="19" t="inlineStr">
        <is>
          <t>A prolific composer of the 1990s and 2000s whose career began inside the orchestras of the composers he later succeeded.</t>
        </is>
      </c>
      <c r="O62" s="19" t="inlineStr">
        <is>
          <t>Two films, both from 2002–03, in which Kapoor had moved to supporting and elder parts: the David Dhawan comedy Yeh Hai Jalwa and Love at Times Square. His article does not mention Kapoor. The connection worth noting is indirect: he played drums for R. D. Burman and Rajesh Roshan, the two composers with the largest share of Kapoor's own 1970s and 1980s soundtracks.</t>
        </is>
      </c>
      <c r="P62" s="17" t="n">
        <v>2</v>
      </c>
      <c r="Q62" s="5" t="inlineStr">
        <is>
          <t>FILM-114; FILM-116</t>
        </is>
      </c>
      <c r="R62" s="5" t="inlineStr">
        <is>
          <t>Yeh Hai Jalwa (2002)</t>
        </is>
      </c>
      <c r="S62" s="5" t="inlineStr">
        <is>
          <t>Aadesh Shrivastava scored two late Rishi Kapoor films, and his career traces the generational handover in Hindi film music. A drummer from Jabalpur who played in the orchestras of R. D. Burman and Rajesh Roshan — the two composers most responsible for Kapoor's own hits — he began composing in 1990 and worked on more than a hundred films, usually in a percussive, large-ensemble idiom and often singing his own songs. His Kapoor credits are the comedy Yeh Hai Jalwa (2002) and Love at Times Square (2003), both films in which Kapoor plays the older generation. Shrivastava died of cancer in September 2015, one day after his fifty-first birthday.</t>
        </is>
      </c>
      <c r="T62" s="5" t="inlineStr">
        <is>
          <t>SOURCE-205</t>
        </is>
      </c>
      <c r="U62" s="5" t="inlineStr">
        <is>
          <t>High</t>
        </is>
      </c>
    </row>
    <row r="63" ht="139" customHeight="1">
      <c r="A63" s="15" t="inlineStr">
        <is>
          <t>PERSON-062</t>
        </is>
      </c>
      <c r="B63" s="5" t="inlineStr">
        <is>
          <t>Abrar Alvi</t>
        </is>
      </c>
      <c r="C63" s="5" t="inlineStr">
        <is>
          <t>Writer</t>
        </is>
      </c>
      <c r="D63" s="17" t="n">
        <v>1927</v>
      </c>
      <c r="E63" s="17" t="n">
        <v>2009</v>
      </c>
      <c r="F63" s="5" t="inlineStr">
        <is>
          <t>1954–1995</t>
        </is>
      </c>
      <c r="G63" s="5" t="inlineStr">
        <is>
          <t>Hindi cinema</t>
        </is>
      </c>
      <c r="H63" s="5" t="inlineStr">
        <is>
          <t>Abrar Alvi (1 July 1927 – 18 November 2009) was an Indian film writer, director and actor whose most celebrated work was done with Guru Dutt in the 1950s and 1960s. He wrote Pyaasa (1957), Kaagaz Ke Phool (1959) and Sahib Bibi Aur Ghulam (1962), for which he won the Filmfare Award for Best Director.</t>
        </is>
      </c>
      <c r="I63" s="5" t="inlineStr">
        <is>
          <t>Writing from 1954; his collaboration with Guru Dutt began in that decade.</t>
        </is>
      </c>
      <c r="J63" s="5" t="inlineStr">
        <is>
          <t>With Kapoor: Laila Majnu (1976), Gharana (1989). Elsewhere, Pyaasa, Kaagaz Ke Phool and Sahib Bibi Aur Ghulam, which Time magazine's critics included among the All-Time 100 Movies in the case of Pyaasa.</t>
        </is>
      </c>
      <c r="K63" s="19" t="inlineStr">
        <is>
          <t>The doomed artist and the trapped woman; Urdu literary dialogue inside popular melodrama.</t>
        </is>
      </c>
      <c r="L63" s="19" t="inlineStr">
        <is>
          <t>Dialogue of unusual literary weight, written for performers rather than for plot, and a willingness to let a scene rest on silence.</t>
        </is>
      </c>
      <c r="M63" s="5" t="inlineStr">
        <is>
          <t>Filmfare Award for Best Director for Sahib Bibi Aur Ghulam, a credit disputed in his lifetime but never contested by Guru Dutt himself.</t>
        </is>
      </c>
      <c r="N63" s="19" t="inlineStr">
        <is>
          <t>One of the most respected writers in Indian cinema, central to the Guru Dutt films that are now its most internationally admired work.</t>
        </is>
      </c>
      <c r="O63" s="19" t="inlineStr">
        <is>
          <t>Two films, both well after his Guru Dutt years and both unlike it: H. S. Rawail's Laila Majnu (1976), the classical tragic romance in which Kapoor played Qais, and the melodrama Gharana (1989). Laila Majnu is the significant one — a writer of Pyaasa supplying the text for Kapoor's first attempt at mythic, self-destroying love rather than teenage courtship.</t>
        </is>
      </c>
      <c r="P63" s="17" t="n">
        <v>2</v>
      </c>
      <c r="Q63" s="5" t="inlineStr">
        <is>
          <t>FILM-013; FILM-068</t>
        </is>
      </c>
      <c r="R63" s="5" t="inlineStr">
        <is>
          <t>Laila Majnu (1976)</t>
        </is>
      </c>
      <c r="S63" s="5" t="inlineStr">
        <is>
          <t>Abrar Alvi, the writer of Pyaasa and Sahib Bibi Aur Ghulam, wrote two Rishi Kapoor films. His reputation rests on his work with Guru Dutt in the 1950s and early 1960s, which produced some of the most admired films in Indian cinema — Time's critics later listed Pyaasa among the All-Time 100 Movies — and on Sahib Bibi Aur Ghulam, for which he received the Filmfare Award for Best Director amid a long dispute about how much of the film was his. His Kapoor credits came much later: Laila Majnu in 1976, where he supplied the dialogue for the classical tragedy of Qais and Laila, giving the twenty-four-year-old star a register of doomed love quite unlike Bobby's, and Gharana in 1989.</t>
        </is>
      </c>
      <c r="T63" s="5" t="inlineStr">
        <is>
          <t>SOURCE-206</t>
        </is>
      </c>
      <c r="U63" s="5" t="inlineStr">
        <is>
          <t>High</t>
        </is>
      </c>
    </row>
    <row r="64" ht="109" customHeight="1">
      <c r="A64" s="15" t="inlineStr">
        <is>
          <t>PERSON-063</t>
        </is>
      </c>
      <c r="B64" s="5" t="inlineStr">
        <is>
          <t>Achala Nagar</t>
        </is>
      </c>
      <c r="C64" s="5" t="inlineStr">
        <is>
          <t>Writer</t>
        </is>
      </c>
      <c r="D64" s="18" t="n"/>
      <c r="E64" s="18" t="n"/>
      <c r="F64" s="5" t="n"/>
      <c r="G64" s="5" t="inlineStr">
        <is>
          <t>Hindi cinema</t>
        </is>
      </c>
      <c r="H64" s="5" t="inlineStr">
        <is>
          <t>A Hindi-film writer active in the 1980s and 1990s, credited on both of these films with the honorific as Dr. Achala Nagar, which this workbook consolidates to the name. She has no Wikipedia article of her own.</t>
        </is>
      </c>
      <c r="I64" s="5" t="n"/>
      <c r="J64" s="5" t="inlineStr">
        <is>
          <t>With Kapoor: Nagina (1986), Amiri Garibi (1990).</t>
        </is>
      </c>
      <c r="K64" s="19" t="inlineStr">
        <is>
          <t>Melodrama of marriage and social obligation.</t>
        </is>
      </c>
      <c r="L64" s="19" t="inlineStr">
        <is>
          <t>Not documented; on both films she is credited alongside other writers.</t>
        </is>
      </c>
      <c r="M64" s="5" t="n"/>
      <c r="N64" s="19" t="inlineStr">
        <is>
          <t>Not independently documented. Her presence is worth noting for a different reason: women are very scarce among the 561 credited collaborators in this filmography, and she is one of only a handful of credited female writers.</t>
        </is>
      </c>
      <c r="O64" s="19" t="inlineStr">
        <is>
          <t>Two films, both for the director Harmesh Malhotra, who accounts for five Kapoor films in six years: the fantasy hit Nagina (1986) and the melodrama Amiri Garibi (1990).</t>
        </is>
      </c>
      <c r="P64" s="17" t="n">
        <v>2</v>
      </c>
      <c r="Q64" s="5" t="inlineStr">
        <is>
          <t>FILM-056; FILM-075</t>
        </is>
      </c>
      <c r="R64" s="5" t="inlineStr">
        <is>
          <t>Nagina (1986)</t>
        </is>
      </c>
      <c r="S64" s="5" t="inlineStr">
        <is>
          <t>Achala Nagar wrote two Rishi Kapoor films and has no documented biography. Both were directed by Harmesh Malhotra, who was Kapoor's most frequent director of the late 1980s: Nagina (1986), the snake-woman fantasy that became one of the year's biggest hits and briefly restored Kapoor's commercial standing, and Amiri Garibi (1990). She is credited on both as Dr. Achala Nagar. The row is built from film credits alone, but it records something the aggregate does not: of the 561 people and companies credited across this filmography, only a very small number of writers are women, and nearly all of them appear in the family melodramas of this period rather than in the romances on which Kapoor's reputation rests.</t>
        </is>
      </c>
      <c r="T64" s="5" t="inlineStr">
        <is>
          <t>SOURCE-054; SOURCE-071</t>
        </is>
      </c>
      <c r="U64" s="5" t="inlineStr">
        <is>
          <t>Low</t>
        </is>
      </c>
    </row>
    <row r="65" ht="139" customHeight="1">
      <c r="A65" s="15" t="inlineStr">
        <is>
          <t>PERSON-064</t>
        </is>
      </c>
      <c r="B65" s="5" t="inlineStr">
        <is>
          <t>Aditya Raj Kapoor</t>
        </is>
      </c>
      <c r="C65" s="5" t="inlineStr">
        <is>
          <t>Director; Writer</t>
        </is>
      </c>
      <c r="D65" s="17" t="n">
        <v>1956</v>
      </c>
      <c r="E65" s="18" t="n"/>
      <c r="F65" s="5" t="inlineStr">
        <is>
          <t>1973–present</t>
        </is>
      </c>
      <c r="G65" s="5" t="inlineStr">
        <is>
          <t>Hindi cinema; English-language Indian cinema</t>
        </is>
      </c>
      <c r="H65" s="5" t="inlineStr">
        <is>
          <t>Aditya Raj Kapoor (born 1 July 1956) is an Indian actor, filmmaker, author and retired businessman, the son of the actors Shammi Kapoor and Geeta Bali. After a career in business he returned to films as a writer-director in the 2000s.</t>
        </is>
      </c>
      <c r="I65" s="5" t="inlineStr">
        <is>
          <t>On screen from 1973; wrote and directed Don't Stop Dreaming and Sambar Salsa, both released in 2007.</t>
        </is>
      </c>
      <c r="J65" s="5" t="inlineStr">
        <is>
          <t>With Kapoor: Don't Stop Dreaming (2007), Sambar Salsa (2007).</t>
        </is>
      </c>
      <c r="K65" s="19" t="inlineStr">
        <is>
          <t>Small-scale English-language Indian films aimed at an urban and diaspora audience.</t>
        </is>
      </c>
      <c r="L65" s="19" t="inlineStr">
        <is>
          <t>Independent, low-budget filmmaking outside the mainstream Hindi industry his family helped build.</t>
        </is>
      </c>
      <c r="M65" s="5" t="n"/>
      <c r="N65" s="19" t="inlineStr">
        <is>
          <t>Chiefly of interest as a member of the Kapoor family who worked at the margins of the industry rather than at its centre.</t>
        </is>
      </c>
      <c r="O65" s="19" t="inlineStr">
        <is>
          <t>Two films, and they are the only two English-language films in this filmography: Don't Stop Dreaming and Sambar Salsa, both written and directed by him and both released in 2007. He is Rishi Kapoor's first cousin — the son of Shammi Kapoor, Raj Kapoor's brother — which makes these the clearest instance of the family network supplying work in the actor's quiet mid-2000s.</t>
        </is>
      </c>
      <c r="P65" s="17" t="n">
        <v>2</v>
      </c>
      <c r="Q65" s="5" t="inlineStr">
        <is>
          <t>FILM-122; FILM-124</t>
        </is>
      </c>
      <c r="R65" s="5" t="inlineStr">
        <is>
          <t>Don't Stop Dreaming (2007)</t>
        </is>
      </c>
      <c r="S65" s="5" t="inlineStr">
        <is>
          <t>Aditya Raj Kapoor directed the only two English-language films in this filmography, and he is Rishi Kapoor's first cousin. The son of Shammi Kapoor and Geeta Bali, he spent years in business before returning to cinema as a writer-director, making Don't Stop Dreaming and Sambar Salsa in 2007 — small independent films far from the scale of the family's studio productions, released in the stretch between Kapoor's Yash Raj supporting roles and his later Dharma successes. Both are among the least documented entries in the filmography. The pairing is a reminder of how much of Kapoor's work, early and late, came through family: his father directed him, his brothers produced and directed him, and his cousin cast him when little else was on offer.</t>
        </is>
      </c>
      <c r="T65" s="5" t="inlineStr">
        <is>
          <t>SOURCE-207</t>
        </is>
      </c>
      <c r="U65" s="5" t="inlineStr">
        <is>
          <t>High</t>
        </is>
      </c>
    </row>
    <row r="66" ht="124" customHeight="1">
      <c r="A66" s="15" t="inlineStr">
        <is>
          <t>PERSON-065</t>
        </is>
      </c>
      <c r="B66" s="5" t="inlineStr">
        <is>
          <t>Adnan Sami</t>
        </is>
      </c>
      <c r="C66" s="5" t="inlineStr">
        <is>
          <t>Song composer</t>
        </is>
      </c>
      <c r="D66" s="17" t="n">
        <v>1971</v>
      </c>
      <c r="E66" s="18" t="n"/>
      <c r="F66" s="5" t="inlineStr">
        <is>
          <t>1986–present</t>
        </is>
      </c>
      <c r="G66" s="5" t="inlineStr">
        <is>
          <t>Hindi cinema; Indian and Pakistani popular music</t>
        </is>
      </c>
      <c r="H66" s="5" t="inlineStr">
        <is>
          <t>Adnan Sami Khan (born 15 August 1971 in London) is an Indian singer, composer, pianist and actor of Pakistani origin who performs in Hindi, Urdu, English and several South Indian languages. His article credits him as the first musician to play the santoor and Indian classical music on the piano, and reports that he plays 32 instruments.</t>
        </is>
      </c>
      <c r="I66" s="5" t="inlineStr">
        <is>
          <t>Recording from 1986; a major figure in Indian popular music from the late 1990s.</t>
        </is>
      </c>
      <c r="J66" s="5" t="inlineStr">
        <is>
          <t>With Kapoor: Love at Times Square (2003), Sadiyaan (2010).</t>
        </is>
      </c>
      <c r="K66" s="19" t="inlineStr">
        <is>
          <t>The ghazal and the piano ballad brought into film and non-film popular music.</t>
        </is>
      </c>
      <c r="L66" s="19" t="inlineStr">
        <is>
          <t>A performer-composer whose film work is an extension of his concert and album career, built on his own voice and keyboard playing.</t>
        </is>
      </c>
      <c r="M66" s="5" t="inlineStr">
        <is>
          <t>Padma Shri, awarded in January 2020.</t>
        </is>
      </c>
      <c r="N66" s="19" t="inlineStr">
        <is>
          <t>One of the most commercially successful non-film singers to cross into Hindi film music in the 2000s.</t>
        </is>
      </c>
      <c r="O66" s="19" t="inlineStr">
        <is>
          <t>Two films, both marginal to his own career and to Kapoor's: Love at Times Square (2003) and the partition romance Sadiyaan (2010). Neither produced a notable song, and his article does not mention Kapoor.</t>
        </is>
      </c>
      <c r="P66" s="17" t="n">
        <v>2</v>
      </c>
      <c r="Q66" s="5" t="inlineStr">
        <is>
          <t>FILM-116; FILM-133</t>
        </is>
      </c>
      <c r="R66" s="5" t="inlineStr">
        <is>
          <t>Sadiyaan (2010)</t>
        </is>
      </c>
      <c r="S66" s="5" t="inlineStr">
        <is>
          <t>Adnan Sami composed for two of Rishi Kapoor's later films. Born in London in 1971 to a Pakistani family and later an Indian citizen, Sami is better known as a singer and pianist than as a film composer — his article credits him with playing 32 instruments and with being the first to play the santoor and Indian classical music on the piano — and his popularity in India rested on non-film albums before he worked in cinema. He received the Padma Shri in January 2020. His Kapoor credits, Love at Times Square (2003) and Sadiyaan (2010), are minor in both careers. They belong to the period when Kapoor's films were often assembled around whichever popular musician was currently selling, rather than around a composer attached to the production.</t>
        </is>
      </c>
      <c r="T66" s="5" t="inlineStr">
        <is>
          <t>SOURCE-208</t>
        </is>
      </c>
      <c r="U66" s="5" t="inlineStr">
        <is>
          <t>High</t>
        </is>
      </c>
    </row>
    <row r="67" ht="124" customHeight="1">
      <c r="A67" s="15" t="inlineStr">
        <is>
          <t>PERSON-066</t>
        </is>
      </c>
      <c r="B67" s="5" t="inlineStr">
        <is>
          <t>Anand Raj Anand</t>
        </is>
      </c>
      <c r="C67" s="5" t="inlineStr">
        <is>
          <t>Song composer</t>
        </is>
      </c>
      <c r="D67" s="17" t="n">
        <v>1962</v>
      </c>
      <c r="E67" s="18" t="n"/>
      <c r="F67" s="5" t="inlineStr">
        <is>
          <t>1995–present</t>
        </is>
      </c>
      <c r="G67" s="5" t="inlineStr">
        <is>
          <t>Hindi cinema</t>
        </is>
      </c>
      <c r="H67" s="5" t="inlineStr">
        <is>
          <t>Anand Raj Anand (born 14 November 1962 in Delhi) is an Indian composer, lyricist and playback singer in Hindi cinema. He is credited on one of these films as Anand Raaj Anand, a spelling this workbook consolidates.</t>
        </is>
      </c>
      <c r="I67" s="5" t="inlineStr">
        <is>
          <t>Composing from 1995; came to notice with Kaante (2002).</t>
        </is>
      </c>
      <c r="J67" s="5" t="inlineStr">
        <is>
          <t>With Kapoor: Yeh Hai Jalwa (2002), Love Ke Chakkar Mein (2006). Elsewhere, Kaante, Musafir, Shootout at Lokhandwala, Welcome and Shootout at Wadala.</t>
        </is>
      </c>
      <c r="K67" s="19" t="inlineStr">
        <is>
          <t>Hard-edged urban songs for crime and action films, and the Punjabi-inflected dance number.</t>
        </is>
      </c>
      <c r="L67" s="19" t="inlineStr">
        <is>
          <t>A composer-lyricist-singer who writes and performs his own hooks, usually for male-centred action cinema.</t>
        </is>
      </c>
      <c r="M67" s="5" t="inlineStr">
        <is>
          <t>Filmfare nomination for Best Music Director for Kaante (2003).</t>
        </is>
      </c>
      <c r="N67" s="19" t="inlineStr">
        <is>
          <t>A dependable composer of the 2000s action film, writing songs designed to function as standalone singles.</t>
        </is>
      </c>
      <c r="O67" s="19" t="inlineStr">
        <is>
          <t>Two films, both from Kapoor's weakest commercial stretch as a lead-turned-supporting player: Yeh Hai Jalwa (2002) and Love Ke Chakkar Mein (2006), the latter one of the few outright unsympathetic parts of his career, in which he is top-billed but functionally the antagonist. His article does not mention Kapoor.</t>
        </is>
      </c>
      <c r="P67" s="17" t="n">
        <v>2</v>
      </c>
      <c r="Q67" s="5" t="inlineStr">
        <is>
          <t>FILM-114; FILM-121</t>
        </is>
      </c>
      <c r="R67" s="5" t="inlineStr">
        <is>
          <t>Love Ke Chakkar Mein (2006)</t>
        </is>
      </c>
      <c r="S67" s="5" t="inlineStr">
        <is>
          <t>Anand Raj Anand wrote songs for two Rishi Kapoor films of the 2000s. A Delhi-born composer, lyricist and singer who came to notice with Kaante in 2002 and earned a Filmfare nomination for it, he specialised in the hard-edged urban soundtrack of the decade's crime and action films, usually writing and singing his own hooks. His Kapoor films are Yeh Hai Jalwa, a David Dhawan comedy in which Kapoor plays the older generation, and Love Ke Chakkar Mein (2006), a variation on Indecent Proposal in which Kapoor is top-billed but is effectively the villain, coercing a younger couple — one of the very few unsympathetic roles he accepted. His name appears in these credits in two spellings, consolidated here to the one his article uses.</t>
        </is>
      </c>
      <c r="T67" s="5" t="inlineStr">
        <is>
          <t>SOURCE-209</t>
        </is>
      </c>
      <c r="U67" s="5" t="inlineStr">
        <is>
          <t>High</t>
        </is>
      </c>
    </row>
    <row r="68" ht="124" customHeight="1">
      <c r="A68" s="15" t="inlineStr">
        <is>
          <t>PERSON-067</t>
        </is>
      </c>
      <c r="B68" s="5" t="inlineStr">
        <is>
          <t>Anees Bazmee</t>
        </is>
      </c>
      <c r="C68" s="5" t="inlineStr">
        <is>
          <t>Writer</t>
        </is>
      </c>
      <c r="D68" s="18" t="n"/>
      <c r="E68" s="18" t="n"/>
      <c r="F68" s="5" t="inlineStr">
        <is>
          <t>1982–present</t>
        </is>
      </c>
      <c r="G68" s="5" t="inlineStr">
        <is>
          <t>Hindi cinema</t>
        </is>
      </c>
      <c r="H68" s="5" t="inlineStr">
        <is>
          <t>Anees Bazmee, born in Modasa, Gujarat, is an Indian director, screenwriter and producer in Hindi cinema. He worked for years as a writer of commercial comedies and action films before becoming one of the industry's most successful comedy directors. He is credited on Bol Radha Bol as Aneez Bazmee for dialogue, a spelling this workbook consolidates.</t>
        </is>
      </c>
      <c r="I68" s="5" t="inlineStr">
        <is>
          <t>Writing from 1982; his directing successes begin with No Entry (2005).</t>
        </is>
      </c>
      <c r="J68" s="5" t="inlineStr">
        <is>
          <t>With Kapoor: Bol Radha Bol (1992), Raju Chacha (2000). Elsewhere, as director, No Entry, Welcome, Singh is Kinng and the Bhool Bhulaiyaa sequels.</t>
        </is>
      </c>
      <c r="K68" s="19" t="inlineStr">
        <is>
          <t>Farce of mistaken identity and multiple deceptions; the large-ensemble comedy.</t>
        </is>
      </c>
      <c r="L68" s="19" t="inlineStr">
        <is>
          <t>Dialogue-driven comedy built on escalating confusion, written for star performers and later directed by himself.</t>
        </is>
      </c>
      <c r="M68" s="5" t="n"/>
      <c r="N68" s="19" t="inlineStr">
        <is>
          <t>One of the most commercially successful comedy writer-directors of post-2000 Hindi cinema.</t>
        </is>
      </c>
      <c r="O68" s="19" t="inlineStr">
        <is>
          <t>Two films, both as writer rather than director: the dialogue for David Dhawan's double-role comedy Bol Radha Bol (1992), one of Kapoor's last hits as a lead, and Raju Chacha (2000). His article does not mention Kapoor.</t>
        </is>
      </c>
      <c r="P68" s="17" t="n">
        <v>2</v>
      </c>
      <c r="Q68" s="5" t="inlineStr">
        <is>
          <t>FILM-089; FILM-112</t>
        </is>
      </c>
      <c r="R68" s="5" t="inlineStr">
        <is>
          <t>Bol Radha Bol (1992)</t>
        </is>
      </c>
      <c r="S68" s="5" t="inlineStr">
        <is>
          <t>Anees Bazmee wrote dialogue for two Rishi Kapoor films before becoming a director in his own right. Born in Modasa, Gujarat, Bazmee spent the 1980s and 1990s writing commercial comedies and action pictures, then built one of the most consistently profitable directing careers in Hindi cinema with No Entry, Welcome, Singh is Kinng and the Bhool Bhulaiyaa sequels. His contribution here is the dialogue for Bol Radha Bol (1992), David Dhawan's double-role farce and one of the last unambiguous hits of Kapoor's leading career, and for Raju Chacha in 2000. The credits illustrate a pattern visible across this filmography: the writers and directors who would dominate the following two decades of popular Hindi cinema were, in Kapoor's last years as a lead, still working as his hired hands.</t>
        </is>
      </c>
      <c r="T68" s="5" t="inlineStr">
        <is>
          <t>SOURCE-210</t>
        </is>
      </c>
      <c r="U68" s="5" t="inlineStr">
        <is>
          <t>High</t>
        </is>
      </c>
    </row>
    <row r="69" ht="109" customHeight="1">
      <c r="A69" s="15" t="inlineStr">
        <is>
          <t>PERSON-068</t>
        </is>
      </c>
      <c r="B69" s="5" t="inlineStr">
        <is>
          <t>Arko</t>
        </is>
      </c>
      <c r="C69" s="5" t="inlineStr">
        <is>
          <t>Song composer</t>
        </is>
      </c>
      <c r="D69" s="18" t="n"/>
      <c r="E69" s="18" t="n"/>
      <c r="F69" s="5" t="inlineStr">
        <is>
          <t>2012–present</t>
        </is>
      </c>
      <c r="G69" s="5" t="inlineStr">
        <is>
          <t>Hindi cinema</t>
        </is>
      </c>
      <c r="H69" s="5" t="inlineStr">
        <is>
          <t>Arko Pravo Mukherjee, known by the mononym Arko, is an Indian composer, singer, lyricist and producer from Kolkata, and a qualified doctor. He has written and composed widely heard songs including 'Teri Mitti' (Kesari), 'Nazm Nazm' (Bareilly Ki Barfi), 'Tere Sang Yaara' (Rustom) and 'Saathi Rey' (Kapoor &amp; Sons).</t>
        </is>
      </c>
      <c r="I69" s="5" t="inlineStr">
        <is>
          <t>Composing for Hindi films from 2012.</t>
        </is>
      </c>
      <c r="J69" s="5" t="inlineStr">
        <is>
          <t>With Kapoor: Kapoor &amp; Sons (2016), The Body (2019). Elsewhere, Kesari, Rustom, Bareilly Ki Barfi and Gold.</t>
        </is>
      </c>
      <c r="K69" s="19" t="inlineStr">
        <is>
          <t>The single-song commission: romantic ballads and patriotic numbers written for films scored by several composers.</t>
        </is>
      </c>
      <c r="L69" s="19" t="inlineStr">
        <is>
          <t>A composer-lyricist who writes and often sings one defining song per film rather than a whole soundtrack.</t>
        </is>
      </c>
      <c r="M69" s="5" t="n"/>
      <c r="N69" s="19" t="inlineStr">
        <is>
          <t>Representative of the 2010s model in which a film's songs are commissioned individually from several composers.</t>
        </is>
      </c>
      <c r="O69" s="19" t="inlineStr">
        <is>
          <t>Two films at the very end of the career: Kapoor &amp; Sons (2016), for which he wrote 'Saathi Rey', and The Body (2019), the last film released in Kapoor's lifetime. Both are multi-composer soundtracks, which is the norm for the period and the opposite of the single-composer scores of his youth.</t>
        </is>
      </c>
      <c r="P69" s="17" t="n">
        <v>2</v>
      </c>
      <c r="Q69" s="5" t="inlineStr">
        <is>
          <t>FILM-152; FILM-159</t>
        </is>
      </c>
      <c r="R69" s="5" t="inlineStr">
        <is>
          <t>Kapoor &amp; Sons (2016)</t>
        </is>
      </c>
      <c r="S69" s="5" t="inlineStr">
        <is>
          <t>Arko wrote songs for the last two Rishi Kapoor films released while he was alive. A Kolkata-born composer, lyricist and singer who is also a qualified doctor, Arko Pravo Mukherjee has worked in Hindi cinema since 2012 in the characteristic manner of the period: commissioned one song at a time, for films whose soundtracks are divided among several composers. Among his widely heard songs are 'Teri Mitti' from Kesari and 'Tere Sang Yaara' from Rustom. For Kapoor he wrote 'Saathi Rey' in Kapoor &amp; Sons (2016), the family ensemble that gave the actor his most admired late performance, and a song for The Body (2019). The contrast with Laxmikant–Pyarelal's 32 films is the clearest measure of how the business of film music changed across this career.</t>
        </is>
      </c>
      <c r="T69" s="5" t="inlineStr">
        <is>
          <t>SOURCE-211</t>
        </is>
      </c>
      <c r="U69" s="5" t="inlineStr">
        <is>
          <t>High</t>
        </is>
      </c>
    </row>
    <row r="70" ht="154" customHeight="1">
      <c r="A70" s="15" t="inlineStr">
        <is>
          <t>PERSON-069</t>
        </is>
      </c>
      <c r="B70" s="5" t="inlineStr">
        <is>
          <t>Asrani</t>
        </is>
      </c>
      <c r="C70" s="5" t="inlineStr">
        <is>
          <t>Director</t>
        </is>
      </c>
      <c r="D70" s="17" t="n">
        <v>1941</v>
      </c>
      <c r="E70" s="17" t="n">
        <v>2025</v>
      </c>
      <c r="F70" s="5" t="inlineStr">
        <is>
          <t>1967–2025</t>
        </is>
      </c>
      <c r="G70" s="5" t="inlineStr">
        <is>
          <t>Hindi cinema; Gujarati cinema</t>
        </is>
      </c>
      <c r="H70" s="5" t="inlineStr">
        <is>
          <t>Govardhan Kumar Asrani, known professionally as Asrani (1 January 1941 – 20 October 2025), was an Indian actor and film director from Jaipur whose career spanned more than five decades and over 350 Hindi and Gujarati films. He is best remembered as the Hitler-caricaturing jailor in Sholay and for appearing in 25 films with Rajesh Khanna.</t>
        </is>
      </c>
      <c r="I70" s="5" t="inlineStr">
        <is>
          <t>Acting from 1967; he wrote, directed and starred in Chala Murari Hero Banne (1977).</t>
        </is>
      </c>
      <c r="J70" s="5" t="inlineStr">
        <is>
          <t>With Kapoor: Chala Murari Hero Banne (1977), Salaam Memsaab (1979), both of which he directed and in both of which he played the lead. Elsewhere, Sholay, Aaj Ki Taaza Khabar and Balika Badhu.</t>
        </is>
      </c>
      <c r="K70" s="19" t="inlineStr">
        <is>
          <t>Satire of the film industry itself, and the comic everyman as protagonist.</t>
        </is>
      </c>
      <c r="L70" s="19" t="inlineStr">
        <is>
          <t>A comedian's direction: performance-led, self-deprecating, and built around his own screen persona rather than a star's.</t>
        </is>
      </c>
      <c r="M70" s="5" t="inlineStr">
        <is>
          <t>Two Filmfare Awards for Best Comedian, for Aaj Ki Taaza Khabar (1974) and Balika Badhu (1977).</t>
        </is>
      </c>
      <c r="N70" s="19" t="inlineStr">
        <is>
          <t>One of the most prolific and best-loved comic actors in Hindi cinema, with a sideline as a director of films about the industry.</t>
        </is>
      </c>
      <c r="O70" s="19" t="inlineStr">
        <is>
          <t>Two films, both of which Asrani directed and in both of which he, not Kapoor, played the lead — an unusual arrangement in this filmography. Chala Murari Hero Banne (1977) is a satire about a man trying to become a film hero, in which Kapoor appears as part of a large cast of stars playing within the joke; Salaam Memsaab (1979) followed. His article records that he took the lead in both.</t>
        </is>
      </c>
      <c r="P70" s="17" t="n">
        <v>2</v>
      </c>
      <c r="Q70" s="5" t="inlineStr">
        <is>
          <t>FILM-017; FILM-024</t>
        </is>
      </c>
      <c r="R70" s="5" t="inlineStr">
        <is>
          <t>Chala Murari Hero Banne (1977)</t>
        </is>
      </c>
      <c r="S70" s="5" t="inlineStr">
        <is>
          <t>Asrani directed two films in this filmography, and in both he was the hero and Rishi Kapoor the guest. One of Hindi cinema's most prolific comic actors, with more than 350 films across five decades and two Filmfare Awards for Best Comedian, Asrani is remembered above all as the Hitler-aping jailor of Sholay. He also wrote and directed, and Chala Murari Hero Banne (1977) is his best-known work behind the camera: a satire about a hopeful trying to become a film star, in which the real stars appear as themselves or in cameo, Kapoor among them. Salaam Memsaab followed in 1979. The two films are useful markers of how quickly Kapoor's stardom became something other films could borrow and joke about. Asrani died in October 2025.</t>
        </is>
      </c>
      <c r="T70" s="5" t="inlineStr">
        <is>
          <t>SOURCE-212</t>
        </is>
      </c>
      <c r="U70" s="5" t="inlineStr">
        <is>
          <t>High</t>
        </is>
      </c>
    </row>
    <row r="71" ht="184" customHeight="1">
      <c r="A71" s="15" t="inlineStr">
        <is>
          <t>PERSON-070</t>
        </is>
      </c>
      <c r="B71" s="5" t="inlineStr">
        <is>
          <t>B. R. Chopra</t>
        </is>
      </c>
      <c r="C71" s="5" t="inlineStr">
        <is>
          <t>Director; Producer</t>
        </is>
      </c>
      <c r="D71" s="17" t="n">
        <v>1914</v>
      </c>
      <c r="E71" s="17" t="n">
        <v>2008</v>
      </c>
      <c r="F71" s="5" t="inlineStr">
        <is>
          <t>1944–2006</t>
        </is>
      </c>
      <c r="G71" s="5" t="inlineStr">
        <is>
          <t>Hindi cinema; Indian television</t>
        </is>
      </c>
      <c r="H71" s="5" t="inlineStr">
        <is>
          <t>Baldev Raj Chopra (22 April 1914 – 5 November 2008) was an Indian director and producer, a pioneer of both the Hindi social film and Indian television serials. He directed Afsana, Ek Hi Raasta, Naya Daur, Kanoon, Gumrah, Hamraaz, Dhund, Pati Patni Aur Woh and Nikaah, produced Dhool Ka Phool, Waqt, Ittefaq and The Burning Train, and made the television Mahabharat. He was the elder brother of Yash Chopra.</t>
        </is>
      </c>
      <c r="I71" s="5" t="inlineStr">
        <is>
          <t>Working from 1944; his breakthrough as a director came in the 1950s.</t>
        </is>
      </c>
      <c r="J71" s="5" t="inlineStr">
        <is>
          <t>With Kapoor: Pati Patni Aur Woh (1978), Tawaif (1985). Elsewhere, Naya Daur, Kanoon, Gumrah, Nikaah and the Mahabharat television series.</t>
        </is>
      </c>
      <c r="K71" s="19" t="inlineStr">
        <is>
          <t>The social problem film: adultery, law, communal division and the position of women, treated as argument rather than spectacle.</t>
        </is>
      </c>
      <c r="L71" s="19" t="inlineStr">
        <is>
          <t>Issue-driven mainstream cinema with a didactic structure, often built around a courtroom or a moral debate.</t>
        </is>
      </c>
      <c r="M71" s="5" t="inlineStr">
        <is>
          <t>Dadasaheb Phalke Award for 1998 and the Padma Bhushan in 2001.</t>
        </is>
      </c>
      <c r="N71" s="19" t="inlineStr">
        <is>
          <t>One of the most important social filmmakers of Hindi cinema and the maker of its most widely watched television adaptation.</t>
        </is>
      </c>
      <c r="O71" s="19" t="inlineStr">
        <is>
          <t>Two films, and both put Kapoor's romantic persona under pressure. Pati Patni Aur Woh (1978) is a comedy of adultery in which he is the husband who deceives both wife and mistress; Tawaif (1985), written by Rahi Masoom Raza, casts him as a man who takes in a courtesan and comes to love her. In a filmography dominated by courtship, these are two of the few films that treat marriage and its failures as the subject. His article names Pati Patni Aur Woh among his notable films.</t>
        </is>
      </c>
      <c r="P71" s="17" t="n">
        <v>2</v>
      </c>
      <c r="Q71" s="5" t="inlineStr">
        <is>
          <t>FILM-020; FILM-050</t>
        </is>
      </c>
      <c r="R71" s="5" t="inlineStr">
        <is>
          <t>Tawaif (1985)</t>
        </is>
      </c>
      <c r="S71" s="5" t="inlineStr">
        <is>
          <t>B. R. Chopra directed Rishi Kapoor twice, and both films stand apart from the courtships that define the rest of this filmography. The elder brother of Yash Chopra, Chopra was Hindi cinema's foremost maker of social problem films — Naya Daur, Kanoon, Gumrah, Nikaah — and later of the television Mahabharat, work for which he received the Dadasaheb Phalke Award and the Padma Bhushan. He cast Kapoor in Pati Patni Aur Woh (1978) as a husband conducting an affair and lying to both women, and in Tawaif (1985) as a man who gives shelter to a courtesan and falls in love with her, from a Rahi Masoom Raza script. Where most of Kapoor's directors asked him to be loveable, Chopra asked him to be compromised — a distinction that matters for reading the lover-boy pattern across the career.</t>
        </is>
      </c>
      <c r="T71" s="5" t="inlineStr">
        <is>
          <t>SOURCE-213</t>
        </is>
      </c>
      <c r="U71" s="5" t="inlineStr">
        <is>
          <t>High</t>
        </is>
      </c>
    </row>
    <row r="72" ht="109" customHeight="1">
      <c r="A72" s="15" t="inlineStr">
        <is>
          <t>PERSON-071</t>
        </is>
      </c>
      <c r="B72" s="5" t="inlineStr">
        <is>
          <t>B. S. Shaad</t>
        </is>
      </c>
      <c r="C72" s="5" t="inlineStr">
        <is>
          <t>Producer</t>
        </is>
      </c>
      <c r="D72" s="18" t="n"/>
      <c r="E72" s="18" t="n"/>
      <c r="F72" s="5" t="n"/>
      <c r="G72" s="5" t="inlineStr">
        <is>
          <t>Hindi cinema</t>
        </is>
      </c>
      <c r="H72" s="5" t="inlineStr">
        <is>
          <t>A Hindi-film producer active in the early 1990s, with no Wikipedia article of his own.</t>
        </is>
      </c>
      <c r="I72" s="5" t="n"/>
      <c r="J72" s="5" t="inlineStr">
        <is>
          <t>With Kapoor: Pehla Pehla Pyar (1994), Prem Yog (1994).</t>
        </is>
      </c>
      <c r="K72" s="19" t="inlineStr">
        <is>
          <t>Romance built on the established Kapoor persona, produced at modest scale.</t>
        </is>
      </c>
      <c r="L72" s="19" t="inlineStr">
        <is>
          <t>Not documented.</t>
        </is>
      </c>
      <c r="M72" s="5" t="n"/>
      <c r="N72" s="19" t="inlineStr">
        <is>
          <t>Not independently documented.</t>
        </is>
      </c>
      <c r="O72" s="19" t="inlineStr">
        <is>
          <t>Two films, both released in 1994 and both written by Rumi Jaffery with Honey Irani also credited on one — romances made for a star whose romantic appeal was at that point no longer commercially current. They belong to the cluster of small productions that fills the last years of Kapoor's lead career.</t>
        </is>
      </c>
      <c r="P72" s="17" t="n">
        <v>2</v>
      </c>
      <c r="Q72" s="5" t="inlineStr">
        <is>
          <t>FILM-101; FILM-102</t>
        </is>
      </c>
      <c r="R72" s="5" t="inlineStr">
        <is>
          <t>Pehla Pehla Pyar (1994)</t>
        </is>
      </c>
      <c r="S72" s="5" t="inlineStr">
        <is>
          <t>B. S. Shaad produced two Rishi Kapoor films, both released in 1994, and nothing about him is documented. Pehla Pehla Pyar and Prem Yog are romances written to the persona Kapoor had carried since Bobby, made at a point when audiences had moved to Shah Rukh Khan, Aamir Khan and Salman Khan; both were written by Rumi Jaffery, and Honey Irani is credited on them as well. The pairing is typical of this stretch of the filmography, in which a small producer, a comedy writer and an ageing romantic lead combined on films that received little attention then and have left almost no record since. This row is built from film credits alone.</t>
        </is>
      </c>
      <c r="T72" s="5" t="inlineStr">
        <is>
          <t>SOURCE-093; SOURCE-095</t>
        </is>
      </c>
      <c r="U72" s="5" t="inlineStr">
        <is>
          <t>Low</t>
        </is>
      </c>
    </row>
    <row r="73" ht="139" customHeight="1">
      <c r="A73" s="15" t="inlineStr">
        <is>
          <t>PERSON-072</t>
        </is>
      </c>
      <c r="B73" s="5" t="inlineStr">
        <is>
          <t>Bittu Anand</t>
        </is>
      </c>
      <c r="C73" s="5" t="inlineStr">
        <is>
          <t>Producer</t>
        </is>
      </c>
      <c r="D73" s="18" t="n"/>
      <c r="E73" s="18" t="n"/>
      <c r="F73" s="5" t="n"/>
      <c r="G73" s="5" t="inlineStr">
        <is>
          <t>Hindi cinema</t>
        </is>
      </c>
      <c r="H73" s="5" t="inlineStr">
        <is>
          <t>A Hindi-film producer active from the late 1970s to the mid-1980s, with no Wikipedia article of his own. The article on the writer Inder Raj Anand, who has two credits of his own in this filmography, names Bittu Anand as his son and a producer, and the actor-director Tinnu Anand as another son. He is credited on Yeh Ishq Nahin Aasaan as Bitu Anand, a spelling this workbook consolidates.</t>
        </is>
      </c>
      <c r="I73" s="5" t="n"/>
      <c r="J73" s="5" t="inlineStr">
        <is>
          <t>With Kapoor: Duniya Meri Jeb Mein (1979), Yeh Ishq Nahin Aasaan (1984).</t>
        </is>
      </c>
      <c r="K73" s="19" t="inlineStr">
        <is>
          <t>Romance and melodrama produced in partnership with Naresh Malhotra.</t>
        </is>
      </c>
      <c r="L73" s="19" t="inlineStr">
        <is>
          <t>Not documented.</t>
        </is>
      </c>
      <c r="M73" s="5" t="n"/>
      <c r="N73" s="19" t="inlineStr">
        <is>
          <t>Not independently documented; of interest as part of the Anand filmmaking family.</t>
        </is>
      </c>
      <c r="O73" s="19" t="inlineStr">
        <is>
          <t>Two films, both co-produced with Naresh Malhotra and both starring Kapoor as a romantic lead: Duniya Meri Jeb Mein (1979) and Yeh Ishq Nahin Aasaan (1984). His father Inder Raj Anand wrote two other films in this filmography, so the family appears on four of Kapoor's films in different capacities.</t>
        </is>
      </c>
      <c r="P73" s="17" t="n">
        <v>2</v>
      </c>
      <c r="Q73" s="5" t="inlineStr">
        <is>
          <t>FILM-026; FILM-044</t>
        </is>
      </c>
      <c r="R73" s="5" t="inlineStr">
        <is>
          <t>Duniya Meri Jeb Mein (1979)</t>
        </is>
      </c>
      <c r="S73" s="5" t="inlineStr">
        <is>
          <t>Bittu Anand produced two Rishi Kapoor films and has no article of his own; what is documented about him appears in his father's. Inder Raj Anand, the Urdu writer who scripted many Raj Kapoor films and has two credits in this filmography, is recorded as the father of both the actor-director Tinnu Anand and the producer Bittu Anand, with the director Siddharth Anand a grandson. Bittu Anand's own films with Kapoor — Duniya Meri Jeb Mein (1979) and Yeh Ishq Nahin Aasaan (1984) — were both co-produced with Naresh Malhotra and both cast Kapoor as a romantic lead in the years between Bobby's afterglow and the thin mid-1980s. The family's presence across four films in different functions is the more interesting fact; his own row rests on credits alone.</t>
        </is>
      </c>
      <c r="T73" s="5" t="inlineStr">
        <is>
          <t>SOURCE-026; SOURCE-044</t>
        </is>
      </c>
      <c r="U73" s="5" t="inlineStr">
        <is>
          <t>Low</t>
        </is>
      </c>
    </row>
    <row r="74" ht="109" customHeight="1">
      <c r="A74" s="15" t="inlineStr">
        <is>
          <t>PERSON-073</t>
        </is>
      </c>
      <c r="B74" s="5" t="inlineStr">
        <is>
          <t>C. J. Pavri</t>
        </is>
      </c>
      <c r="C74" s="5" t="inlineStr">
        <is>
          <t>Writer</t>
        </is>
      </c>
      <c r="D74" s="18" t="n"/>
      <c r="E74" s="18" t="n"/>
      <c r="F74" s="5" t="n"/>
      <c r="G74" s="5" t="inlineStr">
        <is>
          <t>Hindi cinema</t>
        </is>
      </c>
      <c r="H74" s="5" t="inlineStr">
        <is>
          <t>A Hindi-film writer active in the 1980s, with no Wikipedia article of his own. He is credited on Bade Dilwala as C.J. Pavri, a spelling this workbook consolidates.</t>
        </is>
      </c>
      <c r="I74" s="5" t="n"/>
      <c r="J74" s="5" t="inlineStr">
        <is>
          <t>With Kapoor: Bade Dilwala (1983), Tawaif (1985).</t>
        </is>
      </c>
      <c r="K74" s="19" t="inlineStr">
        <is>
          <t>Melodrama of social respectability, written in collaboration.</t>
        </is>
      </c>
      <c r="L74" s="19" t="inlineStr">
        <is>
          <t>Not documented; on both films he is credited alongside Rahi Masoom Raza.</t>
        </is>
      </c>
      <c r="M74" s="5" t="n"/>
      <c r="N74" s="19" t="inlineStr">
        <is>
          <t>Not independently documented.</t>
        </is>
      </c>
      <c r="O74" s="19" t="inlineStr">
        <is>
          <t>Two films, both shared with Rahi Masoom Raza, who wrote six Kapoor films in the 1980s: Bade Dilwala (1983) and B. R. Chopra's Tawaif (1985). The second is among the better films of Kapoor's middle period, which makes this undocumented writer a contributor to one of its more serious works.</t>
        </is>
      </c>
      <c r="P74" s="17" t="n">
        <v>2</v>
      </c>
      <c r="Q74" s="5" t="inlineStr">
        <is>
          <t>FILM-040; FILM-050</t>
        </is>
      </c>
      <c r="R74" s="5" t="inlineStr">
        <is>
          <t>Tawaif (1985)</t>
        </is>
      </c>
      <c r="S74" s="5" t="inlineStr">
        <is>
          <t>C. J. Pavri wrote two Rishi Kapoor films and left no record beyond the credits. Both were shared with Rahi Masoom Raza, the Urdu novelist and three-time Filmfare dialogue winner who was Kapoor's most literate collaborator of the 1980s: Bade Dilwala in 1983 and, more substantially, B. R. Chopra's Tawaif in 1985, the story of a courtesan taken into a man's home who becomes the object of his love. That a writer on a film of that standing should have no biography at all is characteristic of the lower tiers of this workbook's Collaborators sheet, where the credits of the period are often the only surviving evidence that a person worked in the industry.</t>
        </is>
      </c>
      <c r="T74" s="5" t="inlineStr">
        <is>
          <t>SOURCE-039; SOURCE-046</t>
        </is>
      </c>
      <c r="U74" s="5" t="inlineStr">
        <is>
          <t>Low</t>
        </is>
      </c>
    </row>
    <row r="75" ht="139" customHeight="1">
      <c r="A75" s="15" t="inlineStr">
        <is>
          <t>PERSON-074</t>
        </is>
      </c>
      <c r="B75" s="5" t="inlineStr">
        <is>
          <t>Deepak Mukut</t>
        </is>
      </c>
      <c r="C75" s="5" t="inlineStr">
        <is>
          <t>Producer</t>
        </is>
      </c>
      <c r="D75" s="18" t="n"/>
      <c r="E75" s="18" t="n"/>
      <c r="F75" s="5" t="n"/>
      <c r="G75" s="5" t="inlineStr">
        <is>
          <t>Hindi cinema</t>
        </is>
      </c>
      <c r="H75" s="5" t="inlineStr">
        <is>
          <t>Deepak Mukut is an Indian film producer and distributor from Jaipur, the founder of Soham Rockstar Entertainment and Jhoom Jhoom Media. His productions include Sanam Teri Kasam, Mulk, Forensic, Thank God and Dhaakad.</t>
        </is>
      </c>
      <c r="I75" s="5" t="inlineStr">
        <is>
          <t>A distributor before becoming a producer; Soham Rockstar Entertainment is his own banner.</t>
        </is>
      </c>
      <c r="J75" s="5" t="inlineStr">
        <is>
          <t>With Kapoor: Mulk (2018), Jhootha Kahin Ka (2019).</t>
        </is>
      </c>
      <c r="K75" s="19" t="inlineStr">
        <is>
          <t>Mid-budget films spanning issue-driven drama and broad comedy.</t>
        </is>
      </c>
      <c r="L75" s="19" t="inlineStr">
        <is>
          <t>A distributor-turned-producer backing modestly budgeted films across genres.</t>
        </is>
      </c>
      <c r="M75" s="5" t="n"/>
      <c r="N75" s="19" t="inlineStr">
        <is>
          <t>A significant independent producer of the late 2010s.</t>
        </is>
      </c>
      <c r="O75" s="19" t="inlineStr">
        <is>
          <t>Two films in Kapoor's final two years, and they could hardly be less alike: Anubhav Sinha's Mulk (2018), in which Kapoor plays a Muslim lawyer's patriarch defending his family against a terrorism charge — among the most substantial roles of his late career — and the farce Jhootha Kahin Ka (2019). His article names Mulk among the films that brought him awards.</t>
        </is>
      </c>
      <c r="P75" s="17" t="n">
        <v>2</v>
      </c>
      <c r="Q75" s="5" t="inlineStr">
        <is>
          <t>FILM-155; FILM-158</t>
        </is>
      </c>
      <c r="R75" s="5" t="inlineStr">
        <is>
          <t>Mulk (2018)</t>
        </is>
      </c>
      <c r="S75" s="5" t="inlineStr">
        <is>
          <t>Deepak Mukut produced two of Rishi Kapoor's last films, one of them among the best things he did. A distributor from Jaipur who became a producer through his own Soham Rockstar Entertainment, Mukut backed mid-budget Hindi films across genres — Sanam Teri Kasam, Forensic, Thank God, Dhaakad — and, in 2018, Anubhav Sinha's Mulk, in which Kapoor plays Murad Ali Mohammed, the head of a Muslim family in Varanasi whose nephew is accused of terrorism. It gave him a late role of real weight and is one of the films that reframed his career as something more than romance. The following year Mukut produced Jhootha Kahin Ka, a broad comedy and one of Kapoor's last releases. The two together show the range available to him at the end.</t>
        </is>
      </c>
      <c r="T75" s="5" t="inlineStr">
        <is>
          <t>SOURCE-214</t>
        </is>
      </c>
      <c r="U75" s="5" t="inlineStr">
        <is>
          <t>High</t>
        </is>
      </c>
    </row>
    <row r="76" ht="124" customHeight="1">
      <c r="A76" s="15" t="inlineStr">
        <is>
          <t>PERSON-075</t>
        </is>
      </c>
      <c r="B76" s="5" t="inlineStr">
        <is>
          <t>Eastern Films</t>
        </is>
      </c>
      <c r="C76" s="5" t="inlineStr">
        <is>
          <t>Production banner</t>
        </is>
      </c>
      <c r="D76" s="18" t="n"/>
      <c r="E76" s="18" t="n"/>
      <c r="F76" s="5" t="n"/>
      <c r="G76" s="5" t="inlineStr">
        <is>
          <t>Hindi cinema</t>
        </is>
      </c>
      <c r="H76" s="5" t="inlineStr">
        <is>
          <t>A Hindi-film production banner of the 1980s, with no Wikipedia article of its own. It is credited on Nigahen as Eastern films, a spelling this workbook consolidates.</t>
        </is>
      </c>
      <c r="I76" s="5" t="n"/>
      <c r="J76" s="5" t="inlineStr">
        <is>
          <t>With Kapoor: Nagina (1986), Nigahen (1989).</t>
        </is>
      </c>
      <c r="K76" s="19" t="inlineStr">
        <is>
          <t>The snake-woman fantasy: both of its films here are entries in that cycle.</t>
        </is>
      </c>
      <c r="L76" s="19" t="inlineStr">
        <is>
          <t>Not documented; both films were directed by Harmesh Malhotra.</t>
        </is>
      </c>
      <c r="M76" s="5" t="n"/>
      <c r="N76" s="19" t="inlineStr">
        <is>
          <t>Not independently documented; of interest as the banner behind one of the biggest commercial successes of Kapoor's middle period.</t>
        </is>
      </c>
      <c r="O76" s="19" t="inlineStr">
        <is>
          <t>Two films, and they are a sequel pair: Nagina (1986), the hit in which Kapoor marries a shape-shifting serpent woman played by Sridevi, and Nigahen (1989), its follow-up. Both were directed by Harmesh Malhotra and scored by Laxmikant–Pyarelal, making this a single production unit working twice on the same formula.</t>
        </is>
      </c>
      <c r="P76" s="17" t="n">
        <v>2</v>
      </c>
      <c r="Q76" s="5" t="inlineStr">
        <is>
          <t>FILM-056; FILM-073</t>
        </is>
      </c>
      <c r="R76" s="5" t="inlineStr">
        <is>
          <t>Nagina (1986)</t>
        </is>
      </c>
      <c r="S76" s="5" t="inlineStr">
        <is>
          <t>Eastern Films produced the two snake-woman fantasies that gave Rishi Kapoor his biggest commercial success of the late 1980s. The banner has no article and no documented history; what the credits establish is a stable unit — Harmesh Malhotra directing, Laxmikant–Pyarelal scoring, Kapoor and Sridevi starring — that made Nagina in 1986 and its sequel Nigahen in 1989. Nagina was one of the year's largest hits and briefly restored Kapoor's standing as a star who could open a film, in a decade when most of his vehicles failed. That a company with no recorded existence produced one of the most commercially consequential films in this filmography is a fair illustration of how unevenly the Hindi industry of the period is documented.</t>
        </is>
      </c>
      <c r="T76" s="5" t="inlineStr">
        <is>
          <t>SOURCE-054; SOURCE-070</t>
        </is>
      </c>
      <c r="U76" s="5" t="inlineStr">
        <is>
          <t>Low</t>
        </is>
      </c>
    </row>
    <row r="77" ht="154" customHeight="1">
      <c r="A77" s="15" t="inlineStr">
        <is>
          <t>PERSON-076</t>
        </is>
      </c>
      <c r="B77" s="5" t="inlineStr">
        <is>
          <t>Excel Entertainment</t>
        </is>
      </c>
      <c r="C77" s="5" t="inlineStr">
        <is>
          <t>Production banner</t>
        </is>
      </c>
      <c r="D77" s="18" t="n"/>
      <c r="E77" s="18" t="n"/>
      <c r="F77" s="5" t="inlineStr">
        <is>
          <t>1999–present</t>
        </is>
      </c>
      <c r="G77" s="5" t="inlineStr">
        <is>
          <t>Hindi cinema</t>
        </is>
      </c>
      <c r="H77" s="5" t="inlineStr">
        <is>
          <t>An Indian production company founded in Mumbai in 1999 by Ritesh Sidhwani and Farhan Akhtar. Its debut production, Dil Chahta Hai, was critically acclaimed, and it has won National Film Awards for that film and for Rock On!!. Its other productions include Don, Zindagi Na Milegi Dobara, Fukrey, Dil Dhadakne Do, Raees and Gully Boy, which was India's official entry to the 92nd Academy Awards.</t>
        </is>
      </c>
      <c r="I77" s="5" t="inlineStr">
        <is>
          <t>Dil Chahta Hai (2001).</t>
        </is>
      </c>
      <c r="J77" s="5" t="inlineStr">
        <is>
          <t>With Kapoor: Luck by Chance (2009), Sharmaji Namkeen (2022). Elsewhere, Dil Chahta Hai, Zindagi Na Milegi Dobara and Gully Boy.</t>
        </is>
      </c>
      <c r="K77" s="19" t="inlineStr">
        <is>
          <t>Urban friendship and self-definition; the film industry examining itself; contemporary characters in a recognisable Bombay.</t>
        </is>
      </c>
      <c r="L77" s="19" t="inlineStr">
        <is>
          <t>Writer-director-led production with a contemporary idiom, built around the Akhtar family's own filmmakers.</t>
        </is>
      </c>
      <c r="M77" s="5" t="inlineStr">
        <is>
          <t>National Film Awards for Dil Chahta Hai and Rock On!!; Gully Boy was India's submission to the 92nd Academy Awards.</t>
        </is>
      </c>
      <c r="N77" s="19" t="inlineStr">
        <is>
          <t>The company most associated with the turn to urban realism in mainstream Hindi cinema after 2001.</t>
        </is>
      </c>
      <c r="O77" s="19" t="inlineStr">
        <is>
          <t>Two films that bracket the end of the life. Luck by Chance (2009), Zoya Akhtar's debut, cast Kapoor as Rommy Rolly, a producer who uses and discards people — a role written knowingly against his own history in the industry. Sharmaji Namkeen (2022) was his last film, left unfinished at his death and completed with Paresh Rawal playing the same character in the remaining scenes, an unprecedented arrangement in Hindi cinema.</t>
        </is>
      </c>
      <c r="P77" s="17" t="n">
        <v>2</v>
      </c>
      <c r="Q77" s="5" t="inlineStr">
        <is>
          <t>FILM-128; FILM-160</t>
        </is>
      </c>
      <c r="R77" s="5" t="inlineStr">
        <is>
          <t>Sharmaji Namkeen (2022)</t>
        </is>
      </c>
      <c r="S77" s="5" t="inlineStr">
        <is>
          <t>Excel Entertainment produced Rishi Kapoor's most self-aware late role and his last film. Founded in 1999 by Ritesh Sidhwani and Farhan Akhtar, the company opened with Dil Chahta Hai and became the banner most identified with urban, contemporary Hindi cinema, winning National Film Awards and sending Gully Boy to the Academy Awards as India's official entry. It cast Kapoor as the producer Rommy Rolly in Zoya Akhtar's Luck by Chance (2009), a film about how the industry consumes its hopefuls, and then in Sharmaji Namkeen, which he was shooting when he died in April 2020; the film was completed with Paresh Rawal performing the remaining scenes as the same character and released posthumously in 2022. The two credits make this small company responsible for both the most reflexive and the most poignant entries in the filmography.</t>
        </is>
      </c>
      <c r="T77" s="5" t="inlineStr">
        <is>
          <t>SOURCE-215</t>
        </is>
      </c>
      <c r="U77" s="5" t="inlineStr">
        <is>
          <t>High</t>
        </is>
      </c>
    </row>
    <row r="78" ht="154" customHeight="1">
      <c r="A78" s="15" t="inlineStr">
        <is>
          <t>PERSON-077</t>
        </is>
      </c>
      <c r="B78" s="5" t="inlineStr">
        <is>
          <t>Farhan Akhtar</t>
        </is>
      </c>
      <c r="C78" s="5" t="inlineStr">
        <is>
          <t>Producer</t>
        </is>
      </c>
      <c r="D78" s="17" t="n">
        <v>1974</v>
      </c>
      <c r="E78" s="18" t="n"/>
      <c r="F78" s="5" t="inlineStr">
        <is>
          <t>2001–present</t>
        </is>
      </c>
      <c r="G78" s="5" t="inlineStr">
        <is>
          <t>Hindi cinema</t>
        </is>
      </c>
      <c r="H78" s="5" t="inlineStr">
        <is>
          <t>Farhan Akhtar (born 9 January 1974) is an Indian actor, filmmaker and singer, the son of the screenwriters Javed Akhtar and Honey Irani. He co-founded Excel Entertainment with Ritesh Sidhwani in 1999 and made his directorial debut with Dil Chahta Hai (2001).</t>
        </is>
      </c>
      <c r="I78" s="5" t="inlineStr">
        <is>
          <t>Dil Chahta Hai (2001), which won the National Film Award for Best Hindi Film and two Filmfare Awards for him.</t>
        </is>
      </c>
      <c r="J78" s="5" t="inlineStr">
        <is>
          <t>With Kapoor: Luck by Chance (2009), Sharmaji Namkeen (2022). Elsewhere, Dil Chahta Hai, Lakshya, Don, Rock On!!, Zindagi Na Milegi Dobara and Bhaag Milkha Bhaag.</t>
        </is>
      </c>
      <c r="K78" s="19" t="inlineStr">
        <is>
          <t>Male friendship, self-discovery and the deliberate break from inherited expectation.</t>
        </is>
      </c>
      <c r="L78" s="19" t="inlineStr">
        <is>
          <t>A writer-director-actor working in a naturalistic contemporary register, with an unusual willingness to produce other people's films, including his sister's.</t>
        </is>
      </c>
      <c r="M78" s="5" t="inlineStr">
        <is>
          <t>National Film Awards for Dil Chahta Hai and Rock On!!, and Filmfare Awards including Best Male Debut and Best Actor for Bhaag Milkha Bhaag.</t>
        </is>
      </c>
      <c r="N78" s="19" t="inlineStr">
        <is>
          <t>One of the central figures in the post-2001 turn of Hindi cinema towards urban realism.</t>
        </is>
      </c>
      <c r="O78" s="19" t="inlineStr">
        <is>
          <t>Two films as producer, both through Excel Entertainment, and both significant: his sister Zoya Akhtar's Luck by Chance (2009), in which Kapoor plays a film producer, and Sharmaji Namkeen (2022), Kapoor's last film, completed after his death with Paresh Rawal in the remaining scenes. Both of Akhtar's parents, Javed Akhtar and Honey Irani, also wrote films in this filmography, so the family appears across four decades of it.</t>
        </is>
      </c>
      <c r="P78" s="17" t="n">
        <v>2</v>
      </c>
      <c r="Q78" s="5" t="inlineStr">
        <is>
          <t>FILM-128; FILM-160</t>
        </is>
      </c>
      <c r="R78" s="5" t="inlineStr">
        <is>
          <t>Sharmaji Namkeen (2022)</t>
        </is>
      </c>
      <c r="S78" s="5" t="inlineStr">
        <is>
          <t>Farhan Akhtar produced the first and the last of Rishi Kapoor's late reflexive roles, and his family runs through this filmography across three generations. Born in 1974 to Javed Akhtar and Honey Irani, both of whom have writing credits here, Akhtar co-founded Excel Entertainment in 1999 and directed Dil Chahta Hai, a film that redirected mainstream Hindi cinema towards urban naturalism and won the National Film Award for Best Hindi Film. As a producer he backed his sister Zoya Akhtar's Luck by Chance (2009), casting Kapoor as a cynical producer, and Sharmaji Namkeen, the gentle comedy Kapoor was shooting when he died, which Excel completed by having Paresh Rawal play the remaining scenes as the same man and released in 2022.</t>
        </is>
      </c>
      <c r="T78" s="5" t="inlineStr">
        <is>
          <t>SOURCE-216</t>
        </is>
      </c>
      <c r="U78" s="5" t="inlineStr">
        <is>
          <t>High</t>
        </is>
      </c>
    </row>
    <row r="79" ht="139" customHeight="1">
      <c r="A79" s="15" t="inlineStr">
        <is>
          <t>PERSON-078</t>
        </is>
      </c>
      <c r="B79" s="5" t="inlineStr">
        <is>
          <t>Filmkraft</t>
        </is>
      </c>
      <c r="C79" s="5" t="inlineStr">
        <is>
          <t>Production banner</t>
        </is>
      </c>
      <c r="D79" s="18" t="n"/>
      <c r="E79" s="18" t="n"/>
      <c r="F79" s="5" t="inlineStr">
        <is>
          <t>1980–present</t>
        </is>
      </c>
      <c r="G79" s="5" t="inlineStr">
        <is>
          <t>Hindi cinema</t>
        </is>
      </c>
      <c r="H79" s="5" t="inlineStr">
        <is>
          <t>The production company founded by Rakesh Roshan in 1980, whose first production was Aap Ke Deewane (1980), a box-office failure. It has no Wikipedia article of its own; its founding and early history are recorded in Rakesh Roshan's article. The banner is credited on Aap Ke Deewane as Film Krafts, a spelling this workbook consolidates.</t>
        </is>
      </c>
      <c r="I79" s="5" t="n"/>
      <c r="J79" s="5" t="inlineStr">
        <is>
          <t>With Kapoor: Aap Ke Deewane (1980), Khudgarz (1987). Elsewhere, the Roshan family productions from Khoon Bhari Maang and Karan Arjun to Kaho Naa... Pyaar Hai and the Krrish films.</t>
        </is>
      </c>
      <c r="K79" s="19" t="inlineStr">
        <is>
          <t>Revenge and rebirth melodrama, later science fiction and the superhero franchise; music by Rajesh Roshan throughout.</t>
        </is>
      </c>
      <c r="L79" s="19" t="inlineStr">
        <is>
          <t>A family company in which Rakesh Roshan directs and produces and his brother Rajesh Roshan scores, with a strong preference for formula tightly executed.</t>
        </is>
      </c>
      <c r="M79" s="5" t="n"/>
      <c r="N79" s="19" t="inlineStr">
        <is>
          <t>One of the most durable family production houses in Hindi cinema, and the launcher of Hrithik Roshan.</t>
        </is>
      </c>
      <c r="O79" s="19" t="inlineStr">
        <is>
          <t>Two films, which stand at opposite ends of the company's own fortunes. Aap Ke Deewane (1980) was Filmkraft's first production and failed; Khudgarz (1987) was Rakesh Roshan's breakthrough as a director and one of the few solid successes of Kapoor's weakest decade. Both were scored by Rajesh Roshan, who has nine credits of his own in this filmography.</t>
        </is>
      </c>
      <c r="P79" s="17" t="n">
        <v>2</v>
      </c>
      <c r="Q79" s="5" t="inlineStr">
        <is>
          <t>FILM-030; FILM-060</t>
        </is>
      </c>
      <c r="R79" s="5" t="inlineStr">
        <is>
          <t>Khudgarz (1987)</t>
        </is>
      </c>
      <c r="S79" s="5" t="inlineStr">
        <is>
          <t>Filmkraft, Rakesh Roshan's production house, made two Rishi Kapoor films seven years apart, and the pair frames the company's rise. Its very first production, in 1980, was Aap Ke Deewane, a triangle with Kapoor that failed commercially — a fact recorded in Roshan's own article, since the banner has none of its own. By 1987 Roshan had moved behind the camera himself, and Khudgarz gave both the company and Kapoor a genuine hit, in a decade when almost nothing Kapoor led succeeded. Rajesh Roshan scored both films, as he did most of his brother's work. Filmkraft went on to become one of Hindi cinema's durable family firms, launching Hrithik Roshan in Kaho Naa... Pyaar Hai and producing the Krrish series long after Kapoor's association with it ended.</t>
        </is>
      </c>
      <c r="T79" s="5" t="inlineStr">
        <is>
          <t>SOURCE-030; SOURCE-058; SOURCE-185</t>
        </is>
      </c>
      <c r="U79" s="5" t="inlineStr">
        <is>
          <t>Medium</t>
        </is>
      </c>
    </row>
    <row r="80" ht="124" customHeight="1">
      <c r="A80" s="15" t="inlineStr">
        <is>
          <t>PERSON-079</t>
        </is>
      </c>
      <c r="B80" s="5" t="inlineStr">
        <is>
          <t>Gauri Khan</t>
        </is>
      </c>
      <c r="C80" s="5" t="inlineStr">
        <is>
          <t>Producer</t>
        </is>
      </c>
      <c r="D80" s="17" t="n">
        <v>1970</v>
      </c>
      <c r="E80" s="18" t="n"/>
      <c r="F80" s="5" t="n"/>
      <c r="G80" s="5" t="inlineStr">
        <is>
          <t>Hindi cinema</t>
        </is>
      </c>
      <c r="H80" s="5" t="inlineStr">
        <is>
          <t>Gauri Khan (born 8 October 1970) is an Indian film producer and interior designer who co-founded Red Chillies Entertainment with her husband, the actor Shah Rukh Khan, in 2001. She has produced Main Hoon Na, Om Shanti Om, Ra.One and Chennai Express, and launched the studio Gauri Khan Designs in 2013.</t>
        </is>
      </c>
      <c r="I80" s="5" t="inlineStr">
        <is>
          <t>Producing through Red Chillies Entertainment from the early 2000s.</t>
        </is>
      </c>
      <c r="J80" s="5" t="inlineStr">
        <is>
          <t>With Kapoor: Om Shanti Om (2007), Student of the Year (2012).</t>
        </is>
      </c>
      <c r="K80" s="19" t="inlineStr">
        <is>
          <t>Star-led spectacle built around Shah Rukh Khan, and the industry's own mythology.</t>
        </is>
      </c>
      <c r="L80" s="19" t="inlineStr">
        <is>
          <t>A producer working within a star-owned company, with a parallel career in design.</t>
        </is>
      </c>
      <c r="M80" s="5" t="n"/>
      <c r="N80" s="19" t="inlineStr">
        <is>
          <t>Co-founder of one of the most powerful star-owned production houses in Hindi cinema.</t>
        </is>
      </c>
      <c r="O80" s="19" t="inlineStr">
        <is>
          <t>Two films. Om Shanti Om (2007) is a film about Hindi cinema's own history in which Kapoor appears as himself among dozens of stars; Student of the Year (2012) cast him as the college dean. Both are productions in which he is a recognisable fragment of the industry's past being used as such — a role his own career made available.</t>
        </is>
      </c>
      <c r="P80" s="17" t="n">
        <v>2</v>
      </c>
      <c r="Q80" s="5" t="inlineStr">
        <is>
          <t>FILM-125; FILM-139</t>
        </is>
      </c>
      <c r="R80" s="5" t="inlineStr">
        <is>
          <t>Om Shanti Om (2007)</t>
        </is>
      </c>
      <c r="S80" s="5" t="inlineStr">
        <is>
          <t>Gauri Khan produced two films in which Rishi Kapoor appears as a piece of Hindi cinema's own history. With her husband Shah Rukh Khan — whose debut, Deewana, had been the film that marked the end of Kapoor's leading career — she co-founded Red Chillies Entertainment in 2001, producing Main Hoon Na, Om Shanti Om, Ra.One and Chennai Express, and later built a second career as an interior designer. Kapoor appears as himself in Om Shanti Om (2007), Farah Khan's pastiche of the 1970s industry, in a sequence crowded with stars, and as the dean in Student of the Year (2012). There is a symmetry worth noting: the actor displaced by Shah Rukh Khan in 1992 was, fifteen years later, being cast by his production company for exactly the stardom he had lost.</t>
        </is>
      </c>
      <c r="T80" s="5" t="inlineStr">
        <is>
          <t>SOURCE-217</t>
        </is>
      </c>
      <c r="U80" s="5" t="inlineStr">
        <is>
          <t>High</t>
        </is>
      </c>
    </row>
    <row r="81" ht="139" customHeight="1">
      <c r="A81" s="15" t="inlineStr">
        <is>
          <t>PERSON-080</t>
        </is>
      </c>
      <c r="B81" s="5" t="inlineStr">
        <is>
          <t>Gulshan Nanda</t>
        </is>
      </c>
      <c r="C81" s="5" t="inlineStr">
        <is>
          <t>Writer</t>
        </is>
      </c>
      <c r="D81" s="17" t="n">
        <v>1919</v>
      </c>
      <c r="E81" s="17" t="n">
        <v>1985</v>
      </c>
      <c r="F81" s="5" t="n"/>
      <c r="G81" s="5" t="inlineStr">
        <is>
          <t>Hindi cinema; Hindi literature</t>
        </is>
      </c>
      <c r="H81" s="5" t="inlineStr">
        <is>
          <t>Gulshan Nanda (1919 – 16 November 1985), born in Rawalpindi, was an Indian novelist and screenwriter. Many of his novels were adapted into Hindi films in the 1960s and 1970s, including more than a dozen major hits, and he frequently worked with Rajesh Khanna.</t>
        </is>
      </c>
      <c r="I81" s="5" t="inlineStr">
        <is>
          <t>His novels were adapted from the 1960s; Kaajal (1965) was among the first major successes.</t>
        </is>
      </c>
      <c r="J81" s="5" t="inlineStr">
        <is>
          <t>With Kapoor: Do Premee (1980), Bade Dilwala (1983). Elsewhere, Kaajal, Khilona, Sharmeelee, Daag, Naya Zamana and Mehbooba.</t>
        </is>
      </c>
      <c r="K81" s="19" t="inlineStr">
        <is>
          <t>Melodrama of thwarted love, concealed identity and social disgrace, carried over from the popular Hindi novel.</t>
        </is>
      </c>
      <c r="L81" s="19" t="inlineStr">
        <is>
          <t>A bestselling novelist writing directly for the screen, with plots built on secrets and reversals.</t>
        </is>
      </c>
      <c r="M81" s="5" t="inlineStr">
        <is>
          <t>Six nominations for the Filmfare Award for Best Story — Kaajal (1965), Neel Kamal (1968), Khilona (1970), Naya Zamana (1971) and Mehbooba (1976) among them.</t>
        </is>
      </c>
      <c r="N81" s="19" t="inlineStr">
        <is>
          <t>The most commercially successful popular novelist of his generation in Hindi, and the source of a long run of 1960s and 1970s hits.</t>
        </is>
      </c>
      <c r="O81" s="19" t="inlineStr">
        <is>
          <t>Two films, both late in his own career and both modest: Do Premee (1980) and Bade Dilwala (1983). The interest is in the near-miss — Nanda supplied the plots for much of the melodrama of the 1960s and 1970s, including Daag and Khilona, but reached Kapoor only at the end of his life and in films neither of them is remembered for. His article does not mention Kapoor.</t>
        </is>
      </c>
      <c r="P81" s="17" t="n">
        <v>2</v>
      </c>
      <c r="Q81" s="5" t="inlineStr">
        <is>
          <t>FILM-028; FILM-040</t>
        </is>
      </c>
      <c r="R81" s="5" t="inlineStr">
        <is>
          <t>Do Premee (1980)</t>
        </is>
      </c>
      <c r="S81" s="5" t="inlineStr">
        <is>
          <t>Gulshan Nanda was the most widely read Hindi novelist of his generation and the source of a dozen major film hits, but he wrote only two Rishi Kapoor films, both minor. Born in Rawalpindi in 1919, Nanda saw his novels adapted into Kaajal, Khilona, Sharmeelee and Daag among others, worked repeatedly with Rajesh Khanna, and was nominated six times for the Filmfare Award for Best Story. His plots, built on concealed identity, disgrace and thwarted love, defined the melodrama of the era in which Kapoor grew up. By the time he wrote Do Premee (1980) and Bade Dilwala (1983) for him, both men were past their peak: Nanda died in 1985, and these two films are footnotes in a career that had shaped the form of Hindi romance Kapoor inherited.</t>
        </is>
      </c>
      <c r="T81" s="5" t="inlineStr">
        <is>
          <t>SOURCE-218</t>
        </is>
      </c>
      <c r="U81" s="5" t="inlineStr">
        <is>
          <t>High</t>
        </is>
      </c>
    </row>
    <row r="82" ht="109" customHeight="1">
      <c r="A82" s="15" t="inlineStr">
        <is>
          <t>PERSON-081</t>
        </is>
      </c>
      <c r="B82" s="5" t="inlineStr">
        <is>
          <t>Gyandev Agnihotri</t>
        </is>
      </c>
      <c r="C82" s="5" t="inlineStr">
        <is>
          <t>Writer</t>
        </is>
      </c>
      <c r="D82" s="18" t="n"/>
      <c r="E82" s="18" t="n"/>
      <c r="F82" s="5" t="n"/>
      <c r="G82" s="5" t="inlineStr">
        <is>
          <t>Hindi cinema</t>
        </is>
      </c>
      <c r="H82" s="5" t="inlineStr">
        <is>
          <t>A Hindi-film writer active in the late 1980s, with no Wikipedia article of his own.</t>
        </is>
      </c>
      <c r="I82" s="5" t="n"/>
      <c r="J82" s="5" t="inlineStr">
        <is>
          <t>With Kapoor: Sindoor (1987), Gharana (1989).</t>
        </is>
      </c>
      <c r="K82" s="19" t="inlineStr">
        <is>
          <t>Melodrama of renunciation and family obligation.</t>
        </is>
      </c>
      <c r="L82" s="19" t="inlineStr">
        <is>
          <t>Not documented; credited alongside other writers on both films.</t>
        </is>
      </c>
      <c r="M82" s="5" t="n"/>
      <c r="N82" s="19" t="inlineStr">
        <is>
          <t>Not independently documented.</t>
        </is>
      </c>
      <c r="O82" s="19" t="inlineStr">
        <is>
          <t>Two films, both directed by K. Ravi Shankar and both built on sacrifice rather than courtship: Sindoor (1987) and Gharana (1989), in which Kapoor's character renounces the woman he loves and marries another for dowry money, appearing mercenary precisely because he is sacrificing himself.</t>
        </is>
      </c>
      <c r="P82" s="17" t="n">
        <v>2</v>
      </c>
      <c r="Q82" s="5" t="inlineStr">
        <is>
          <t>FILM-061; FILM-068</t>
        </is>
      </c>
      <c r="R82" s="5" t="inlineStr">
        <is>
          <t>Gharana (1989)</t>
        </is>
      </c>
      <c r="S82" s="5" t="inlineStr">
        <is>
          <t>Gyandev Agnihotri wrote two Rishi Kapoor films and has no documented biography. Both were directed by K. Ravi Shankar in the late 1980s, and both belong to the strain of Kapoor's middle period in which romance is structured around renunciation: Sindoor (1987) and Gharana (1989), where he plays a man who abandons one woman and marries another for money, the apparent mercenariness later revealed as self-sacrifice. These are among the films that complicate the lover-boy reading of the career, and the writer responsible for their structure is one of the many people in this workbook's lower tiers whose existence is attested only by the credits of the films themselves.</t>
        </is>
      </c>
      <c r="T82" s="5" t="inlineStr">
        <is>
          <t>SOURCE-060; SOURCE-069</t>
        </is>
      </c>
      <c r="U82" s="5" t="inlineStr">
        <is>
          <t>Low</t>
        </is>
      </c>
    </row>
    <row r="83" ht="169" customHeight="1">
      <c r="A83" s="15" t="inlineStr">
        <is>
          <t>PERSON-082</t>
        </is>
      </c>
      <c r="B83" s="5" t="inlineStr">
        <is>
          <t>H. S. Rawail</t>
        </is>
      </c>
      <c r="C83" s="5" t="inlineStr">
        <is>
          <t>Director; Writer</t>
        </is>
      </c>
      <c r="D83" s="17" t="n">
        <v>1921</v>
      </c>
      <c r="E83" s="17" t="n">
        <v>2004</v>
      </c>
      <c r="F83" s="5" t="inlineStr">
        <is>
          <t>1940–1982</t>
        </is>
      </c>
      <c r="G83" s="5" t="inlineStr">
        <is>
          <t>Hindi cinema</t>
        </is>
      </c>
      <c r="H83" s="5" t="inlineStr">
        <is>
          <t>Harnam Singh Rawail (21 August 1921 – 17 September 2004), credited as H. S. Rawail, was an Indian filmmaker born in Lyallpur. He debuted as a director with Dorangia Daku (1940) and became known for romantic films including Mere Mehboob (1963), Sunghursh (1968), Mehboob Ki Mehndi (1971) and Laila Majnu (1976). His son Rahul Rawail and grandson Rajat Rawail also became directors.</t>
        </is>
      </c>
      <c r="I83" s="5" t="inlineStr">
        <is>
          <t>Dorangia Daku (1940); his major success came with Mere Mehboob (1963).</t>
        </is>
      </c>
      <c r="J83" s="5" t="inlineStr">
        <is>
          <t>With Kapoor: Laila Majnu (1976), Deedar-E-Yaar (1982). Elsewhere, Mere Mehboob, Sunghursh and Mehboob Ki Mehndi.</t>
        </is>
      </c>
      <c r="K83" s="19" t="inlineStr">
        <is>
          <t>The grand Muslim social romance, classical love legends, and tragic separation staged on a large scale.</t>
        </is>
      </c>
      <c r="L83" s="19" t="inlineStr">
        <is>
          <t>Lavish romantic melodrama with heavy emphasis on Urdu dialogue, qawwali and spectacle.</t>
        </is>
      </c>
      <c r="M83" s="5" t="n"/>
      <c r="N83" s="19" t="inlineStr">
        <is>
          <t>One of the principal directors of the Muslim social genre and of the classical romance in Hindi cinema.</t>
        </is>
      </c>
      <c r="O83" s="19" t="inlineStr">
        <is>
          <t>Two films, and both are attempts to place Kapoor inside a mythic rather than contemporary romance. Laila Majnu (1976) cast him as Qais opposite Ranjeeta Kaur in the classical Arabic love legend — his article records that the film was a success — and Deedar-E-Yaar (1982) was an expensive Muslim social that failed. His son Rahul Rawail co-wrote the second and directed three other Kapoor films, making the Rawails a two-generation presence here.</t>
        </is>
      </c>
      <c r="P83" s="17" t="n">
        <v>2</v>
      </c>
      <c r="Q83" s="5" t="inlineStr">
        <is>
          <t>FILM-013; FILM-038</t>
        </is>
      </c>
      <c r="R83" s="5" t="inlineStr">
        <is>
          <t>Laila Majnu (1976)</t>
        </is>
      </c>
      <c r="S83" s="5" t="inlineStr">
        <is>
          <t>H. S. Rawail directed the film in which Rishi Kapoor first played love as tragedy rather than courtship. Born in Lyallpur in 1921 and directing from 1940, Rawail became one of Hindi cinema's foremost makers of the Muslim social and the classical romance, with Mere Mehboob, Sunghursh and Mehboob Ki Mehndi behind him when he cast the twenty-four-year-old Kapoor as Qais in Laila Majnu (1976) opposite Ranjeeta Kaur. His article records the film as a success, and it remains the clearest early evidence that Kapoor could carry a role in which love destroys rather than rewards. Deedar-E-Yaar followed in 1982, an expensive failure co-written by his son Rahul Rawail, who directed Kapoor three times himself. Rawail stopped directing in 1982 and died in 2004.</t>
        </is>
      </c>
      <c r="T83" s="5" t="inlineStr">
        <is>
          <t>SOURCE-219</t>
        </is>
      </c>
      <c r="U83" s="5" t="inlineStr">
        <is>
          <t>High</t>
        </is>
      </c>
    </row>
    <row r="84" ht="169" customHeight="1">
      <c r="A84" s="15" t="inlineStr">
        <is>
          <t>PERSON-083</t>
        </is>
      </c>
      <c r="B84" s="5" t="inlineStr">
        <is>
          <t>Habib Faisal</t>
        </is>
      </c>
      <c r="C84" s="5" t="inlineStr">
        <is>
          <t>Director; Writer</t>
        </is>
      </c>
      <c r="D84" s="18" t="n"/>
      <c r="E84" s="18" t="n"/>
      <c r="F84" s="5" t="inlineStr">
        <is>
          <t>1992–present</t>
        </is>
      </c>
      <c r="G84" s="5" t="inlineStr">
        <is>
          <t>Hindi cinema</t>
        </is>
      </c>
      <c r="H84" s="5" t="inlineStr">
        <is>
          <t>Habib Faisal, from Bhopal, is an Indian filmmaker, screenwriter and lyricist who wrote Salaam Namaste (2005), Ta Ra Rum Pum (2007), Band Baaja Baaraat (2010), Ladies vs Ricky Bahl (2011), Ishaqzaade (2012) and Fan (2016), most of them for Yash Raj Films.</t>
        </is>
      </c>
      <c r="I84" s="5" t="inlineStr">
        <is>
          <t>Writing from 1992; directorial debut Do Dooni Chaar (2010), for which he won the Filmfare Award for Best Dialogue.</t>
        </is>
      </c>
      <c r="J84" s="5" t="inlineStr">
        <is>
          <t>With Kapoor: Do Dooni Chaar (2010), Bewakoofiyaan (2014). Elsewhere, Band Baaja Baaraat, Ishaqzaade and Fan.</t>
        </is>
      </c>
      <c r="K84" s="19" t="inlineStr">
        <is>
          <t>The lower-middle-class household and its economics; aspiration measured in small sums; the marriage negotiated across class.</t>
        </is>
      </c>
      <c r="L84" s="19" t="inlineStr">
        <is>
          <t>Observational comedy-drama grounded in the specifics of money and milieu, with dialogue that carries the social detail.</t>
        </is>
      </c>
      <c r="M84" s="5" t="inlineStr">
        <is>
          <t>Filmfare Award for Best Dialogue for Do Dooni Chaar.</t>
        </is>
      </c>
      <c r="N84" s="19" t="inlineStr">
        <is>
          <t>One of the writers who gave the Yash Raj studio its modern middle-class register, away from the diaspora romance.</t>
        </is>
      </c>
      <c r="O84" s="19" t="inlineStr">
        <is>
          <t>Two films, and the first is among the most important of the late career. Do Dooni Chaar (2010) cast Kapoor and his wife Neetu Singh — their first film together in decades — as a Delhi schoolteacher and his wife saving for a car, a performance that won Kapoor the Filmfare Critics Award for Best Actor and was widely treated as his reinvention as a character actor. Bewakoofiyaan (2014) followed, again with him as a father negotiating class and money.</t>
        </is>
      </c>
      <c r="P84" s="17" t="n">
        <v>2</v>
      </c>
      <c r="Q84" s="5" t="inlineStr">
        <is>
          <t>FILM-134; FILM-146</t>
        </is>
      </c>
      <c r="R84" s="5" t="inlineStr">
        <is>
          <t>Do Dooni Chaar (2010)</t>
        </is>
      </c>
      <c r="S84" s="5" t="inlineStr">
        <is>
          <t>Habib Faisal wrote and directed the film that confirmed Rishi Kapoor's second career. A Bhopal-born writer who supplied Yash Raj Films with much of its modern middle-class material — Salaam Namaste, Band Baaja Baaraat, Ishaqzaade, Fan — Faisal made his directorial debut with Do Dooni Chaar in 2010, a small film about a Delhi schoolteacher, his wife and their ambition to replace a scooter with a car. Casting Kapoor opposite Neetu Singh, his wife and his co-star from the 1970s, gave the film its warmth and gave him the Filmfare Critics Award for Best Actor; Faisal won Best Dialogue for it. He directed Kapoor again in Bewakoofiyaan (2014) as a father whose objection to his daughter's suitor is frankly economic. Both films trade on exactly the ordinariness that Kapoor's lover-boy years had denied him.</t>
        </is>
      </c>
      <c r="T84" s="5" t="inlineStr">
        <is>
          <t>SOURCE-220</t>
        </is>
      </c>
      <c r="U84" s="5" t="inlineStr">
        <is>
          <t>High</t>
        </is>
      </c>
    </row>
    <row r="85" ht="139" customHeight="1">
      <c r="A85" s="15" t="inlineStr">
        <is>
          <t>PERSON-084</t>
        </is>
      </c>
      <c r="B85" s="5" t="inlineStr">
        <is>
          <t>Harish Shah</t>
        </is>
      </c>
      <c r="C85" s="5" t="inlineStr">
        <is>
          <t>Director; Producer</t>
        </is>
      </c>
      <c r="D85" s="17" t="n">
        <v>1943</v>
      </c>
      <c r="E85" s="17" t="n">
        <v>2020</v>
      </c>
      <c r="F85" s="5" t="inlineStr">
        <is>
          <t>1968–2020</t>
        </is>
      </c>
      <c r="G85" s="5" t="inlineStr">
        <is>
          <t>Hindi cinema</t>
        </is>
      </c>
      <c r="H85" s="5" t="inlineStr">
        <is>
          <t>Harish Shah (7 October 1943 – 7 July 2020) was an Indian film producer, director and writer, known for Mere Jeevan Saathi with Rajesh Khanna, Kaala Sona with Feroz Khan, Ram Tere Kitne Naam with Sanjeev Kumar and Rekha, Zalzala, Ab Insaf Hoga and Jaal: The Trap. He died of throat cancer in July 2020.</t>
        </is>
      </c>
      <c r="I85" s="5" t="inlineStr">
        <is>
          <t>Working from 1968.</t>
        </is>
      </c>
      <c r="J85" s="5" t="inlineStr">
        <is>
          <t>With Kapoor: Dhan Daulat (1980), Ram Tere Kitne Nam (1985).</t>
        </is>
      </c>
      <c r="K85" s="19" t="inlineStr">
        <is>
          <t>Star-led melodrama and action, assembled around whoever was commercially current.</t>
        </is>
      </c>
      <c r="L85" s="19" t="inlineStr">
        <is>
          <t>A producer-director of mainstream vehicles across three decades, without a strong authorial signature.</t>
        </is>
      </c>
      <c r="M85" s="5" t="n"/>
      <c r="N85" s="19" t="inlineStr">
        <is>
          <t>A durable commercial producer whose films span Rajesh Khanna's peak to the 1990s.</t>
        </is>
      </c>
      <c r="O85" s="19" t="inlineStr">
        <is>
          <t>Two films in the early 1980s, both marginal: Dhan Daulat (1980), which he directed, and Ram Tere Kitne Nam (1985). His own article lists the latter by its alternative spelling and names Sanjeev Kumar and Rekha rather than Kapoor among its cast, a useful reminder that Kapoor was not always the principal attraction of the films he led in this period.</t>
        </is>
      </c>
      <c r="P85" s="17" t="n">
        <v>2</v>
      </c>
      <c r="Q85" s="5" t="inlineStr">
        <is>
          <t>FILM-029; FILM-045</t>
        </is>
      </c>
      <c r="R85" s="5" t="inlineStr">
        <is>
          <t>Dhan Daulat (1980)</t>
        </is>
      </c>
      <c r="S85" s="5" t="inlineStr">
        <is>
          <t>Harish Shah produced or directed two Rishi Kapoor films in the early 1980s. A producer-director working from 1968, Shah's better-known films were made with other stars — Mere Jeevan Saathi with Rajesh Khanna, Kaala Sona with Feroz Khan — and his own article names Sanjeev Kumar and Rekha, not Kapoor, when listing Ram Tere Kitne Naam. He directed Kapoor in Dhan Daulat (1980), with an R. D. Burman score and a Sachin Bhowmick story, and produced Ram Tere Kitne Nam in 1985. Both belong to the long middle stretch in which Kapoor worked steadily for producers whose interest was in assembling a saleable package rather than in him specifically. Shah died of throat cancer in July 2020, ten weeks after Kapoor.</t>
        </is>
      </c>
      <c r="T85" s="5" t="inlineStr">
        <is>
          <t>SOURCE-221</t>
        </is>
      </c>
      <c r="U85" s="5" t="inlineStr">
        <is>
          <t>High</t>
        </is>
      </c>
    </row>
    <row r="86" ht="109" customHeight="1">
      <c r="A86" s="15" t="inlineStr">
        <is>
          <t>PERSON-085</t>
        </is>
      </c>
      <c r="B86" s="5" t="inlineStr">
        <is>
          <t>Hitesh Sonik</t>
        </is>
      </c>
      <c r="C86" s="5" t="inlineStr">
        <is>
          <t>Song composer; Background-score composer</t>
        </is>
      </c>
      <c r="D86" s="18" t="n"/>
      <c r="E86" s="18" t="n"/>
      <c r="F86" s="5" t="n"/>
      <c r="G86" s="5" t="inlineStr">
        <is>
          <t>Hindi cinema</t>
        </is>
      </c>
      <c r="H86" s="5" t="inlineStr">
        <is>
          <t>An Indian composer and arranger working in Hindi cinema, mainly as a background-score composer. He has no Wikipedia article of his own: his name redirects to the article on his wife, the singer Sunidhi Chauhan, so no biographical detail is recorded here that could be verified about him rather than about her.</t>
        </is>
      </c>
      <c r="I86" s="5" t="n"/>
      <c r="J86" s="5" t="inlineStr">
        <is>
          <t>With Kapoor: Bewakoofiyaan (2014), Rajma Chawal (2018).</t>
        </is>
      </c>
      <c r="K86" s="19" t="inlineStr">
        <is>
          <t>Background score for contemporary urban comedy-drama.</t>
        </is>
      </c>
      <c r="L86" s="19" t="inlineStr">
        <is>
          <t>Not documented.</t>
        </is>
      </c>
      <c r="M86" s="5" t="n"/>
      <c r="N86" s="19" t="inlineStr">
        <is>
          <t>Not independently documented.</t>
        </is>
      </c>
      <c r="O86" s="19" t="inlineStr">
        <is>
          <t>Two films from the last decade of the career, both contemporary urban stories in which Kapoor plays a father: Habib Faisal's Bewakoofiyaan (2014) and Leena Yadav's Rajma Chawal (2018), one of his last completed films.</t>
        </is>
      </c>
      <c r="P86" s="17" t="n">
        <v>2</v>
      </c>
      <c r="Q86" s="5" t="inlineStr">
        <is>
          <t>FILM-146; FILM-157</t>
        </is>
      </c>
      <c r="R86" s="5" t="inlineStr">
        <is>
          <t>Bewakoofiyaan (2014)</t>
        </is>
      </c>
      <c r="S86" s="5" t="inlineStr">
        <is>
          <t>Hitesh Sonik scored two of Rishi Kapoor's late films, and almost nothing about him can be sourced. He is an established composer and arranger in Hindi cinema, best known for background scores, but Wikipedia has no article on him — his name redirects to his wife, the playback singer Sunidhi Chauhan, which is how an earlier pass of this research briefly attached her article to him. His two credits here are Bewakoofiyaan (2014), Habib Faisal's comedy about money and class in which Kapoor plays the frankly mercenary father, and Rajma Chawal (2018), Leena Yadav's film about a father who impersonates a young woman online to reach his estranged son. Both are quiet, contemporary films of the kind that occupied Kapoor's final years.</t>
        </is>
      </c>
      <c r="T86" s="5" t="inlineStr">
        <is>
          <t>SOURCE-138; SOURCE-149</t>
        </is>
      </c>
      <c r="U86" s="5" t="inlineStr">
        <is>
          <t>Low</t>
        </is>
      </c>
    </row>
    <row r="87" ht="94" customHeight="1">
      <c r="A87" s="15" t="inlineStr">
        <is>
          <t>PERSON-086</t>
        </is>
      </c>
      <c r="B87" s="5" t="inlineStr">
        <is>
          <t>Humayun Mirza</t>
        </is>
      </c>
      <c r="C87" s="5" t="inlineStr">
        <is>
          <t>Writer</t>
        </is>
      </c>
      <c r="D87" s="18" t="n"/>
      <c r="E87" s="18" t="n"/>
      <c r="F87" s="5" t="n"/>
      <c r="G87" s="5" t="inlineStr">
        <is>
          <t>Hindi cinema</t>
        </is>
      </c>
      <c r="H87" s="5" t="inlineStr">
        <is>
          <t>A Hindi-film writer active in the mid-1980s, with no Wikipedia article of his own.</t>
        </is>
      </c>
      <c r="I87" s="5" t="n"/>
      <c r="J87" s="5" t="inlineStr">
        <is>
          <t>With Kapoor: Rahi Badal Gaye (1985), Sitamgar (1985).</t>
        </is>
      </c>
      <c r="K87" s="19" t="inlineStr">
        <is>
          <t>Melodrama and romance of the mid-1980s commercial mainstream.</t>
        </is>
      </c>
      <c r="L87" s="19" t="inlineStr">
        <is>
          <t>Not documented.</t>
        </is>
      </c>
      <c r="M87" s="5" t="n"/>
      <c r="N87" s="19" t="inlineStr">
        <is>
          <t>Not independently documented.</t>
        </is>
      </c>
      <c r="O87" s="19" t="inlineStr">
        <is>
          <t>Two films, both released in 1985 and both from the weakest commercial stretch of the lead career: Ravi Tandon's Rahi Badal Gaye and Sitamgar, each with an R. D. Burman score.</t>
        </is>
      </c>
      <c r="P87" s="17" t="n">
        <v>2</v>
      </c>
      <c r="Q87" s="5" t="inlineStr">
        <is>
          <t>FILM-047; FILM-048</t>
        </is>
      </c>
      <c r="R87" s="5" t="inlineStr">
        <is>
          <t>Rahi Badal Gaye (1985)</t>
        </is>
      </c>
      <c r="S87" s="5" t="inlineStr">
        <is>
          <t>Humayun Mirza wrote two Rishi Kapoor films, both released in 1985, and has no documented biography. Rahi Badal Gaye, directed by Ravi Tandon and produced by Ravi Malhotra, and Sitamgar were both scored by R. D. Burman, whose association with Kapoor was by then almost over. The year is the low point of the filmography by any commercial measure: Kapoor appeared in five releases in 1985, none of which is remembered, while the films that defined that year in Hindi cinema belonged to other actors. The writers of those five films are, with one or two exceptions, as undocumented as this one. This row is built from film credits alone.</t>
        </is>
      </c>
      <c r="T87" s="5" t="inlineStr">
        <is>
          <t>SOURCE-047; SOURCE-048</t>
        </is>
      </c>
      <c r="U87" s="5" t="inlineStr">
        <is>
          <t>Low</t>
        </is>
      </c>
    </row>
    <row r="88" ht="154" customHeight="1">
      <c r="A88" s="15" t="inlineStr">
        <is>
          <t>PERSON-087</t>
        </is>
      </c>
      <c r="B88" s="5" t="inlineStr">
        <is>
          <t>Inder Raj Anand</t>
        </is>
      </c>
      <c r="C88" s="5" t="inlineStr">
        <is>
          <t>Writer</t>
        </is>
      </c>
      <c r="D88" s="18" t="n"/>
      <c r="E88" s="17" t="n">
        <v>1987</v>
      </c>
      <c r="F88" s="5" t="inlineStr">
        <is>
          <t>1940s–1987</t>
        </is>
      </c>
      <c r="G88" s="5" t="inlineStr">
        <is>
          <t>Hindi cinema</t>
        </is>
      </c>
      <c r="H88" s="5" t="inlineStr">
        <is>
          <t>Inder Raj Anand (died 6 March 1987), born in Sargodha in what is now Pakistan, was a dialogue and screenwriter in Hindi cinema who worked on many Raj Kapoor films from Aag (1948) onwards, including Aah (1953), Anari (1959) and Sangam (1964). Although credited as a Hindi film writer, he wrote in Urdu. He was the father of the actor-director Tinnu Anand and the producer Bittu Anand, and the grandfather of the director Siddharth Anand; the director Mukul Anand was his nephew.</t>
        </is>
      </c>
      <c r="I88" s="5" t="inlineStr">
        <is>
          <t>Writing from the 1940s, beginning with Raj Kapoor's Aag (1948).</t>
        </is>
      </c>
      <c r="J88" s="5" t="inlineStr">
        <is>
          <t>With Kapoor: Raaja (1975), Duniya Meri Jeb Mein (1979). Elsewhere, Aag, Aah, Anari, Sangam and Shahenshah.</t>
        </is>
      </c>
      <c r="K88" s="19" t="inlineStr">
        <is>
          <t>The R. K. Films subject matter of class, innocence and sacrifice, written in Urdu for a Hindi screen.</t>
        </is>
      </c>
      <c r="L88" s="19" t="inlineStr">
        <is>
          <t>Urdu dialogue of a markedly literary cast, written for Raj Kapoor's generation of melodrama.</t>
        </is>
      </c>
      <c r="M88" s="5" t="n"/>
      <c r="N88" s="19" t="inlineStr">
        <is>
          <t>One of Raj Kapoor's principal writers across four decades and the patriarch of a filmmaking family that spans three generations of Hindi cinema.</t>
        </is>
      </c>
      <c r="O88" s="19" t="inlineStr">
        <is>
          <t>Two films, both in the early part of the career: Raaja (1975) and Duniya Meri Jeb Mein (1979), the latter produced by his own son Bittu Anand and directed by his other son Tinnu Anand. The family's presence in this filmography is wider than his two credits — his sons account for four more — and his own connection runs through Raj Kapoor, for whom he wrote from 1948 and whose son he lived to write for.</t>
        </is>
      </c>
      <c r="P88" s="17" t="n">
        <v>2</v>
      </c>
      <c r="Q88" s="5" t="inlineStr">
        <is>
          <t>FILM-005; FILM-026</t>
        </is>
      </c>
      <c r="R88" s="5" t="inlineStr">
        <is>
          <t>Duniya Meri Jeb Mein (1979)</t>
        </is>
      </c>
      <c r="S88" s="5" t="inlineStr">
        <is>
          <t>Inder Raj Anand wrote for Raj Kapoor from 1948 and, three decades later, for Raj Kapoor's son. An Urdu writer born in Sargodha who worked on Aag, Aah, Anari and Sangam, he was one of the writers who built the R. K. Films manner of class-crossing melodrama that Rishi Kapoor would inherit as a persona. His own two Kapoor credits are modest — Raaja in 1975 and Duniya Meri Jeb Mein in 1979 — but the second is a family production in the fullest sense: directed by his son Tinnu Anand and produced by his son Bittu Anand, with Kapoor as the romantic lead. The Anands appear on six films in this workbook across four functions. Inder Raj Anand died in March 1987; his grandson Siddharth Anand later became one of Hindi cinema's biggest commercial directors.</t>
        </is>
      </c>
      <c r="T88" s="5" t="inlineStr">
        <is>
          <t>SOURCE-222</t>
        </is>
      </c>
      <c r="U88" s="5" t="inlineStr">
        <is>
          <t>High</t>
        </is>
      </c>
    </row>
    <row r="89" ht="124" customHeight="1">
      <c r="A89" s="15" t="inlineStr">
        <is>
          <t>PERSON-088</t>
        </is>
      </c>
      <c r="B89" s="5" t="inlineStr">
        <is>
          <t>Iqbal Durrani</t>
        </is>
      </c>
      <c r="C89" s="5" t="inlineStr">
        <is>
          <t>Director; Writer</t>
        </is>
      </c>
      <c r="D89" s="18" t="n"/>
      <c r="E89" s="18" t="n"/>
      <c r="F89" s="5" t="n"/>
      <c r="G89" s="5" t="inlineStr">
        <is>
          <t>Hindi cinema</t>
        </is>
      </c>
      <c r="H89" s="5" t="inlineStr">
        <is>
          <t>Iqbal Durrani, born in Banka, Bihar, is an Indian writer, director, actor and producer of Hindi films, and the author of several books.</t>
        </is>
      </c>
      <c r="I89" s="5" t="inlineStr">
        <is>
          <t>Working in Hindi cinema from the 1980s.</t>
        </is>
      </c>
      <c r="J89" s="5" t="inlineStr">
        <is>
          <t>With Kapoor: Sheshnaag (1990), Dhartiputra (1993).</t>
        </is>
      </c>
      <c r="K89" s="19" t="inlineStr">
        <is>
          <t>Mythological and folk material reworked as commercial melodrama; the snake-cult fantasy.</t>
        </is>
      </c>
      <c r="L89" s="19" t="inlineStr">
        <is>
          <t>A writer-director of mid-budget genre films drawing on folklore and religious narrative.</t>
        </is>
      </c>
      <c r="M89" s="5" t="n"/>
      <c r="N89" s="19" t="inlineStr">
        <is>
          <t>Not substantially documented beyond his filmography.</t>
        </is>
      </c>
      <c r="O89" s="19" t="inlineStr">
        <is>
          <t>Two films at the close of the lead career: Sheshnaag (1990), a snake-deity fantasy made in the wake of Nagina's success, and Dhartiputra (1993). Both are genre pictures in which Kapoor's romantic persona is secondary to the supernatural plot — the pattern that characterises much of his work between 1986 and 1993.</t>
        </is>
      </c>
      <c r="P89" s="17" t="n">
        <v>2</v>
      </c>
      <c r="Q89" s="5" t="inlineStr">
        <is>
          <t>FILM-077; FILM-090</t>
        </is>
      </c>
      <c r="R89" s="5" t="inlineStr">
        <is>
          <t>Sheshnaag (1990)</t>
        </is>
      </c>
      <c r="S89" s="5" t="inlineStr">
        <is>
          <t>Iqbal Durrani wrote and directed two Rishi Kapoor films at the end of his leading career. A writer-director from Banka in Bihar who also acts, produces and publishes books, Durrani worked in the folk-mythological register that Hindi cinema turned to in the late 1980s after Nagina made the snake-woman fantasy commercially viable. Sheshnaag (1990) is squarely in that cycle, with Kapoor in a story of serpent deities and curses, and Dhartiputra followed in 1993 with a Nadeem–Shravan score. Neither film treats him primarily as a lover: by this point the romance in a Kapoor vehicle was frequently subordinate to a supernatural or revenge plot, which is one reason his lover-boy scores drop through these years even as his billing stays high.</t>
        </is>
      </c>
      <c r="T89" s="5" t="inlineStr">
        <is>
          <t>SOURCE-223</t>
        </is>
      </c>
      <c r="U89" s="5" t="inlineStr">
        <is>
          <t>Medium</t>
        </is>
      </c>
    </row>
    <row r="90" ht="139" customHeight="1">
      <c r="A90" s="15" t="inlineStr">
        <is>
          <t>PERSON-089</t>
        </is>
      </c>
      <c r="B90" s="5" t="inlineStr">
        <is>
          <t>Jagmohan Kapoor</t>
        </is>
      </c>
      <c r="C90" s="5" t="inlineStr">
        <is>
          <t>Writer</t>
        </is>
      </c>
      <c r="D90" s="18" t="n"/>
      <c r="E90" s="18" t="n"/>
      <c r="F90" s="5" t="n"/>
      <c r="G90" s="5" t="inlineStr">
        <is>
          <t>Hindi cinema</t>
        </is>
      </c>
      <c r="H90" s="5" t="inlineStr">
        <is>
          <t>A Hindi-film writer active in the late 1980s, with no Wikipedia article of his own. He is not related to the Kapoor family of this filmography so far as the credits show.</t>
        </is>
      </c>
      <c r="I90" s="5" t="n"/>
      <c r="J90" s="5" t="inlineStr">
        <is>
          <t>With Kapoor: Nagina (1986), Nigahen (1989).</t>
        </is>
      </c>
      <c r="K90" s="19" t="inlineStr">
        <is>
          <t>The snake-woman fantasy, in both of its instalments.</t>
        </is>
      </c>
      <c r="L90" s="19" t="inlineStr">
        <is>
          <t>Not documented; credited with Achala Nagar and Ravi Kapoor on Nagina.</t>
        </is>
      </c>
      <c r="M90" s="5" t="n"/>
      <c r="N90" s="19" t="inlineStr">
        <is>
          <t>Not independently documented.</t>
        </is>
      </c>
      <c r="O90" s="19" t="inlineStr">
        <is>
          <t>Two films, and they are the Nagina pair — the 1986 hit and its 1989 sequel Nigahen, both directed by Harmesh Malhotra for Eastern Films with Laxmikant–Pyarelal's music. Nagina was among the biggest commercial successes of Kapoor's career and the one that briefly arrested his decline, which gives its writers more weight in this filmography than their one-line records suggest.</t>
        </is>
      </c>
      <c r="P90" s="17" t="n">
        <v>2</v>
      </c>
      <c r="Q90" s="5" t="inlineStr">
        <is>
          <t>FILM-056; FILM-073</t>
        </is>
      </c>
      <c r="R90" s="5" t="inlineStr">
        <is>
          <t>Nagina (1986)</t>
        </is>
      </c>
      <c r="S90" s="5" t="inlineStr">
        <is>
          <t>Jagmohan Kapoor co-wrote the two snake-woman films that gave Rishi Kapoor his biggest hit of the late 1980s, and nothing else about him is recorded. Nagina (1986), in which Kapoor marries a shape-shifting serpent played by Sridevi, was one of the year's largest successes; Nigahen (1989) was its sequel. Both were directed by Harmesh Malhotra, produced by Eastern Films and scored by Laxmikant–Pyarelal, a unit that worked repeatedly on the same formula, and on Nagina he shares the writing credit with Achala Nagar and Ravi Kapoor. He has no Wikipedia article, and the surname is coincidental: there is no evidence in the credits of any relation to the Kapoor family. This row is built from film credits alone.</t>
        </is>
      </c>
      <c r="T90" s="5" t="inlineStr">
        <is>
          <t>SOURCE-054; SOURCE-070</t>
        </is>
      </c>
      <c r="U90" s="5" t="inlineStr">
        <is>
          <t>Low</t>
        </is>
      </c>
    </row>
    <row r="91" ht="124" customHeight="1">
      <c r="A91" s="15" t="inlineStr">
        <is>
          <t>PERSON-090</t>
        </is>
      </c>
      <c r="B91" s="5" t="inlineStr">
        <is>
          <t>Jeevanprabha M. Desai</t>
        </is>
      </c>
      <c r="C91" s="5" t="inlineStr">
        <is>
          <t>Writer</t>
        </is>
      </c>
      <c r="D91" s="18" t="n"/>
      <c r="E91" s="18" t="n"/>
      <c r="F91" s="5" t="n"/>
      <c r="G91" s="5" t="inlineStr">
        <is>
          <t>Hindi cinema</t>
        </is>
      </c>
      <c r="H91" s="5" t="inlineStr">
        <is>
          <t>A Hindi-film writer, born Jeevanprabha Gandhi, who was married to the director Manmohan Desai; his article records the marriage and names their son, the producer-director Ketan Desai. She has no Wikipedia article of her own, and is credited on Coolie with the honorific as Smt. Jeevanprabha M. Desai, which this workbook consolidates to the name.</t>
        </is>
      </c>
      <c r="I91" s="5" t="n"/>
      <c r="J91" s="5" t="inlineStr">
        <is>
          <t>With Kapoor: Amar Akbar Anthony (1977), Coolie (1983).</t>
        </is>
      </c>
      <c r="K91" s="19" t="inlineStr">
        <is>
          <t>The masala construction of her husband's cinema: separated families, coincidence and reunion.</t>
        </is>
      </c>
      <c r="L91" s="19" t="inlineStr">
        <is>
          <t>A collaborative writer inside the Desai unit, credited alongside Kader Khan, K. K. Shukla and Prayag Raj.</t>
        </is>
      </c>
      <c r="M91" s="5" t="n"/>
      <c r="N91" s="19" t="inlineStr">
        <is>
          <t>Not independently documented, though her two credits are on two of the largest hits in Hindi cinema of their decade.</t>
        </is>
      </c>
      <c r="O91" s="19" t="inlineStr">
        <is>
          <t>Two films, and both are among the biggest commercial successes Kapoor ever appeared in: Amar Akbar Anthony (1977) and Coolie (1983), both directed by her husband Manmohan Desai. She is one of very few women credited as a writer anywhere in this filmography, and the only one credited on a Desai masala film.</t>
        </is>
      </c>
      <c r="P91" s="17" t="n">
        <v>2</v>
      </c>
      <c r="Q91" s="5" t="inlineStr">
        <is>
          <t>FILM-014; FILM-041</t>
        </is>
      </c>
      <c r="R91" s="5" t="inlineStr">
        <is>
          <t>Amar Akbar Anthony (1977)</t>
        </is>
      </c>
      <c r="S91" s="5" t="inlineStr">
        <is>
          <t>Jeevanprabha M. Desai is credited as a writer on two of the largest hits in this filmography and has no article of her own. Born Jeevanprabha Gandhi, she was the wife of Manmohan Desai — his article records the marriage and their son Ketan Desai, who also has four credits here — and she wrote with the collective team that produced his masala films, sharing credit with Kader Khan, K. K. Shukla and Prayag Raj on Amar Akbar Anthony (1977) and Coolie (1983). Both films are structured on the separations and coincidences that the Desai unit made its trademark, and both gave Kapoor his place inside an ensemble rather than at its centre. She is among the very few women credited as writers across the 561 collaborators in this workbook.</t>
        </is>
      </c>
      <c r="T91" s="5" t="inlineStr">
        <is>
          <t>SOURCE-015; SOURCE-040; SOURCE-184</t>
        </is>
      </c>
      <c r="U91" s="5" t="inlineStr">
        <is>
          <t>Medium</t>
        </is>
      </c>
    </row>
    <row r="92" ht="109" customHeight="1">
      <c r="A92" s="15" t="inlineStr">
        <is>
          <t>PERSON-091</t>
        </is>
      </c>
      <c r="B92" s="5" t="inlineStr">
        <is>
          <t>K. B. Pathak</t>
        </is>
      </c>
      <c r="C92" s="5" t="inlineStr">
        <is>
          <t>Writer</t>
        </is>
      </c>
      <c r="D92" s="18" t="n"/>
      <c r="E92" s="18" t="n"/>
      <c r="F92" s="5" t="n"/>
      <c r="G92" s="5" t="inlineStr">
        <is>
          <t>Hindi cinema</t>
        </is>
      </c>
      <c r="H92" s="5" t="inlineStr">
        <is>
          <t>A Hindi-film writer active around 1989–1990, with no Wikipedia article of his own. He is credited on Bade Ghar Ki Beti as K.B. Pathak, a spelling this workbook consolidates.</t>
        </is>
      </c>
      <c r="I92" s="5" t="n"/>
      <c r="J92" s="5" t="inlineStr">
        <is>
          <t>With Kapoor: Bade Ghar Ki Beti (1989), Amiri Garibi (1990).</t>
        </is>
      </c>
      <c r="K92" s="19" t="inlineStr">
        <is>
          <t>The household melodrama of class difference and family duty.</t>
        </is>
      </c>
      <c r="L92" s="19" t="inlineStr">
        <is>
          <t>Not documented; credited with Kader Khan and Mohanji Prasad on one film and Achala Nagar on the other.</t>
        </is>
      </c>
      <c r="M92" s="5" t="n"/>
      <c r="N92" s="19" t="inlineStr">
        <is>
          <t>Not independently documented.</t>
        </is>
      </c>
      <c r="O92" s="19" t="inlineStr">
        <is>
          <t>Two films from consecutive years at the end of the 1980s, both domestic melodramas: Kalpataru's Bade Ghar Ki Beti (1989), written with Kader Khan, and Harmesh Malhotra's Amiri Garibi (1990). Both cast Kapoor as a husband or son inside a family dispute rather than as a lover.</t>
        </is>
      </c>
      <c r="P92" s="17" t="n">
        <v>2</v>
      </c>
      <c r="Q92" s="5" t="inlineStr">
        <is>
          <t>FILM-070; FILM-075</t>
        </is>
      </c>
      <c r="R92" s="5" t="inlineStr">
        <is>
          <t>Bade Ghar Ki Beti (1989)</t>
        </is>
      </c>
      <c r="S92" s="5" t="inlineStr">
        <is>
          <t>K. B. Pathak wrote two Rishi Kapoor films at the turn of the 1990s and left no biographical record. Bade Ghar Ki Beti (1989), directed by Kalpataru and co-written with Kader Khan, and Amiri Garibi (1990), for Harmesh Malhotra, are both household melodramas of the type that dominated Kapoor's output in those years: the titles name the family or its economic condition rather than a romance, and his role in each is the dutiful son or husband. The two films sit inside a dense cluster — nine releases between 1989 and 1991 — that is the least documented stretch of the filmography, and whose writers are known almost entirely from the credits.</t>
        </is>
      </c>
      <c r="T92" s="5" t="inlineStr">
        <is>
          <t>SOURCE-064; SOURCE-071</t>
        </is>
      </c>
      <c r="U92" s="5" t="inlineStr">
        <is>
          <t>Low</t>
        </is>
      </c>
    </row>
    <row r="93" ht="124" customHeight="1">
      <c r="A93" s="15" t="inlineStr">
        <is>
          <t>PERSON-092</t>
        </is>
      </c>
      <c r="B93" s="5" t="inlineStr">
        <is>
          <t>K. C. Bokadia</t>
        </is>
      </c>
      <c r="C93" s="5" t="inlineStr">
        <is>
          <t>Director; Producer</t>
        </is>
      </c>
      <c r="D93" s="18" t="n"/>
      <c r="E93" s="18" t="n"/>
      <c r="F93" s="5" t="inlineStr">
        <is>
          <t>1972–present</t>
        </is>
      </c>
      <c r="G93" s="5" t="inlineStr">
        <is>
          <t>Hindi cinema</t>
        </is>
      </c>
      <c r="H93" s="5" t="inlineStr">
        <is>
          <t>Kistur Chand Bokadia, known as K. C. Bokadia, is an Indian film producer and director working from 1972. He produced Pyar Jhukta Nahin, Teri Meherbaniyan, Naseeb Apna Apna, Main Tera Dushman, Hum Tumhare Hain Sanam and Pyaar Zindagi Hai, and directed a long run of films from 1990 onwards.</t>
        </is>
      </c>
      <c r="I93" s="5" t="inlineStr">
        <is>
          <t>Producing from 1972 with Rivaaj; directing from 1990 with Aaj Ka Arjun.</t>
        </is>
      </c>
      <c r="J93" s="5" t="inlineStr">
        <is>
          <t>With Kapoor: Naseeb Apna Apna (1986), Mohabbat Ki Arzoo (1994). Elsewhere, Pyar Jhukta Nahin, Teri Meherbaniyan and Lal Baadshah.</t>
        </is>
      </c>
      <c r="K93" s="19" t="inlineStr">
        <is>
          <t>Revenge melodrama and the rural-family action film, built for the single-screen market.</t>
        </is>
      </c>
      <c r="L93" s="19" t="inlineStr">
        <is>
          <t>A high-volume producer-director of formula melodrama, often working with stars past their commercial peak.</t>
        </is>
      </c>
      <c r="M93" s="5" t="n"/>
      <c r="N93" s="19" t="inlineStr">
        <is>
          <t>A prolific commercial producer of the 1980s and 1990s whose filmography table is the only record of the director credit for one film in this workbook.</t>
        </is>
      </c>
      <c r="O93" s="19" t="inlineStr">
        <is>
          <t>Two films, in different capacities. He produced T. Rama Rao's Naseeb Apna Apna (1986), and his own filmography table — whose columns separate Director from Producer — records him as the director of Mohabbat Ki Arzoo (1994), one of six films here with no Wikipedia article of its own, which is how this workbook recovers that credit.</t>
        </is>
      </c>
      <c r="P93" s="17" t="n">
        <v>2</v>
      </c>
      <c r="Q93" s="5" t="inlineStr">
        <is>
          <t>FILM-052; FILM-098</t>
        </is>
      </c>
      <c r="R93" s="5" t="inlineStr">
        <is>
          <t>Naseeb Apna Apna (1986)</t>
        </is>
      </c>
      <c r="S93" s="5" t="inlineStr">
        <is>
          <t>K. C. Bokadia produced one Rishi Kapoor film and directed another, and his article is the reason the second has a director at all. Born Kistur Chand Bokadia and working from 1972, he became one of the most prolific producer-directors of the 1980s and 1990s, with Pyar Jhukta Nahin and Teri Meherbaniyan among his successes and a long run of formula melodramas to his name. He produced Naseeb Apna Apna in 1986, directed by T. Rama Rao, with Kapoor opposite Farha and a Laxmikant–Pyarelal score. Mohabbat Ki Arzoo (1994) is one of the six films in this filmography with no Wikipedia article; Bokadia's own article carries a filmography table whose labelled Director column marks him for it, which is the basis of the credit recorded here.</t>
        </is>
      </c>
      <c r="T93" s="5" t="inlineStr">
        <is>
          <t>SOURCE-170</t>
        </is>
      </c>
      <c r="U93" s="5" t="inlineStr">
        <is>
          <t>High</t>
        </is>
      </c>
    </row>
    <row r="94" ht="124" customHeight="1">
      <c r="A94" s="15" t="inlineStr">
        <is>
          <t>PERSON-093</t>
        </is>
      </c>
      <c r="B94" s="5" t="inlineStr">
        <is>
          <t>K. K. Singh</t>
        </is>
      </c>
      <c r="C94" s="5" t="inlineStr">
        <is>
          <t>Writer</t>
        </is>
      </c>
      <c r="D94" s="18" t="n"/>
      <c r="E94" s="17" t="n">
        <v>2011</v>
      </c>
      <c r="F94" s="5" t="inlineStr">
        <is>
          <t>1982–2011</t>
        </is>
      </c>
      <c r="G94" s="5" t="inlineStr">
        <is>
          <t>Hindi cinema; Bhojpuri cinema</t>
        </is>
      </c>
      <c r="H94" s="5" t="inlineStr">
        <is>
          <t>K. K. Singh (died 2011) was an Indian screenwriter with director-producer credits for Veergati and an acting credit in Sham Ghansham. He entered Hindi films in 1982 as an assistant director on Raj Kapoor's Prem Rog and also worked in Bhojpuri cinema.</t>
        </is>
      </c>
      <c r="I94" s="5" t="inlineStr">
        <is>
          <t>Entered films in 1982 as an assistant director on Prem Rog.</t>
        </is>
      </c>
      <c r="J94" s="5" t="inlineStr">
        <is>
          <t>With Kapoor: Ranbhoomi (1991), Gurudev (1993). Elsewhere, Krantiveer, Veergati and Sham Ghansham.</t>
        </is>
      </c>
      <c r="K94" s="19" t="inlineStr">
        <is>
          <t>Vigilante justice and the wronged common man; declamatory confrontation.</t>
        </is>
      </c>
      <c r="L94" s="19" t="inlineStr">
        <is>
          <t>A dialogue writer of the 1990s action melodrama, writing for the speech that stops a scene.</t>
        </is>
      </c>
      <c r="M94" s="5" t="inlineStr">
        <is>
          <t>Filmfare Awards for Best Dialogue and Best Story at the 40th Filmfare Awards in 1995, both for Krantiveer.</t>
        </is>
      </c>
      <c r="N94" s="19" t="inlineStr">
        <is>
          <t>The writer of Krantiveer, one of the defining vigilante films of 1990s Hindi cinema.</t>
        </is>
      </c>
      <c r="O94" s="19" t="inlineStr">
        <is>
          <t>Two films, and a notable circularity: his career began in 1982 as an assistant director on Prem Rog, which Raj Kapoor directed and in which Rishi Kapoor starred, and nine years later he was writing for the same actor on Ranbhoomi (1991) and Gurudev (1993). His article records the Prem Rog apprenticeship directly.</t>
        </is>
      </c>
      <c r="P94" s="17" t="n">
        <v>2</v>
      </c>
      <c r="Q94" s="5" t="inlineStr">
        <is>
          <t>FILM-082; FILM-097</t>
        </is>
      </c>
      <c r="R94" s="5" t="inlineStr">
        <is>
          <t>Gurudev (1993)</t>
        </is>
      </c>
      <c r="S94" s="5" t="inlineStr">
        <is>
          <t>K. K. Singh began his career on a Rishi Kapoor film and later wrote two. He entered Hindi cinema in 1982 as an assistant director on Prem Rog, Raj Kapoor's melodrama about widow remarriage starring his son, and a decade later was writing dialogue himself, winning both the Filmfare Award for Best Dialogue and the Filmfare Award for Best Story at the 40th ceremony for Krantiveer, the vigilante film that defined a certain register of 1990s Hindi cinema. His two Kapoor credits, Ranbhoomi (1991) and Gurudev (1993), come from the same years and are far less distinguished, both multi-star action melodramas made as Kapoor's lead career closed. He also directed and produced Veergati and acted in Sham Ghansham, and died in 2011.</t>
        </is>
      </c>
      <c r="T94" s="5" t="inlineStr">
        <is>
          <t>SOURCE-224</t>
        </is>
      </c>
      <c r="U94" s="5" t="inlineStr">
        <is>
          <t>High</t>
        </is>
      </c>
    </row>
    <row r="95" ht="154" customHeight="1">
      <c r="A95" s="15" t="inlineStr">
        <is>
          <t>PERSON-094</t>
        </is>
      </c>
      <c r="B95" s="5" t="inlineStr">
        <is>
          <t>Kamlesh Pandey</t>
        </is>
      </c>
      <c r="C95" s="5" t="inlineStr">
        <is>
          <t>Writer</t>
        </is>
      </c>
      <c r="D95" s="18" t="n"/>
      <c r="E95" s="18" t="n"/>
      <c r="F95" s="5" t="n"/>
      <c r="G95" s="5" t="inlineStr">
        <is>
          <t>Hindi cinema; Indian television</t>
        </is>
      </c>
      <c r="H95" s="5" t="inlineStr">
        <is>
          <t>Kamlesh Pandey is an Indian screenwriter and dialogue writer from Ballia, Uttar Pradesh, resident in Mumbai. He wrote the television thriller Karamchand and the teleplays Kachchi Dhoop and Naqab for Amol Palekar, and in 1992 became head of programming at Zee TV.</t>
        </is>
      </c>
      <c r="I95" s="5" t="inlineStr">
        <is>
          <t>Writing for Hindi films and television through the 1980s.</t>
        </is>
      </c>
      <c r="J95" s="5" t="inlineStr">
        <is>
          <t>With Kapoor: Shreemaan Aashique (1993), Delhi-6 (2009). Elsewhere, Tezaab, Saudagar and Rang De Basanti.</t>
        </is>
      </c>
      <c r="K95" s="19" t="inlineStr">
        <is>
          <t>Urban anger and institutional failure; the ensemble that stands in for a city or a nation.</t>
        </is>
      </c>
      <c r="L95" s="19" t="inlineStr">
        <is>
          <t>Dialogue-led writing with an ear for the political temperature of a moment, working in both film and television.</t>
        </is>
      </c>
      <c r="M95" s="5" t="inlineStr">
        <is>
          <t>Filmfare Award for Tezaab, Star Screen Award for Saudagar, IIFA Award for Rang De Basanti, and Indian Television Academy and Indian Telly awards for Virrudh.</t>
        </is>
      </c>
      <c r="N95" s="19" t="inlineStr">
        <is>
          <t>One of the significant commercial screenwriters of the late 1980s and of the 2000s socially engaged film.</t>
        </is>
      </c>
      <c r="O95" s="19" t="inlineStr">
        <is>
          <t>Two films sixteen years apart and in different registers: the romantic comedy Shreemaan Aashique (1993), one of the last films written to Kapoor's lover-boy persona, and Rakeysh Omprakash Mehra's Delhi-6 (2009), in which Kapoor is part of a Chandni Chowk ensemble. One other point of note: the teleplay Naqab that his article credits him with is a television work and is not the 1989 film Naqab in this filmography.</t>
        </is>
      </c>
      <c r="P95" s="17" t="n">
        <v>2</v>
      </c>
      <c r="Q95" s="5" t="inlineStr">
        <is>
          <t>FILM-092; FILM-129</t>
        </is>
      </c>
      <c r="R95" s="5" t="inlineStr">
        <is>
          <t>Delhi-6 (2009)</t>
        </is>
      </c>
      <c r="S95" s="5" t="inlineStr">
        <is>
          <t>Kamlesh Pandey wrote two Rishi Kapoor films at opposite ends of the actor's reinvention. A screenwriter from Ballia who won a Filmfare Award for Tezaab and later an IIFA Award for Rang De Basanti, Pandey worked across film and television, creating the thriller Karamchand and running programming at Zee TV in the 1990s. For Kapoor he wrote Shreemaan Aashique in 1993, a romantic comedy pitched at a persona that had stopped selling, and then Delhi-6 in 2009, Rakeysh Omprakash Mehra's film about a Chandni Chowk neighbourhood pulled apart by religious tension, in which Kapoor is one voice in an ensemble. The sixteen-year gap between the two credits covers almost exactly the period in which Kapoor ceased to be a leading man and became a character actor.</t>
        </is>
      </c>
      <c r="T95" s="5" t="inlineStr">
        <is>
          <t>SOURCE-225</t>
        </is>
      </c>
      <c r="U95" s="5" t="inlineStr">
        <is>
          <t>High</t>
        </is>
      </c>
    </row>
    <row r="96" ht="154" customHeight="1">
      <c r="A96" s="15" t="inlineStr">
        <is>
          <t>PERSON-095</t>
        </is>
      </c>
      <c r="B96" s="5" t="inlineStr">
        <is>
          <t>Kamna Chandra</t>
        </is>
      </c>
      <c r="C96" s="5" t="inlineStr">
        <is>
          <t>Writer</t>
        </is>
      </c>
      <c r="D96" s="18" t="n"/>
      <c r="E96" s="18" t="n"/>
      <c r="F96" s="5" t="n"/>
      <c r="G96" s="5" t="inlineStr">
        <is>
          <t>Hindi cinema; All India Radio</t>
        </is>
      </c>
      <c r="H96" s="5" t="inlineStr">
        <is>
          <t>Kamna Chandra is an Indian writer who wrote plays for All India Radio before writing stories and dialogue for the screen. Her credits include Prem Rog, Chandni and 1942: A Love Story, the last directed by her son-in-law Vidhu Vinod Chopra, as well as the television show Kashish.</t>
        </is>
      </c>
      <c r="I96" s="5" t="inlineStr">
        <is>
          <t>Radio plays for All India Radio; her first major film credit is Prem Rog (1982).</t>
        </is>
      </c>
      <c r="J96" s="5" t="inlineStr">
        <is>
          <t>With Kapoor: Prem Rog (1982), Chandni (1989). Elsewhere, 1942: A Love Story.</t>
        </is>
      </c>
      <c r="K96" s="19" t="inlineStr">
        <is>
          <t>Romance organised around a woman's social position — widowhood, respectability, and the right to choose again.</t>
        </is>
      </c>
      <c r="L96" s="19" t="inlineStr">
        <is>
          <t>A writer from radio drama, strong on situation and on the moral predicament of a female protagonist.</t>
        </is>
      </c>
      <c r="M96" s="5" t="n"/>
      <c r="N96" s="19" t="inlineStr">
        <is>
          <t>One of the very few women writing story and dialogue for mainstream Hindi cinema in the 1980s, and the author of two of its best-known romances.</t>
        </is>
      </c>
      <c r="O96" s="19" t="inlineStr">
        <is>
          <t>Two films, and both are central to this filmography. Prem Rog (1982), directed by Raj Kapoor, casts Kapoor as the man who loves and marries a young widow against his community; Chandni (1989), for Yash Chopra, restored him as a romantic lead opposite Sridevi. She is therefore the writer behind both his most serious role of the 1980s and his comeback as a lover, and one of a handful of women credited anywhere in this workbook.</t>
        </is>
      </c>
      <c r="P96" s="17" t="n">
        <v>2</v>
      </c>
      <c r="Q96" s="5" t="inlineStr">
        <is>
          <t>FILM-037; FILM-074</t>
        </is>
      </c>
      <c r="R96" s="5" t="inlineStr">
        <is>
          <t>Prem Rog (1982)</t>
        </is>
      </c>
      <c r="S96" s="5" t="inlineStr">
        <is>
          <t>Kamna Chandra wrote the two films that mark the high points of Rishi Kapoor's romantic career after Bobby, and she is one of the few women credited in this filmography at all. A writer of radio plays for All India Radio before she wrote for the screen, Chandra supplied the story for Raj Kapoor's Prem Rog (1982), in which Kapoor's character loves a young widow and defies his community to marry her — the most morally serious part he played in that decade — and then for Yash Chopra's Chandni (1989), the hit that returned him to romantic leading man opposite Sridevi. She also wrote 1942: A Love Story for her son-in-law Vidhu Vinod Chopra. That both of Kapoor's most admired romances were written by the same woman is among the more striking findings of this phase.</t>
        </is>
      </c>
      <c r="T96" s="5" t="inlineStr">
        <is>
          <t>SOURCE-226</t>
        </is>
      </c>
      <c r="U96" s="5" t="inlineStr">
        <is>
          <t>High</t>
        </is>
      </c>
    </row>
    <row r="97" ht="124" customHeight="1">
      <c r="A97" s="15" t="inlineStr">
        <is>
          <t>PERSON-096</t>
        </is>
      </c>
      <c r="B97" s="5" t="inlineStr">
        <is>
          <t>Lalit Pandit</t>
        </is>
      </c>
      <c r="C97" s="5" t="inlineStr">
        <is>
          <t>Song composer</t>
        </is>
      </c>
      <c r="D97" s="18" t="n"/>
      <c r="E97" s="18" t="n"/>
      <c r="F97" s="5" t="n"/>
      <c r="G97" s="5" t="inlineStr">
        <is>
          <t>Hindi cinema</t>
        </is>
      </c>
      <c r="H97" s="5" t="inlineStr">
        <is>
          <t>Lalit Pandit is an Indian composer, one half of the duo Jatin–Lalit with his brother Jatin Pandit. The duo worked together from 1991 until 2006 and both brothers have composed independently since. Wikipedia has no separate article on him; his name resolves to the duo's article, which carries a section on his solo filmography.</t>
        </is>
      </c>
      <c r="I97" s="5" t="inlineStr">
        <is>
          <t>With Jatin–Lalit from 1991; composing independently from 2006.</t>
        </is>
      </c>
      <c r="J97" s="5" t="inlineStr">
        <is>
          <t>With Kapoor: Besharam (2013), Patel Ki Punjabi Shaadi (2017). Elsewhere, as half of Jatin–Lalit, Dilwale Dulhania Le Jayenge, Kuch Kuch Hota Hai and Mohabbatein; independently, Dabangg's 'Munni Badnaam Hui'.</t>
        </is>
      </c>
      <c r="K97" s="19" t="inlineStr">
        <is>
          <t>Melodic romance and, in his solo work, the item number and the Punjabi dance song.</t>
        </is>
      </c>
      <c r="L97" s="19" t="inlineStr">
        <is>
          <t>The more extrovert half of a duo known for melody, with a solo career tilted towards rhythm and spectacle.</t>
        </is>
      </c>
      <c r="M97" s="5" t="n"/>
      <c r="N97" s="19" t="inlineStr">
        <is>
          <t>Co-composer of the canonical 1990s Hindi romance soundtracks.</t>
        </is>
      </c>
      <c r="O97" s="19" t="inlineStr">
        <is>
          <t>Two films, both solo credits and both late: Besharam (2013), in which Kapoor appeared with his wife Neetu Singh and their son Ranbir Kapoor — the only film with all three — and Patel Ki Punjabi Shaadi (2017). As half of Jatin–Lalit he also has four earlier Kapoor credits, recorded separately under the duo.</t>
        </is>
      </c>
      <c r="P97" s="17" t="n">
        <v>2</v>
      </c>
      <c r="Q97" s="5" t="inlineStr">
        <is>
          <t>FILM-145; FILM-153</t>
        </is>
      </c>
      <c r="R97" s="5" t="inlineStr">
        <is>
          <t>Besharam (2013)</t>
        </is>
      </c>
      <c r="S97" s="5" t="inlineStr">
        <is>
          <t>Lalit Pandit scored two late Rishi Kapoor films on his own, having already worked on four as half of Jatin–Lalit. The Pandit brothers were the defining romantic composers of 1990s Hindi cinema; after their split in 2006 Lalit worked independently, with a harder, more rhythmic idiom best known from 'Munni Badnaam Hui'. His solo Kapoor credits are Besharam (2013), the Abhinav Kashyap comedy notable chiefly for being the only film in which Rishi Kapoor, his wife Neetu Singh and their son Ranbir Kapoor all appear, and Patel Ki Punjabi Shaadi (2017). He has no Wikipedia article of his own, so this row cites the duo's article, which includes a section on his solo filmography.</t>
        </is>
      </c>
      <c r="T97" s="5" t="inlineStr">
        <is>
          <t>SOURCE-180</t>
        </is>
      </c>
      <c r="U97" s="5" t="inlineStr">
        <is>
          <t>Medium</t>
        </is>
      </c>
    </row>
    <row r="98" ht="94" customHeight="1">
      <c r="A98" s="15" t="inlineStr">
        <is>
          <t>PERSON-097</t>
        </is>
      </c>
      <c r="B98" s="5" t="inlineStr">
        <is>
          <t>M. Balamurugan</t>
        </is>
      </c>
      <c r="C98" s="5" t="inlineStr">
        <is>
          <t>Writer</t>
        </is>
      </c>
      <c r="D98" s="18" t="n"/>
      <c r="E98" s="18" t="n"/>
      <c r="F98" s="5" t="n"/>
      <c r="G98" s="5" t="inlineStr">
        <is>
          <t>Hindi cinema</t>
        </is>
      </c>
      <c r="H98" s="5" t="inlineStr">
        <is>
          <t>A writer credited on two Hindi films of the mid-1980s, with no Wikipedia article of his own. He is credited on Dosti Dushmani simply as Balamurugan, a spelling this workbook consolidates; both films are connected to South Indian production units.</t>
        </is>
      </c>
      <c r="I98" s="5" t="n"/>
      <c r="J98" s="5" t="inlineStr">
        <is>
          <t>With Kapoor: Ram Tere Kitne Nam (1985), Dosti Dushmani (1986).</t>
        </is>
      </c>
      <c r="K98" s="19" t="inlineStr">
        <is>
          <t>Melodrama adapted for the Hindi market from southern formulas.</t>
        </is>
      </c>
      <c r="L98" s="19" t="inlineStr">
        <is>
          <t>Not documented.</t>
        </is>
      </c>
      <c r="M98" s="5" t="n"/>
      <c r="N98" s="19" t="inlineStr">
        <is>
          <t>Not independently documented.</t>
        </is>
      </c>
      <c r="O98" s="19" t="inlineStr">
        <is>
          <t>Two films from consecutive years, Ram Tere Kitne Nam (1985) and T. Rama Rao's Dosti Dushmani (1986), both from the stretch when Kapoor was working frequently for South Indian directors and producers remaking southern material in Hindi.</t>
        </is>
      </c>
      <c r="P98" s="17" t="n">
        <v>2</v>
      </c>
      <c r="Q98" s="5" t="inlineStr">
        <is>
          <t>FILM-045; FILM-055</t>
        </is>
      </c>
      <c r="R98" s="5" t="inlineStr">
        <is>
          <t>Dosti Dushmani (1986)</t>
        </is>
      </c>
      <c r="S98" s="5" t="inlineStr">
        <is>
          <t>M. Balamurugan is credited as a writer on two Rishi Kapoor films of the mid-1980s and has no documented biography. Ram Tere Kitne Nam (1985), where he shares credit with Jainendra Jain, and Dosti Dushmani (1986), directed by T. Rama Rao and written with Rahi Masoom Raza, both belong to the period in which a substantial share of Kapoor's films were made by South Indian filmmakers working in Hindi, often reworking Telugu or Tamil originals. The name appears in two spellings across the two credits. Like most of the writers in this tier of the workbook, he is attested only by the films themselves, and the row is graded accordingly.</t>
        </is>
      </c>
      <c r="T98" s="5" t="inlineStr">
        <is>
          <t>SOURCE-050; SOURCE-053</t>
        </is>
      </c>
      <c r="U98" s="5" t="inlineStr">
        <is>
          <t>Low</t>
        </is>
      </c>
    </row>
    <row r="99" ht="139" customHeight="1">
      <c r="A99" s="15" t="inlineStr">
        <is>
          <t>PERSON-098</t>
        </is>
      </c>
      <c r="B99" s="5" t="inlineStr">
        <is>
          <t>Meet Bros Anjjan</t>
        </is>
      </c>
      <c r="C99" s="5" t="inlineStr">
        <is>
          <t>Song composer</t>
        </is>
      </c>
      <c r="D99" s="18" t="n"/>
      <c r="E99" s="18" t="n"/>
      <c r="F99" s="5" t="inlineStr">
        <is>
          <t>2005–present</t>
        </is>
      </c>
      <c r="G99" s="5" t="inlineStr">
        <is>
          <t>Hindi cinema</t>
        </is>
      </c>
      <c r="H99" s="5" t="inlineStr">
        <is>
          <t>An Indian musical duo from Gwalior consisting of the brothers Manmeet Singh and Harmeet Singh, who performed as Meet Bros Anjjan with their longtime collaborator Anjjan Bhattacharya before continuing as Meet Bros. They began as actors and turned to composing and singing after the success of their song 'Jogi Singh Barnala Singh'.</t>
        </is>
      </c>
      <c r="I99" s="5" t="inlineStr">
        <is>
          <t>Composing from Isi Life Mein and Do Dooni Chaar; wider recognition with Kyaa Super Kool Hain Hum and OMG – Oh My God!</t>
        </is>
      </c>
      <c r="J99" s="5" t="inlineStr">
        <is>
          <t>With Kapoor: Do Dooni Chaar (2010), All Is Well (2015). Elsewhere, OMG – Oh My God! and the songs recorded with Kanika Kapoor that brought them a Filmfare Award for Best Music Director.</t>
        </is>
      </c>
      <c r="K99" s="19" t="inlineStr">
        <is>
          <t>Contemporary dance pop and the single-song commission.</t>
        </is>
      </c>
      <c r="L99" s="19" t="inlineStr">
        <is>
          <t>Hook-driven commercial songwriting for multi-composer soundtracks, frequently sung by the brothers themselves.</t>
        </is>
      </c>
      <c r="M99" s="5" t="inlineStr">
        <is>
          <t>Filmfare Award for Best Music Director for a soundtrack featuring Kanika Kapoor's vocals.</t>
        </is>
      </c>
      <c r="N99" s="19" t="inlineStr">
        <is>
          <t>Among the most employed composers of the 2010s Hindi film song.</t>
        </is>
      </c>
      <c r="O99" s="19" t="inlineStr">
        <is>
          <t>Two films. Do Dooni Chaar (2010) was one of their earliest scores and is the more significant — Habib Faisal's film in which Kapoor and Neetu Singh play a Delhi schoolteacher and his wife, and for which Kapoor won the Filmfare Critics Award for Best Actor. All Is Well (2015) followed, a multi-composer soundtrack of the kind typical of their work.</t>
        </is>
      </c>
      <c r="P99" s="17" t="n">
        <v>2</v>
      </c>
      <c r="Q99" s="5" t="inlineStr">
        <is>
          <t>FILM-134; FILM-148</t>
        </is>
      </c>
      <c r="R99" s="5" t="inlineStr">
        <is>
          <t>Do Dooni Chaar (2010)</t>
        </is>
      </c>
      <c r="S99" s="5" t="inlineStr">
        <is>
          <t>Meet Bros Anjjan scored two Rishi Kapoor films, one of them at a pivotal moment. The brothers Manmeet and Harmeet Singh, from Gwalior, began as actors and became composers after a hit non-film song, working for several years under the name Meet Bros Anjjan with Anjjan Bhattacharya before continuing as a duo; they later won a Filmfare Award for Best Music Director. Do Dooni Chaar (2010) was among their first film assignments, and it is the film in which Kapoor, opposite his wife Neetu Singh, played the Delhi schoolteacher who wants a car — the performance that won him the Filmfare Critics Award for Best Actor and established his late career. All Is Well (2015) was their second, one of the fragmented multi-composer soundtracks characteristic of the decade.</t>
        </is>
      </c>
      <c r="T99" s="5" t="inlineStr">
        <is>
          <t>SOURCE-227</t>
        </is>
      </c>
      <c r="U99" s="5" t="inlineStr">
        <is>
          <t>High</t>
        </is>
      </c>
    </row>
    <row r="100" ht="109" customHeight="1">
      <c r="A100" s="15" t="inlineStr">
        <is>
          <t>PERSON-099</t>
        </is>
      </c>
      <c r="B100" s="5" t="inlineStr">
        <is>
          <t>Mithoon</t>
        </is>
      </c>
      <c r="C100" s="5" t="inlineStr">
        <is>
          <t>Song composer</t>
        </is>
      </c>
      <c r="D100" s="18" t="n"/>
      <c r="E100" s="18" t="n"/>
      <c r="F100" s="5" t="inlineStr">
        <is>
          <t>2005–present</t>
        </is>
      </c>
      <c r="G100" s="5" t="inlineStr">
        <is>
          <t>Hindi cinema</t>
        </is>
      </c>
      <c r="H100" s="5" t="inlineStr">
        <is>
          <t>Mithun Sharma, known as Mithoon, is an Indian composer, lyricist and playback singer working in Hindi films. He composed 'Tum Hi Ho' for Aashiqui 2, for which he received the Filmfare Award for Best Music Director, and wrote and composed 'Sanam Re', named Most Streamed Song of 2016 at the Global Indian Music Academy Awards.</t>
        </is>
      </c>
      <c r="I100" s="5" t="inlineStr">
        <is>
          <t>Composing from 2005.</t>
        </is>
      </c>
      <c r="J100" s="5" t="inlineStr">
        <is>
          <t>With Kapoor: All Is Well (2015), Sanam Re (2016). Elsewhere, Aashiqui 2, Hamari Adhuri Kahani and Ek Villain.</t>
        </is>
      </c>
      <c r="K100" s="19" t="inlineStr">
        <is>
          <t>The slow romantic ballad, usually written and composed by himself and often the only memorable element of its film.</t>
        </is>
      </c>
      <c r="L100" s="19" t="inlineStr">
        <is>
          <t>Piano-and-voice balladry with a strong lyrical hand, written as a standalone song rather than as part of a score.</t>
        </is>
      </c>
      <c r="M100" s="5" t="inlineStr">
        <is>
          <t>Filmfare Award for Best Music Director for Aashiqui 2 and a Filmfare nomination for Best Lyricist at the 59th awards.</t>
        </is>
      </c>
      <c r="N100" s="19" t="inlineStr">
        <is>
          <t>One of the most commercially successful balladeers of 2010s Hindi film music.</t>
        </is>
      </c>
      <c r="O100" s="19" t="inlineStr">
        <is>
          <t>Two films at the end of the career: All Is Well (2015) and Sanam Re (2016), the latter taking its title from his own song, which became one of the most streamed Hindi recordings of its year. Kapoor plays a father in both.</t>
        </is>
      </c>
      <c r="P100" s="17" t="n">
        <v>2</v>
      </c>
      <c r="Q100" s="5" t="inlineStr">
        <is>
          <t>FILM-148; FILM-151</t>
        </is>
      </c>
      <c r="R100" s="5" t="inlineStr">
        <is>
          <t>Sanam Re (2016)</t>
        </is>
      </c>
      <c r="S100" s="5" t="inlineStr">
        <is>
          <t>Mithoon wrote songs for two of Rishi Kapoor's last films. A composer, lyricist and singer working since 2005, Mithun Sharma became one of the most reliable hitmakers of 2010s Hindi cinema on the strength of slow romantic ballads — 'Tum Hi Ho' from Aashiqui 2, for which he won the Filmfare Award for Best Music Director, and 'Sanam Re', named the most streamed Hindi song of 2016. Both of his Kapoor films, All Is Well (2015) and Sanam Re (2016), are T-Series productions in which Kapoor plays the father and the soundtrack is divided among several composers. In each, the song outlived the film. It is a neat inversion of the actor's youth, when a Laxmikant–Pyarelal or R. D. Burman score and the film it belonged to succeeded or failed together.</t>
        </is>
      </c>
      <c r="T100" s="5" t="inlineStr">
        <is>
          <t>SOURCE-228</t>
        </is>
      </c>
      <c r="U100" s="5" t="inlineStr">
        <is>
          <t>High</t>
        </is>
      </c>
    </row>
    <row r="101" ht="109" customHeight="1">
      <c r="A101" s="15" t="inlineStr">
        <is>
          <t>PERSON-100</t>
        </is>
      </c>
      <c r="B101" s="5" t="inlineStr">
        <is>
          <t>Mohan Kaul</t>
        </is>
      </c>
      <c r="C101" s="5" t="inlineStr">
        <is>
          <t>Writer</t>
        </is>
      </c>
      <c r="D101" s="18" t="n"/>
      <c r="E101" s="18" t="n"/>
      <c r="F101" s="5" t="n"/>
      <c r="G101" s="5" t="inlineStr">
        <is>
          <t>Hindi cinema</t>
        </is>
      </c>
      <c r="H101" s="5" t="inlineStr">
        <is>
          <t>A Hindi-film writer active in the late 1980s and early 1990s, with no Wikipedia article of his own. The bare name resolves on Wikipedia to an unrelated organisation, so nothing beyond the credits can be established about him.</t>
        </is>
      </c>
      <c r="I101" s="5" t="n"/>
      <c r="J101" s="5" t="inlineStr">
        <is>
          <t>With Kapoor: Khudgarz (1987), Sheshnaag (1990).</t>
        </is>
      </c>
      <c r="K101" s="19" t="inlineStr">
        <is>
          <t>Revenge melodrama and folk-mythological fantasy.</t>
        </is>
      </c>
      <c r="L101" s="19" t="inlineStr">
        <is>
          <t>Not documented.</t>
        </is>
      </c>
      <c r="M101" s="5" t="n"/>
      <c r="N101" s="19" t="inlineStr">
        <is>
          <t>Not independently documented.</t>
        </is>
      </c>
      <c r="O101" s="19" t="inlineStr">
        <is>
          <t>Two films from the late 1980s, and the first matters: Rakesh Roshan's Khudgarz (1987) was one of the few unambiguous successes of Kapoor's weakest decade, a revenge drama that reminded the industry he could still open a film. Sheshnaag (1990), the snake-deity fantasy, followed.</t>
        </is>
      </c>
      <c r="P101" s="17" t="n">
        <v>2</v>
      </c>
      <c r="Q101" s="5" t="inlineStr">
        <is>
          <t>FILM-060; FILM-077</t>
        </is>
      </c>
      <c r="R101" s="5" t="inlineStr">
        <is>
          <t>Khudgarz (1987)</t>
        </is>
      </c>
      <c r="S101" s="5" t="inlineStr">
        <is>
          <t>Mohan Kaul wrote two Rishi Kapoor films and has no documented biography; an earlier pass of this research briefly attached to his name the article of an unrelated organisation, which is the kind of collision that makes the lower tiers of this workbook laborious to verify. His credits are Khudgarz (1987), Rakesh Roshan's revenge melodrama and one of the few solid commercial successes Kapoor had between Nagina and Chandni, and Sheshnaag (1990), Iqbal Durrani's snake-deity fantasy. The pairing is characteristic of the period: a hit built on vengeance and a fantasy built on folklore, neither of them requiring the romantic persona on which Kapoor's reputation had been founded. This row is built from film credits alone.</t>
        </is>
      </c>
      <c r="T101" s="5" t="inlineStr">
        <is>
          <t>SOURCE-058; SOURCE-074</t>
        </is>
      </c>
      <c r="U101" s="5" t="inlineStr">
        <is>
          <t>Low</t>
        </is>
      </c>
    </row>
    <row r="102" ht="109" customHeight="1">
      <c r="A102" s="15" t="inlineStr">
        <is>
          <t>PERSON-101</t>
        </is>
      </c>
      <c r="B102" s="5" t="inlineStr">
        <is>
          <t>Mohanji Prasad</t>
        </is>
      </c>
      <c r="C102" s="5" t="inlineStr">
        <is>
          <t>Director; Producer; Writer</t>
        </is>
      </c>
      <c r="D102" s="18" t="n"/>
      <c r="E102" s="18" t="n"/>
      <c r="F102" s="5" t="n"/>
      <c r="G102" s="5" t="inlineStr">
        <is>
          <t>Hindi cinema</t>
        </is>
      </c>
      <c r="H102" s="5" t="inlineStr">
        <is>
          <t>A Hindi-film director, producer and writer active around 1989–1991, with no Wikipedia article of his own.</t>
        </is>
      </c>
      <c r="I102" s="5" t="n"/>
      <c r="J102" s="5" t="inlineStr">
        <is>
          <t>With Kapoor: Bade Ghar Ki Beti (1989), Ghar Parivar (1991).</t>
        </is>
      </c>
      <c r="K102" s="19" t="inlineStr">
        <is>
          <t>The joint-family melodrama of duty, property and domestic conflict.</t>
        </is>
      </c>
      <c r="L102" s="19" t="inlineStr">
        <is>
          <t>Not documented; on Bade Ghar Ki Beti he is credited as a writer alongside Kader Khan and K. B. Pathak.</t>
        </is>
      </c>
      <c r="M102" s="5" t="n"/>
      <c r="N102" s="19" t="inlineStr">
        <is>
          <t>Not independently documented.</t>
        </is>
      </c>
      <c r="O102" s="19" t="inlineStr">
        <is>
          <t>Two films from the turn of the 1990s, both household melodramas: Kalpataru's Bade Ghar Ki Beti (1989), on which he worked as a writer, and Ghar Parivar (1991). Both belong to the densest and least documented stretch of the filmography, when Kapoor was making three or four such films a year.</t>
        </is>
      </c>
      <c r="P102" s="17" t="n">
        <v>2</v>
      </c>
      <c r="Q102" s="5" t="inlineStr">
        <is>
          <t>FILM-070; FILM-079</t>
        </is>
      </c>
      <c r="R102" s="5" t="inlineStr">
        <is>
          <t>Bade Ghar Ki Beti (1989)</t>
        </is>
      </c>
      <c r="S102" s="5" t="inlineStr">
        <is>
          <t>Mohanji Prasad worked on two Rishi Kapoor family melodramas at the turn of the 1990s and has no documented biography. Bade Ghar Ki Beti (1989), directed by Kalpataru from a script he shared with Kader Khan, and Ghar Parivar (1991), with a Kalyanji–Anandji score, are both domestic dramas of obligation and property in which Kapoor plays a son or husband rather than a lover. He is credited across direction, production and writing on these two films, which is itself characteristic of the tier of production involved: small units in which one person covered several functions. This row is built from film credits alone.</t>
        </is>
      </c>
      <c r="T102" s="5" t="inlineStr">
        <is>
          <t>SOURCE-064; SOURCE-079</t>
        </is>
      </c>
      <c r="U102" s="5" t="inlineStr">
        <is>
          <t>Low</t>
        </is>
      </c>
    </row>
    <row r="103" ht="109" customHeight="1">
      <c r="A103" s="15" t="inlineStr">
        <is>
          <t>PERSON-102</t>
        </is>
      </c>
      <c r="B103" s="5" t="inlineStr">
        <is>
          <t>Naresh Malhotra</t>
        </is>
      </c>
      <c r="C103" s="5" t="inlineStr">
        <is>
          <t>Producer</t>
        </is>
      </c>
      <c r="D103" s="18" t="n"/>
      <c r="E103" s="18" t="n"/>
      <c r="F103" s="5" t="n"/>
      <c r="G103" s="5" t="inlineStr">
        <is>
          <t>Hindi cinema</t>
        </is>
      </c>
      <c r="H103" s="5" t="inlineStr">
        <is>
          <t>A Hindi-film producer active from the late 1970s to the mid-1980s, with no Wikipedia article of his own.</t>
        </is>
      </c>
      <c r="I103" s="5" t="n"/>
      <c r="J103" s="5" t="inlineStr">
        <is>
          <t>With Kapoor: Duniya Meri Jeb Mein (1979), Yeh Ishq Nahin Aasaan (1984).</t>
        </is>
      </c>
      <c r="K103" s="19" t="inlineStr">
        <is>
          <t>Romance and melodrama produced in partnership with Bittu Anand.</t>
        </is>
      </c>
      <c r="L103" s="19" t="inlineStr">
        <is>
          <t>Not documented.</t>
        </is>
      </c>
      <c r="M103" s="5" t="n"/>
      <c r="N103" s="19" t="inlineStr">
        <is>
          <t>Not independently documented.</t>
        </is>
      </c>
      <c r="O103" s="19" t="inlineStr">
        <is>
          <t>Two films, both co-produced with Bittu Anand, son of the writer Inder Raj Anand: Duniya Meri Jeb Mein (1979), directed by Tinnu Anand, and Yeh Ishq Nahin Aasaan (1984). Both cast Kapoor as a romantic lead in the years when that was still his principal function.</t>
        </is>
      </c>
      <c r="P103" s="17" t="n">
        <v>2</v>
      </c>
      <c r="Q103" s="5" t="inlineStr">
        <is>
          <t>FILM-026; FILM-044</t>
        </is>
      </c>
      <c r="R103" s="5" t="inlineStr">
        <is>
          <t>Duniya Meri Jeb Mein (1979)</t>
        </is>
      </c>
      <c r="S103" s="5" t="inlineStr">
        <is>
          <t>Naresh Malhotra produced two Rishi Kapoor films and has no documented biography. Both were made with Bittu Anand — a son of the Raj Kapoor screenwriter Inder Raj Anand — as co-producer: Duniya Meri Jeb Mein (1979), directed by Bittu's brother Tinnu Anand with a Rajesh Roshan score, and Yeh Ishq Nahin Aasaan (1984), a Laxmikant–Pyarelal film. The pairing suggests a standing partnership rather than two separate ventures, and places Malhotra inside the Anand family's production orbit, which accounts for six credits across this filmography. Nothing else about him is recorded, and the row is graded accordingly.</t>
        </is>
      </c>
      <c r="T103" s="5" t="inlineStr">
        <is>
          <t>SOURCE-026; SOURCE-044</t>
        </is>
      </c>
      <c r="U103" s="5" t="inlineStr">
        <is>
          <t>Low</t>
        </is>
      </c>
    </row>
    <row r="104" ht="169" customHeight="1">
      <c r="A104" s="15" t="inlineStr">
        <is>
          <t>PERSON-103</t>
        </is>
      </c>
      <c r="B104" s="5" t="inlineStr">
        <is>
          <t>Nasir Hussain</t>
        </is>
      </c>
      <c r="C104" s="5" t="inlineStr">
        <is>
          <t>Director; Producer; Writer</t>
        </is>
      </c>
      <c r="D104" s="17" t="n">
        <v>1926</v>
      </c>
      <c r="E104" s="17" t="n">
        <v>2002</v>
      </c>
      <c r="F104" s="5" t="inlineStr">
        <is>
          <t>1948–1996</t>
        </is>
      </c>
      <c r="G104" s="5" t="inlineStr">
        <is>
          <t>Hindi cinema</t>
        </is>
      </c>
      <c r="H104" s="5" t="inlineStr">
        <is>
          <t>Mohammad Nasir Hussain Khan (16 November 1926 – 13 March 2002), known as Nasir Hussain, was an Indian producer, director and screenwriter credited as a major trendsetter in Hindi cinema. He directed Yaadon Ki Baraat (1973), which his article credits with creating the masala genre that defined the 1970s and 1980s, and wrote and produced Qayamat Se Qayamat Tak (1988), which set the musical-romance template of the 1990s. His son is the director Mansoor Khan.</t>
        </is>
      </c>
      <c r="I104" s="5" t="inlineStr">
        <is>
          <t>Working from 1948; his run of musical hits begins with Jab Pyar Kisi Se Hota Hai (1961).</t>
        </is>
      </c>
      <c r="J104" s="5" t="inlineStr">
        <is>
          <t>With Kapoor: Hum Kisise Kum Naheen (1977), Zamaane Ko Dikhana Hai (1982). Elsewhere, Teesri Manzil, Caravan, Yaadon Ki Baraat and Qayamat Se Qayamat Tak.</t>
        </is>
      </c>
      <c r="K104" s="19" t="inlineStr">
        <is>
          <t>Youth, music and masquerade: the lost-and-found plot, the talent-contest set piece, and courtship conducted through song.</t>
        </is>
      </c>
      <c r="L104" s="19" t="inlineStr">
        <is>
          <t>The musical as structure rather than decoration, built on R. D. Burman's scores and on young performers introduced by the film itself.</t>
        </is>
      </c>
      <c r="M104" s="5" t="inlineStr">
        <is>
          <t>A special Filmfare Award in 1996 for his contribution to Hindi cinema.</t>
        </is>
      </c>
      <c r="N104" s="19" t="inlineStr">
        <is>
          <t>The filmmaker credited with establishing both the 1970s masala film and the 1990s musical romance — the two commercial templates that bracket Kapoor's leading career.</t>
        </is>
      </c>
      <c r="O104" s="19" t="inlineStr">
        <is>
          <t>Two films, and they matter more than the number suggests. Hum Kisise Kum Naheen (1977) is the purest expression of Kapoor's youth persona: a musical of disguise and rivalry with an R. D. Burman score that his article names among the Burman collaborations, in which the hero sings his way through the plot. Zamaane Ko Dikhana Hai (1982) repeated the formula. Hussain's own later film Qayamat Se Qayamat Tak then launched the generation that displaced Kapoor.</t>
        </is>
      </c>
      <c r="P104" s="17" t="n">
        <v>2</v>
      </c>
      <c r="Q104" s="5" t="inlineStr">
        <is>
          <t>FILM-015; FILM-035</t>
        </is>
      </c>
      <c r="R104" s="5" t="inlineStr">
        <is>
          <t>Hum Kisise Kum Naheen (1977)</t>
        </is>
      </c>
      <c r="S104" s="5" t="inlineStr">
        <is>
          <t>Nasir Hussain made only two Rishi Kapoor films, but they define one half of his screen identity. Hussain was Hindi cinema's great builder of musicals — Jab Pyar Kisi Se Hota Hai, Teesri Manzil, Caravan — and his Yaadon Ki Baraat is credited with inventing the masala form that dominated the 1970s. In Hum Kisise Kum Naheen (1977) he gave Kapoor the role his whole early persona rests on: a young man who sings, flirts, performs and competes, carried by an R. D. Burman soundtrack that outlived the film. Zamaane Ko Dikhana Hai followed in 1982. The irony is precise: Hussain also wrote and produced Qayamat Se Qayamat Tak in 1988, the film that launched Aamir Khan and set the romantic template of the 1990s — the decade in which Kapoor's own version of it stopped selling.</t>
        </is>
      </c>
      <c r="T104" s="5" t="inlineStr">
        <is>
          <t>SOURCE-229</t>
        </is>
      </c>
      <c r="U104" s="5" t="inlineStr">
        <is>
          <t>High</t>
        </is>
      </c>
    </row>
    <row r="105" ht="169" customHeight="1">
      <c r="A105" s="15" t="inlineStr">
        <is>
          <t>PERSON-104</t>
        </is>
      </c>
      <c r="B105" s="5" t="inlineStr">
        <is>
          <t>Nikkhil Advani</t>
        </is>
      </c>
      <c r="C105" s="5" t="inlineStr">
        <is>
          <t>Director; Producer; Writer</t>
        </is>
      </c>
      <c r="D105" s="17" t="n">
        <v>1971</v>
      </c>
      <c r="E105" s="18" t="n"/>
      <c r="F105" s="5" t="inlineStr">
        <is>
          <t>1996–present</t>
        </is>
      </c>
      <c r="G105" s="5" t="inlineStr">
        <is>
          <t>Hindi cinema</t>
        </is>
      </c>
      <c r="H105" s="5" t="inlineStr">
        <is>
          <t>Nikkhil Advani, born Nikhil Suresh Advani on 28 April 1971, is an Indian director, producer and screenwriter in Hindi cinema. With his sister Monisha Advani and Madhu Bhojwani he co-founded the production company Emmay Entertainment.</t>
        </is>
      </c>
      <c r="I105" s="5" t="inlineStr">
        <is>
          <t>Working from 1996; his own company's first project was D-Day (2013).</t>
        </is>
      </c>
      <c r="J105" s="5" t="inlineStr">
        <is>
          <t>With Kapoor: Patiala House (2011), D-Day (2013). Elsewhere, Kal Ho Naa Ho, Salaam-e-Ishq and Batla House.</t>
        </is>
      </c>
      <c r="K105" s="19" t="inlineStr">
        <is>
          <t>The diaspora family and its authority; the ensemble thriller; fathers who must be defied.</t>
        </is>
      </c>
      <c r="L105" s="19" t="inlineStr">
        <is>
          <t>Mainstream emotional drama with an ensemble structure, moving between family melodrama and the espionage thriller.</t>
        </is>
      </c>
      <c r="M105" s="5" t="n"/>
      <c r="N105" s="19" t="inlineStr">
        <is>
          <t>A Dharma-trained director who built his own production house, representative of the studio-to-independent path of 2010s Hindi cinema.</t>
        </is>
      </c>
      <c r="O105" s="19" t="inlineStr">
        <is>
          <t>Two films, and the first is one of the better late roles. His article records that he wrote and directed Patiala House (2011) 'starring Rishi Kapoor, Dimple Kapadia, Akshay Kumar and Anushka Sharma' — naming Kapoor first — in which he plays the London Punjabi patriarch who forbids his son's cricket career, opposite Dimple Kapadia, his co-star from Bobby. D-Day (2013), Emmay Entertainment's first production, cast him as a fictionalised crime boss in Pakistan.</t>
        </is>
      </c>
      <c r="P105" s="17" t="n">
        <v>2</v>
      </c>
      <c r="Q105" s="5" t="inlineStr">
        <is>
          <t>FILM-135; FILM-143</t>
        </is>
      </c>
      <c r="R105" s="5" t="inlineStr">
        <is>
          <t>Patiala House (2011)</t>
        </is>
      </c>
      <c r="S105" s="5" t="inlineStr">
        <is>
          <t>Nikkhil Advani directed Rishi Kapoor in two very different late roles. A Dharma-trained filmmaker who made Kal Ho Naa Ho before founding Emmay Entertainment with his sister Monisha Advani and Madhu Bhojwani, Advani wrote and directed Patiala House in 2011 — his article lists Kapoor first among its stars — casting him as a Southall patriarch whose bitterness after a racist attack leads him to forbid his son's cricket career. The film reunited him with Dimple Kapadia, his Bobby co-star, for the fourth time, now as a long-married couple. Two years later Advani's own company produced D-Day, in which Kapoor plays a Dawood Ibrahim-like underworld figure hiding in Karachi — among the most unsympathetic parts of his career and evidence of how far his casting range had widened after 2010.</t>
        </is>
      </c>
      <c r="T105" s="5" t="inlineStr">
        <is>
          <t>SOURCE-230</t>
        </is>
      </c>
      <c r="U105" s="5" t="inlineStr">
        <is>
          <t>High</t>
        </is>
      </c>
    </row>
    <row r="106" ht="109" customHeight="1">
      <c r="A106" s="15" t="inlineStr">
        <is>
          <t>PERSON-105</t>
        </is>
      </c>
      <c r="B106" s="5" t="inlineStr">
        <is>
          <t>Nitin Manmohan</t>
        </is>
      </c>
      <c r="C106" s="5" t="inlineStr">
        <is>
          <t>Producer</t>
        </is>
      </c>
      <c r="D106" s="18" t="n"/>
      <c r="E106" s="18" t="n"/>
      <c r="F106" s="5" t="n"/>
      <c r="G106" s="5" t="inlineStr">
        <is>
          <t>Hindi cinema</t>
        </is>
      </c>
      <c r="H106" s="5" t="inlineStr">
        <is>
          <t>A Hindi-film producer active in the early 1990s, with no Wikipedia article of his own.</t>
        </is>
      </c>
      <c r="I106" s="5" t="n"/>
      <c r="J106" s="5" t="inlineStr">
        <is>
          <t>With Kapoor: Bol Radha Bol (1992), Eena Meena Deeka (1994).</t>
        </is>
      </c>
      <c r="K106" s="19" t="inlineStr">
        <is>
          <t>The David Dhawan comedy vehicle.</t>
        </is>
      </c>
      <c r="L106" s="19" t="inlineStr">
        <is>
          <t>Not documented.</t>
        </is>
      </c>
      <c r="M106" s="5" t="n"/>
      <c r="N106" s="19" t="inlineStr">
        <is>
          <t>Not independently documented.</t>
        </is>
      </c>
      <c r="O106" s="19" t="inlineStr">
        <is>
          <t>Two films, both David Dhawan comedies from Kapoor's last years as a lead: Bol Radha Bol (1992), the double-role farce that was among his final hits, and Eena Meena Deeka (1994). Both were scored by Anand–Milind, making this another stable production unit of the period.</t>
        </is>
      </c>
      <c r="P106" s="17" t="n">
        <v>2</v>
      </c>
      <c r="Q106" s="5" t="inlineStr">
        <is>
          <t>FILM-089; FILM-099</t>
        </is>
      </c>
      <c r="R106" s="5" t="inlineStr">
        <is>
          <t>Bol Radha Bol (1992)</t>
        </is>
      </c>
      <c r="S106" s="5" t="inlineStr">
        <is>
          <t>Nitin Manmohan produced two Rishi Kapoor comedies and has no documented biography. Bol Radha Bol (1992) is the significant one: David Dhawan's farce in which Kapoor plays both a businessman and his lookalike opposite Juhi Chawla, released months after Deewana and one of the last films in which he carried a hit on his own. Eena Meena Deeka followed in 1994, again for Dhawan and again scored by Anand–Milind. The unit — this producer, that director, those composers — recurs across several of Kapoor's early-1990s films, which is the pattern of his final stretch as a lead: fewer distinguished directors, more reliable comedy teams. This row is built from film credits alone.</t>
        </is>
      </c>
      <c r="T106" s="5" t="inlineStr">
        <is>
          <t>SOURCE-082; SOURCE-094</t>
        </is>
      </c>
      <c r="U106" s="5" t="inlineStr">
        <is>
          <t>Low</t>
        </is>
      </c>
    </row>
    <row r="107" ht="139" customHeight="1">
      <c r="A107" s="15" t="inlineStr">
        <is>
          <t>PERSON-106</t>
        </is>
      </c>
      <c r="B107" s="5" t="inlineStr">
        <is>
          <t>Phani Majumdar</t>
        </is>
      </c>
      <c r="C107" s="5" t="inlineStr">
        <is>
          <t>Writer</t>
        </is>
      </c>
      <c r="D107" s="18" t="n"/>
      <c r="E107" s="18" t="n"/>
      <c r="F107" s="5" t="inlineStr">
        <is>
          <t>1938–1986</t>
        </is>
      </c>
      <c r="G107" s="5" t="inlineStr">
        <is>
          <t>Hindi cinema; Bengali cinema</t>
        </is>
      </c>
      <c r="H107" s="5" t="inlineStr">
        <is>
          <t>Phani Majumdar was a pioneering Indian film director and screenwriter who worked in both Bengali and Hindi cinema from 1938 to 1986. His Oonch Log was the actor Feroz Khan's first hit and won the National Film Award for Second Best Feature Film.</t>
        </is>
      </c>
      <c r="I107" s="5" t="inlineStr">
        <is>
          <t>Directing from 1938.</t>
        </is>
      </c>
      <c r="J107" s="5" t="inlineStr">
        <is>
          <t>With Kapoor: Badaltey Rishtey (1978), Ek Chadar Maili Si (1986). Elsewhere, Oonch Log and a long career in Bengali and Hindi cinema.</t>
        </is>
      </c>
      <c r="K107" s="19" t="inlineStr">
        <is>
          <t>Social realism in a popular register; literary adaptation.</t>
        </is>
      </c>
      <c r="L107" s="19" t="inlineStr">
        <is>
          <t>An early-generation director of restrained, text-led cinema, working across two industries.</t>
        </is>
      </c>
      <c r="M107" s="5" t="inlineStr">
        <is>
          <t>National Film Award for Second Best Feature Film for Oonch Log.</t>
        </is>
      </c>
      <c r="N107" s="19" t="inlineStr">
        <is>
          <t>A pioneer of Bengali and Hindi film direction whose career spanned nearly five decades.</t>
        </is>
      </c>
      <c r="O107" s="19" t="inlineStr">
        <is>
          <t>Two films, eight years apart and both as writer rather than director: Badaltey Rishtey (1978) and Ek Chadar Maili Si (1986), the adaptation of Rajinder Singh Bedi's novel about a widow married to her late husband's younger brother. The second, released at the end of his own career, is among the most serious literary projects in this filmography.</t>
        </is>
      </c>
      <c r="P107" s="17" t="n">
        <v>2</v>
      </c>
      <c r="Q107" s="5" t="inlineStr">
        <is>
          <t>FILM-022; FILM-054</t>
        </is>
      </c>
      <c r="R107" s="5" t="inlineStr">
        <is>
          <t>Ek Chadar Maili Si (1986)</t>
        </is>
      </c>
      <c r="S107" s="5" t="inlineStr">
        <is>
          <t>Phani Majumdar, a director working from 1938, wrote two Rishi Kapoor films at the very end of a five-decade career. A pioneer in both Bengali and Hindi cinema whose Oonch Log won the National Film Award for Second Best Feature Film, Majumdar belonged to a generation two removed from Kapoor's. He is credited as a writer on Badaltey Rishtey in 1978 and, more notably, on Ek Chadar Maili Si in 1986 — the adaptation of Rajinder Singh Bedi's Urdu novel in which Kapoor plays a man made to marry his dead brother's widow. It is one of the few films of Kapoor's thin mid-1980s with literary standing, and the presence of a 1930s pioneer on its credits is a reminder of how long a working life Hindi cinema could accommodate.</t>
        </is>
      </c>
      <c r="T107" s="5" t="inlineStr">
        <is>
          <t>SOURCE-231</t>
        </is>
      </c>
      <c r="U107" s="5" t="inlineStr">
        <is>
          <t>Medium</t>
        </is>
      </c>
    </row>
    <row r="108" ht="124" customHeight="1">
      <c r="A108" s="15" t="inlineStr">
        <is>
          <t>PERSON-107</t>
        </is>
      </c>
      <c r="B108" s="5" t="inlineStr">
        <is>
          <t>Pritam</t>
        </is>
      </c>
      <c r="C108" s="5" t="inlineStr">
        <is>
          <t>Song composer</t>
        </is>
      </c>
      <c r="D108" s="17" t="n">
        <v>1971</v>
      </c>
      <c r="E108" s="18" t="n"/>
      <c r="F108" s="5" t="inlineStr">
        <is>
          <t>2001–present</t>
        </is>
      </c>
      <c r="G108" s="5" t="inlineStr">
        <is>
          <t>Hindi cinema</t>
        </is>
      </c>
      <c r="H108" s="5" t="inlineStr">
        <is>
          <t>Pritam Chakraborty (born 14 June 1971), known as Pritam, is an Indian composer who graduated from the Film and Television Institute of India in sound engineering and worked on advertising jingles and television themes before entering films. He has composed for more than 125 Hindi films and won the National Film Award for Best Music Direction at the 70th ceremony.</t>
        </is>
      </c>
      <c r="I108" s="5" t="inlineStr">
        <is>
          <t>Co-composer on Tere Liye (2001) with Jeet Gannguli; solo debut Stumped (2003); breakthrough with Dhoom (2004).</t>
        </is>
      </c>
      <c r="J108" s="5" t="inlineStr">
        <is>
          <t>With Kapoor: Love Aaj Kal (2009), Tell Me O Kkhuda (2011). Elsewhere, Dhoom, Jab We Met, Life in a... Metro, Barfi! and Ae Dil Hai Mushkil.</t>
        </is>
      </c>
      <c r="K108" s="19" t="inlineStr">
        <is>
          <t>Blending Indian classical and folk material with Western pop; the album-shaped soundtrack of the modern romance.</t>
        </is>
      </c>
      <c r="L108" s="19" t="inlineStr">
        <is>
          <t>A studio composer with a wide stylistic range and a reputation for identifying the one song a film needs, working repeatedly with Imtiaz Ali and Ayan Mukerji.</t>
        </is>
      </c>
      <c r="M108" s="5" t="inlineStr">
        <is>
          <t>National Film Award for Best Music Direction at the 70th National Film Awards; numerous Filmfare nominations and awards.</t>
        </is>
      </c>
      <c r="N108" s="19" t="inlineStr">
        <is>
          <t>The most commercially dominant Hindi film composer of the 2010s.</t>
        </is>
      </c>
      <c r="O108" s="19" t="inlineStr">
        <is>
          <t>Two films, both small roles in his character-actor phase: Imtiaz Ali's Love Aaj Kal (2009), where Kapoor plays the older incarnation of the hero's counterpart in the period strand, and Tell Me O Kkhuda (2011). His article names Love Aaj Kal among the soundtracks of his rise but does not mention Kapoor.</t>
        </is>
      </c>
      <c r="P108" s="17" t="n">
        <v>2</v>
      </c>
      <c r="Q108" s="5" t="inlineStr">
        <is>
          <t>FILM-131; FILM-136</t>
        </is>
      </c>
      <c r="R108" s="5" t="inlineStr">
        <is>
          <t>Love Aaj Kal (2009)</t>
        </is>
      </c>
      <c r="S108" s="5" t="inlineStr">
        <is>
          <t>Pritam scored two films in which Rishi Kapoor appears, both after 2009. An FTII-trained sound engineer who moved from jingles and television themes to film, Pritam became the most commercially dominant composer of 2010s Hindi cinema, with more than 125 films and a National Film Award for Best Music Direction. His Kapoor credits are Imtiaz Ali's Love Aaj Kal (2009), in which Kapoor plays the elderly Veer Singh whose remembered courtship forms the film's period strand — a role that uses his own screen past as the content of the film's nostalgia — and Tell Me O Kkhuda (2011). The first is the more interesting: a 2009 soundtrack by the era's leading composer, attached to a story in which Kapoor embodies an older, slower idea of romance that the film treats as half-lost.</t>
        </is>
      </c>
      <c r="T108" s="5" t="inlineStr">
        <is>
          <t>SOURCE-232</t>
        </is>
      </c>
      <c r="U108" s="5" t="inlineStr">
        <is>
          <t>High</t>
        </is>
      </c>
    </row>
    <row r="109" ht="109" customHeight="1">
      <c r="A109" s="15" t="inlineStr">
        <is>
          <t>PERSON-108</t>
        </is>
      </c>
      <c r="B109" s="5" t="inlineStr">
        <is>
          <t>R. M. Films</t>
        </is>
      </c>
      <c r="C109" s="5" t="inlineStr">
        <is>
          <t>Production banner</t>
        </is>
      </c>
      <c r="D109" s="18" t="n"/>
      <c r="E109" s="18" t="n"/>
      <c r="F109" s="5" t="n"/>
      <c r="G109" s="5" t="inlineStr">
        <is>
          <t>Hindi cinema</t>
        </is>
      </c>
      <c r="H109" s="5" t="inlineStr">
        <is>
          <t>A Hindi-film production banner active between the late 1970s and the mid-1990s, with no Wikipedia article of its own. It is credited on Hum Dono as R. M Films, a spelling this workbook consolidates.</t>
        </is>
      </c>
      <c r="I109" s="5" t="n"/>
      <c r="J109" s="5" t="inlineStr">
        <is>
          <t>With Kapoor: Jhoota Kahin Ka (1979), Hum Dono (1995).</t>
        </is>
      </c>
      <c r="K109" s="19" t="inlineStr">
        <is>
          <t>Comedy and light romance in the 1970s; family drama by the 1990s.</t>
        </is>
      </c>
      <c r="L109" s="19" t="inlineStr">
        <is>
          <t>Not documented; both films were produced with Ravi Malhotra and the first was directed by Ravi Tandon.</t>
        </is>
      </c>
      <c r="M109" s="5" t="n"/>
      <c r="N109" s="19" t="inlineStr">
        <is>
          <t>Not independently documented.</t>
        </is>
      </c>
      <c r="O109" s="19" t="inlineStr">
        <is>
          <t>Two films sixteen years apart, both involving the producer Ravi Malhotra: Ravi Tandon's comedy Jhoota Kahin Ka (1979), with an R. D. Burman score, and Hum Dono (1995), made as Kapoor's lead career was ending.</t>
        </is>
      </c>
      <c r="P109" s="17" t="n">
        <v>2</v>
      </c>
      <c r="Q109" s="5" t="inlineStr">
        <is>
          <t>FILM-025; FILM-105</t>
        </is>
      </c>
      <c r="R109" s="5" t="inlineStr">
        <is>
          <t>Jhoota Kahin Ka (1979)</t>
        </is>
      </c>
      <c r="S109" s="5" t="inlineStr">
        <is>
          <t>R. M. Films produced two Rishi Kapoor films and has no documented history. Jhoota Kahin Ka (1979) belongs to the Ravi Tandon and Ravi Malhotra unit that also made Khel Khel Mein — a comedy of deception with an R. D. Burman soundtrack, from the period when Kapoor's youthful persona was at its most saleable. Hum Dono followed in 1995, in a quite different market, with Anand–Milind's music and Kapoor by then at the end of his run as a lead. The banner's name appears in two spellings across the two credits, consolidated here. Like most of the small production companies in this workbook's lower tiers, it survives only in the credits of the films it made.</t>
        </is>
      </c>
      <c r="T109" s="5" t="inlineStr">
        <is>
          <t>SOURCE-025; SOURCE-098</t>
        </is>
      </c>
      <c r="U109" s="5" t="inlineStr">
        <is>
          <t>Low</t>
        </is>
      </c>
    </row>
    <row r="110" ht="169" customHeight="1">
      <c r="A110" s="15" t="inlineStr">
        <is>
          <t>PERSON-109</t>
        </is>
      </c>
      <c r="B110" s="5" t="inlineStr">
        <is>
          <t>Raj Kanwar</t>
        </is>
      </c>
      <c r="C110" s="5" t="inlineStr">
        <is>
          <t>Director; Producer; Writer</t>
        </is>
      </c>
      <c r="D110" s="17" t="n">
        <v>1961</v>
      </c>
      <c r="E110" s="17" t="n">
        <v>2012</v>
      </c>
      <c r="F110" s="5" t="n"/>
      <c r="G110" s="5" t="inlineStr">
        <is>
          <t>Hindi cinema</t>
        </is>
      </c>
      <c r="H110" s="5" t="inlineStr">
        <is>
          <t>Raj Kanwar (28 June 1961 – 3 February 2012) was an Indian director, writer and producer of Hindi films, based in Mumbai and known for Deewana (1992), Jeet (1996) and Farz (2001). He died in Singapore. His brother is the filmmaker K. Pappu.</t>
        </is>
      </c>
      <c r="I110" s="5" t="inlineStr">
        <is>
          <t>Directorial debut Deewana (1992).</t>
        </is>
      </c>
      <c r="J110" s="5" t="inlineStr">
        <is>
          <t>With Kapoor: Deewana (1992), Sadiyaan (2010). Elsewhere, Jeet, Judaai, Farz and Andaaz.</t>
        </is>
      </c>
      <c r="K110" s="19" t="inlineStr">
        <is>
          <t>Melodrama of love, loss and substitution; the romance built on a reversal of fortune.</t>
        </is>
      </c>
      <c r="L110" s="19" t="inlineStr">
        <is>
          <t>Efficient commercial melodrama with strong soundtrack placement, often launching or relaunching stars.</t>
        </is>
      </c>
      <c r="M110" s="5" t="n"/>
      <c r="N110" s="19" t="inlineStr">
        <is>
          <t>The director of Deewana, the film that introduced Shah Rukh Khan and is conventionally treated as a generational turning point in Hindi cinema.</t>
        </is>
      </c>
      <c r="O110" s="19" t="inlineStr">
        <is>
          <t>Two films, and the first is the pivot of this entire filmography. Deewana (1992), Kanwar's directorial debut, cast Kapoor as Ravi, the singer presumed dead, and the debuting Shah Rukh Khan as the younger man his widow marries; the film was a hit, and it is where Kapoor's leading career effectively hands over. Eighteen years later Kanwar directed him again in the partition romance Sadiyaan (2010), by then as a supporting player.</t>
        </is>
      </c>
      <c r="P110" s="17" t="n">
        <v>2</v>
      </c>
      <c r="Q110" s="5" t="inlineStr">
        <is>
          <t>FILM-087; FILM-133</t>
        </is>
      </c>
      <c r="R110" s="5" t="inlineStr">
        <is>
          <t>Deewana (1992)</t>
        </is>
      </c>
      <c r="S110" s="5" t="inlineStr">
        <is>
          <t>Raj Kanwar directed the single most consequential film of Rishi Kapoor's later career. Deewana (1992) was Kanwar's own directorial debut: Kapoor plays a wealthy singer who marries Divya Bharti's character and is believed killed, after which she remarries the younger man played by a debuting Shah Rukh Khan. The film was a success, won Khan a Filmfare award for best debut, and is read — then and since — as the moment Hindi cinema's romantic lead passed from one generation to the next, with Kapoor himself performing the handover on screen. Kanwar went on to make Jeet, Judaai and Farz, and directed Kapoor once more in Sadiyaan (2010). He died in Singapore in February 2012 at fifty.</t>
        </is>
      </c>
      <c r="T110" s="5" t="inlineStr">
        <is>
          <t>SOURCE-233</t>
        </is>
      </c>
      <c r="U110" s="5" t="inlineStr">
        <is>
          <t>High</t>
        </is>
      </c>
    </row>
    <row r="111" ht="154" customHeight="1">
      <c r="A111" s="15" t="inlineStr">
        <is>
          <t>PERSON-110</t>
        </is>
      </c>
      <c r="B111" s="5" t="inlineStr">
        <is>
          <t>Rajiv Kapoor</t>
        </is>
      </c>
      <c r="C111" s="5" t="inlineStr">
        <is>
          <t>Director; Producer</t>
        </is>
      </c>
      <c r="D111" s="17" t="n">
        <v>1962</v>
      </c>
      <c r="E111" s="17" t="n">
        <v>2021</v>
      </c>
      <c r="F111" s="5" t="inlineStr">
        <is>
          <t>1983–1999; 2020–2021</t>
        </is>
      </c>
      <c r="G111" s="5" t="inlineStr">
        <is>
          <t>Hindi cinema</t>
        </is>
      </c>
      <c r="H111" s="5" t="inlineStr">
        <is>
          <t>Rajiv Kapoor (25 August 1962 – 9 February 2021) was an Indian actor, producer and director, the youngest son of Raj Kapoor and the younger brother of Randhir and Rishi Kapoor. He was best known as an actor for his lead role in Ram Teri Ganga Maili.</t>
        </is>
      </c>
      <c r="I111" s="5" t="inlineStr">
        <is>
          <t>Acting from 1983; produced Henna (1991) after his father's death and directed Prem Granth (1996).</t>
        </is>
      </c>
      <c r="J111" s="5" t="inlineStr">
        <is>
          <t>With Kapoor: Henna (1991), Prem Granth (1996).</t>
        </is>
      </c>
      <c r="K111" s="19" t="inlineStr">
        <is>
          <t>The R. K. Films romance of prohibition and sacrifice, continued by the next generation.</t>
        </is>
      </c>
      <c r="L111" s="19" t="inlineStr">
        <is>
          <t>A brief career behind the camera maintaining the family studio's subject matter after Raj Kapoor's death.</t>
        </is>
      </c>
      <c r="M111" s="5" t="n"/>
      <c r="N111" s="19" t="inlineStr">
        <is>
          <t>Chiefly significant as the youngest of the three Kapoor brothers and as the director of R. K. Films' last production with his brother in the lead.</t>
        </is>
      </c>
      <c r="O111" s="19" t="inlineStr">
        <is>
          <t>Two films, both family productions and both late R. K. Films. His article records that he took on the producer's role for Henna (1991) after their father's death, with Randhir directing, and he then directed Rishi Kapoor himself in Prem Granth (1996) — the last R. K. Films production in which his brother starred. The two films close the studio strand that had opened the career with Mera Naam Joker and Bobby.</t>
        </is>
      </c>
      <c r="P111" s="17" t="n">
        <v>2</v>
      </c>
      <c r="Q111" s="5" t="inlineStr">
        <is>
          <t>FILM-081; FILM-107</t>
        </is>
      </c>
      <c r="R111" s="5" t="inlineStr">
        <is>
          <t>Prem Granth (1996)</t>
        </is>
      </c>
      <c r="S111" s="5" t="inlineStr">
        <is>
          <t>Rajiv Kapoor produced and directed the last two R. K. Films productions in which his brother starred. The youngest son of Raj Kapoor, best known as an actor for Ram Teri Ganga Maili, he stepped behind the camera after their father's death in 1988: his article records that he assumed the producer's role on Henna (1991), which Randhir Kapoor directed and in which Rishi Kapoor played the Indian engineer who loses his memory across the Pakistani border, and he then directed Prem Granth in 1996, a melodrama about a woman's rape and the man who marries her regardless. Both films restate the studio's long preoccupation with love across a prohibition. Rajiv Kapoor died in February 2021, ten months after his brother.</t>
        </is>
      </c>
      <c r="T111" s="5" t="inlineStr">
        <is>
          <t>SOURCE-234</t>
        </is>
      </c>
      <c r="U111" s="5" t="inlineStr">
        <is>
          <t>High</t>
        </is>
      </c>
    </row>
    <row r="112" ht="169" customHeight="1">
      <c r="A112" s="15" t="inlineStr">
        <is>
          <t>PERSON-111</t>
        </is>
      </c>
      <c r="B112" s="5" t="inlineStr">
        <is>
          <t>Rajkumar Santoshi</t>
        </is>
      </c>
      <c r="C112" s="5" t="inlineStr">
        <is>
          <t>Director; Writer</t>
        </is>
      </c>
      <c r="D112" s="17" t="n">
        <v>1956</v>
      </c>
      <c r="E112" s="18" t="n"/>
      <c r="F112" s="5" t="inlineStr">
        <is>
          <t>1982–present</t>
        </is>
      </c>
      <c r="G112" s="5" t="inlineStr">
        <is>
          <t>Hindi cinema</t>
        </is>
      </c>
      <c r="H112" s="5" t="inlineStr">
        <is>
          <t>Rajkumar Santoshi (born 17 July 1956) is an Indian director, screenwriter and producer in Hindi cinema, the recipient of three National Film Awards and six Filmfare Awards. His directorial debut was Ghayal (1990), which was both a blockbuster and a critical success.</t>
        </is>
      </c>
      <c r="I112" s="5" t="inlineStr">
        <is>
          <t>Ghayal (1990), which won him the Filmfare Awards for Best Director and Best Story and the National Film Award for Best Popular Film.</t>
        </is>
      </c>
      <c r="J112" s="5" t="inlineStr">
        <is>
          <t>With Kapoor: Damini (1993), Halla Bol (2008). Elsewhere, Ghayal, Andaz Apna Apna, Ghatak, China Gate and The Legend of Bhagat Singh.</t>
        </is>
      </c>
      <c r="K112" s="19" t="inlineStr">
        <is>
          <t>Justice denied and pursued: the courtroom, the vigilante, and the ordinary person against an institution.</t>
        </is>
      </c>
      <c r="L112" s="19" t="inlineStr">
        <is>
          <t>Forceful social melodrama with long confrontation scenes, alternating with broad comedy.</t>
        </is>
      </c>
      <c r="M112" s="5" t="inlineStr">
        <is>
          <t>Three National Film Awards and six Filmfare Awards, including consecutive Filmfare Awards for Best Director for Ghayal and Damini.</t>
        </is>
      </c>
      <c r="N112" s="19" t="inlineStr">
        <is>
          <t>One of the defining commercial directors of the 1990s, and the only person to win consecutive Filmfare Best Director awards for his first two films.</t>
        </is>
      </c>
      <c r="O112" s="19" t="inlineStr">
        <is>
          <t>Two films. Damini (1993) is the significant one: a blockbuster about a woman who witnesses a rape and is disbelieved, in which Kapoor plays her husband opposite Meenakshi Seshadri and Sunny Deol, with the film's moral weight carried by others. Santoshi's article names Kapoor among its cast and records his second consecutive Filmfare Award for Best Director for it. Halla Bol (2008) followed fifteen years later with Kapoor in support.</t>
        </is>
      </c>
      <c r="P112" s="17" t="n">
        <v>2</v>
      </c>
      <c r="Q112" s="5" t="inlineStr">
        <is>
          <t>FILM-093; FILM-126</t>
        </is>
      </c>
      <c r="R112" s="5" t="inlineStr">
        <is>
          <t>Damini (1993)</t>
        </is>
      </c>
      <c r="S112" s="5" t="inlineStr">
        <is>
          <t>Rajkumar Santoshi directed Rishi Kapoor in Damini, the most critically substantial hit of his later career and a film in which he is deliberately not the hero. Santoshi, a three-time National Film Award and six-time Filmfare Award winner who made his debut with Ghayal in 1990 and became the only director to take consecutive Filmfare Best Director awards for his first two films, built Damini (1993) around Meenakshi Seshadri's character, who witnesses a servant's rape by her brother-in-law and is disbelieved, and Sunny Deol's alcoholic lawyer. Kapoor plays the husband whose family she is fighting — a weak, compromised figure, and a decisive break from the romantic lead. Santoshi used him again in Halla Bol (2008). The two films bracket Kapoor's transition from leading man to character actor.</t>
        </is>
      </c>
      <c r="T112" s="5" t="inlineStr">
        <is>
          <t>SOURCE-235</t>
        </is>
      </c>
      <c r="U112" s="5" t="inlineStr">
        <is>
          <t>High</t>
        </is>
      </c>
    </row>
    <row r="113" ht="124" customHeight="1">
      <c r="A113" s="15" t="inlineStr">
        <is>
          <t>PERSON-112</t>
        </is>
      </c>
      <c r="B113" s="5" t="inlineStr">
        <is>
          <t>Raju Saigal</t>
        </is>
      </c>
      <c r="C113" s="5" t="inlineStr">
        <is>
          <t>Writer</t>
        </is>
      </c>
      <c r="D113" s="18" t="n"/>
      <c r="E113" s="18" t="n"/>
      <c r="F113" s="5" t="n"/>
      <c r="G113" s="5" t="inlineStr">
        <is>
          <t>Hindi cinema</t>
        </is>
      </c>
      <c r="H113" s="5" t="inlineStr">
        <is>
          <t>A Hindi-film writer with credits in 1977 and 2001, and no Wikipedia article of his own.</t>
        </is>
      </c>
      <c r="I113" s="5" t="n"/>
      <c r="J113" s="5" t="inlineStr">
        <is>
          <t>With Kapoor: Doosra Aadmi (1977), Kuch Khatti Kuch Meethi (2001).</t>
        </is>
      </c>
      <c r="K113" s="19" t="inlineStr">
        <is>
          <t>Romantic melodrama and family comedy.</t>
        </is>
      </c>
      <c r="L113" s="19" t="inlineStr">
        <is>
          <t>Not documented; on Doosra Aadmi he is credited with Sagar Sarhadi.</t>
        </is>
      </c>
      <c r="M113" s="5" t="n"/>
      <c r="N113" s="19" t="inlineStr">
        <is>
          <t>Not independently documented.</t>
        </is>
      </c>
      <c r="O113" s="19" t="inlineStr">
        <is>
          <t>Two films twenty-four years apart, and both for directors of the Yash Chopra school: Ramesh Talwar's Doosra Aadmi (1977), where he shares the writing credit with Sagar Sarhadi, and Rahul Rawail's Kuch Khatti Kuch Meethi (2001). The first is one of the most interesting films of Kapoor's youth, the second a late comedy with him as a father.</t>
        </is>
      </c>
      <c r="P113" s="17" t="n">
        <v>2</v>
      </c>
      <c r="Q113" s="5" t="inlineStr">
        <is>
          <t>FILM-016; FILM-113</t>
        </is>
      </c>
      <c r="R113" s="5" t="inlineStr">
        <is>
          <t>Doosra Aadmi (1977)</t>
        </is>
      </c>
      <c r="S113" s="5" t="inlineStr">
        <is>
          <t>Raju Saigal wrote two Rishi Kapoor films nearly a quarter of a century apart and has no documented biography. The first, Ramesh Talwar's Doosra Aadmi (1977), is among the more unusual entries in the filmography: Kapoor's young advertising executive is pursued by an older woman, played by Raakhee, who is trying to recover a dead lover through him, and the film uses his boyishness against him only four years after Bobby. Saigal shares that credit with Sagar Sarhadi. The second, Kuch Khatti Kuch Meethi (2001), is a Rahul Rawail comedy in which Kapoor plays the father of twins. Nothing further about him is recorded, and the row rests on the credits alone.</t>
        </is>
      </c>
      <c r="T113" s="5" t="inlineStr">
        <is>
          <t>SOURCE-017; SOURCE-105</t>
        </is>
      </c>
      <c r="U113" s="5" t="inlineStr">
        <is>
          <t>Low</t>
        </is>
      </c>
    </row>
    <row r="114" ht="109" customHeight="1">
      <c r="A114" s="15" t="inlineStr">
        <is>
          <t>PERSON-113</t>
        </is>
      </c>
      <c r="B114" s="5" t="inlineStr">
        <is>
          <t>Raju Singh</t>
        </is>
      </c>
      <c r="C114" s="5" t="inlineStr">
        <is>
          <t>Background-score composer</t>
        </is>
      </c>
      <c r="D114" s="18" t="n"/>
      <c r="E114" s="18" t="n"/>
      <c r="F114" s="5" t="inlineStr">
        <is>
          <t>1983–present</t>
        </is>
      </c>
      <c r="G114" s="5" t="inlineStr">
        <is>
          <t>Hindi cinema; Indian television</t>
        </is>
      </c>
      <c r="H114" s="5" t="inlineStr">
        <is>
          <t>Raju Singh, full name Rajinder Singh Panesar, is an Indian film score composer, session musician, singer and guitarist. He collaborated early with Malkit Singh and with Aadesh Shrivastava, and composed theme music for television series including Dekh Bhai Dekh, Aahat, Boogie Woogie and CID.</t>
        </is>
      </c>
      <c r="I114" s="5" t="inlineStr">
        <is>
          <t>Working from 1983, initially as a session musician and television composer.</t>
        </is>
      </c>
      <c r="J114" s="5" t="inlineStr">
        <is>
          <t>With Kapoor: Chintu Ji (2009), Sanam Re (2016). Elsewhere, the background score for Raaz: The Mystery Continues and the themes for CID and Aahat.</t>
        </is>
      </c>
      <c r="K114" s="19" t="inlineStr">
        <is>
          <t>Television theme music and film background score rather than songs.</t>
        </is>
      </c>
      <c r="L114" s="19" t="inlineStr">
        <is>
          <t>A score and jingle specialist, working as arranger and session guitarist as well as composer.</t>
        </is>
      </c>
      <c r="M114" s="5" t="inlineStr">
        <is>
          <t>Mirchi Music Award for Best Background Score for Raaz: The Mystery Continues (2009); Indian Telly Awards for title music and background score.</t>
        </is>
      </c>
      <c r="N114" s="19" t="inlineStr">
        <is>
          <t>One of Indian television's most recognisable theme composers, with a parallel career in film scoring.</t>
        </is>
      </c>
      <c r="O114" s="19" t="inlineStr">
        <is>
          <t>Two films as background-score composer: Chintu Ji (2009), in which Kapoor plays a fictionalised version of himself — 'Chintu' being his own lifelong nickname — and Sanam Re (2016). The first is among the most self-referential films of the career.</t>
        </is>
      </c>
      <c r="P114" s="17" t="n">
        <v>2</v>
      </c>
      <c r="Q114" s="5" t="inlineStr">
        <is>
          <t>FILM-132; FILM-151</t>
        </is>
      </c>
      <c r="R114" s="5" t="inlineStr">
        <is>
          <t>Chintu Ji (2009)</t>
        </is>
      </c>
      <c r="S114" s="5" t="inlineStr">
        <is>
          <t>Raju Singh wrote the background score for two late Rishi Kapoor films, one of them unusually personal. Born Rajinder Singh Panesar, Singh is better known in India for television than for film — his themes for Dekh Bhai Dekh, Aahat and CID are among the most recognisable on Indian television — and he won a Mirchi Music Award for the score of Raaz: The Mystery Continues. His first Kapoor film is Chintu Ji (2009), in which Kapoor plays a film star called Chintu Ji who returns to the village of his birth: Chintu was Kapoor's own nickname from childhood and the name by which the industry knew him, so the film is built directly on his public persona. Sanam Re followed in 2016, with Kapoor as a grandfather.</t>
        </is>
      </c>
      <c r="T114" s="5" t="inlineStr">
        <is>
          <t>SOURCE-236</t>
        </is>
      </c>
      <c r="U114" s="5" t="inlineStr">
        <is>
          <t>High</t>
        </is>
      </c>
    </row>
    <row r="115" ht="154" customHeight="1">
      <c r="A115" s="15" t="inlineStr">
        <is>
          <t>PERSON-114</t>
        </is>
      </c>
      <c r="B115" s="5" t="inlineStr">
        <is>
          <t>Randhir Kapoor</t>
        </is>
      </c>
      <c r="C115" s="5" t="inlineStr">
        <is>
          <t>Director; Producer</t>
        </is>
      </c>
      <c r="D115" s="17" t="n">
        <v>1947</v>
      </c>
      <c r="E115" s="18" t="n"/>
      <c r="F115" s="5" t="inlineStr">
        <is>
          <t>1955–2016</t>
        </is>
      </c>
      <c r="G115" s="5" t="inlineStr">
        <is>
          <t>Hindi cinema</t>
        </is>
      </c>
      <c r="H115" s="5" t="inlineStr">
        <is>
          <t>Randhir Raj Kapoor (born 15 February 1947) is a retired Indian actor, producer and director, the eldest son of Raj Kapoor, grandson of Prithviraj Kapoor and elder brother of Rishi and Rajiv Kapoor. He appeared as a child artist in Shree 420 (1955) and made his adult acting and directing debut in 1971. His daughters are the actresses Karisma and Kareena Kapoor.</t>
        </is>
      </c>
      <c r="I115" s="5" t="inlineStr">
        <is>
          <t>Child artist in Shree 420 (1955); directing from 1971.</t>
        </is>
      </c>
      <c r="J115" s="5" t="inlineStr">
        <is>
          <t>With Kapoor: Henna (1991), Prem Granth (1996). Elsewhere, as an actor, Jeet, Hamrahi, Lafange and Ponga Pandit.</t>
        </is>
      </c>
      <c r="K115" s="19" t="inlineStr">
        <is>
          <t>The R. K. Films romance of separation and return.</t>
        </is>
      </c>
      <c r="L115" s="19" t="inlineStr">
        <is>
          <t>A family filmmaker completing and continuing his father's projects rather than pursuing a distinct style.</t>
        </is>
      </c>
      <c r="M115" s="5" t="inlineStr">
        <is>
          <t>Filmfare nomination for Best Director for Henna (1991).</t>
        </is>
      </c>
      <c r="N115" s="19" t="inlineStr">
        <is>
          <t>The eldest of the three Kapoor brothers and the director who completed Raj Kapoor's final project.</t>
        </is>
      </c>
      <c r="O115" s="19" t="inlineStr">
        <is>
          <t>Two films, both family productions. Henna (1991) was the film Raj Kapoor left unfinished at his death; Randhir Kapoor directed it with his brother Rishi in the lead and Rajiv producing, and earned a Filmfare nomination for Best Director. He also produced Prem Granth (1996), which Rajiv directed. The brothers appeared together as child artists in Shree 420 (1955) as well, the first film in this filmography.</t>
        </is>
      </c>
      <c r="P115" s="17" t="n">
        <v>2</v>
      </c>
      <c r="Q115" s="5" t="inlineStr">
        <is>
          <t>FILM-081; FILM-107</t>
        </is>
      </c>
      <c r="R115" s="5" t="inlineStr">
        <is>
          <t>Henna (1991)</t>
        </is>
      </c>
      <c r="S115" s="5" t="inlineStr">
        <is>
          <t>Randhir Kapoor directed his brother in the film their father did not live to finish. The eldest son of Raj Kapoor, he appeared as a child in Shree 420 in 1955 — the same film in which a three-year-old Rishi Kapoor walks through a song — and became an actor and director himself from 1971. After Raj Kapoor's death in 1988 he completed Henna, the cross-border romance in which Rishi Kapoor plays an Indian engineer who loses his memory in Pakistan and is cared for by the title character; the film was a success and brought Randhir a Filmfare nomination for Best Director. He then produced Prem Granth in 1996 under his brother Rajiv's direction. The two films close the R. K. Films strand of the career, thirty-six years after it opened.</t>
        </is>
      </c>
      <c r="T115" s="5" t="inlineStr">
        <is>
          <t>SOURCE-237</t>
        </is>
      </c>
      <c r="U115" s="5" t="inlineStr">
        <is>
          <t>High</t>
        </is>
      </c>
    </row>
    <row r="116" ht="139" customHeight="1">
      <c r="A116" s="15" t="inlineStr">
        <is>
          <t>PERSON-115</t>
        </is>
      </c>
      <c r="B116" s="5" t="inlineStr">
        <is>
          <t>Ravindra Jain</t>
        </is>
      </c>
      <c r="C116" s="5" t="inlineStr">
        <is>
          <t>Song composer</t>
        </is>
      </c>
      <c r="D116" s="17" t="n">
        <v>1944</v>
      </c>
      <c r="E116" s="17" t="n">
        <v>2015</v>
      </c>
      <c r="F116" s="5" t="inlineStr">
        <is>
          <t>1972–2015</t>
        </is>
      </c>
      <c r="G116" s="5" t="inlineStr">
        <is>
          <t>Hindi cinema; Indian television</t>
        </is>
      </c>
      <c r="H116" s="5" t="inlineStr">
        <is>
          <t>Ravindra Jain (28 February 1944 – 9 October 2015) was an Indian composer, lyricist and playback singer who worked from the early 1970s despite being blind from birth. His notable films include Chor Machaye Shor, Geet Gaata Chal, Chitchor, Ankhiyon Ke Jharokhon Se, Nadiya Ke Paar, Ram Teri Ganga Maili and Vivah, and he composed for Ramanand Sagar's television Ramayan (1987).</t>
        </is>
      </c>
      <c r="I116" s="5" t="inlineStr">
        <is>
          <t>Composing from 1972; his breakthrough came with Chor Machaye Shor (1974).</t>
        </is>
      </c>
      <c r="J116" s="5" t="inlineStr">
        <is>
          <t>With Kapoor: Pati Patni Aur Woh (1978), Henna (1991). Elsewhere, Chitchor, Ram Teri Ganga Maili and the Ramayan television score.</t>
        </is>
      </c>
      <c r="K116" s="19" t="inlineStr">
        <is>
          <t>Devotional and folk-inflected melody; the rural romance; the bhajan as popular song.</t>
        </is>
      </c>
      <c r="L116" s="19" t="inlineStr">
        <is>
          <t>Simple, strongly melodic composition rooted in classical and devotional forms, frequently with his own lyrics.</t>
        </is>
      </c>
      <c r="M116" s="5" t="inlineStr">
        <is>
          <t>Filmfare Award for Best Music Director for Ram Teri Ganga Maili (1985) and the Padma Shri in 2015.</t>
        </is>
      </c>
      <c r="N116" s="19" t="inlineStr">
        <is>
          <t>The composer of the Ramayan television score, among the most widely heard pieces of music in India, and a central figure in the devotional strand of Hindi film music.</t>
        </is>
      </c>
      <c r="O116" s="19" t="inlineStr">
        <is>
          <t>Two films thirteen years apart, both significant in their way: B. R. Chopra's comedy of adultery Pati Patni Aur Woh (1978) and Henna (1991), the last R. K. Films production Raj Kapoor initiated, for which Jain wrote the songs. He had earlier scored Raj Kapoor's Ram Teri Ganga Maili, so the Henna commission continued a family association rather than a Rishi Kapoor one.</t>
        </is>
      </c>
      <c r="P116" s="17" t="n">
        <v>2</v>
      </c>
      <c r="Q116" s="5" t="inlineStr">
        <is>
          <t>FILM-020; FILM-081</t>
        </is>
      </c>
      <c r="R116" s="5" t="inlineStr">
        <is>
          <t>Henna (1991)</t>
        </is>
      </c>
      <c r="S116" s="5" t="inlineStr">
        <is>
          <t>Ravindra Jain wrote the music for Henna, the film Raj Kapoor left unfinished, and for one earlier Rishi Kapoor film. Blind from birth, Jain became one of the most distinctive composers of the 1970s and 1980s, working in a melodic, devotional idiom — Chitchor, Ankhiyon Ke Jharokhon Se, Nadiya Ke Paar — and winning the Filmfare Award for Best Music Director for Raj Kapoor's Ram Teri Ganga Maili in 1985. He received the Padma Shri in 2015, the year of his death. For Rishi Kapoor he scored B. R. Chopra's Pati Patni Aur Woh in 1978 and then Henna in 1991, a commission that came through the family rather than the actor. His score for Ramanand Sagar's Ramayan is probably the most widely heard music any collaborator in this workbook produced.</t>
        </is>
      </c>
      <c r="T116" s="5" t="inlineStr">
        <is>
          <t>SOURCE-238</t>
        </is>
      </c>
      <c r="U116" s="5" t="inlineStr">
        <is>
          <t>High</t>
        </is>
      </c>
    </row>
    <row r="117" ht="154" customHeight="1">
      <c r="A117" s="15" t="inlineStr">
        <is>
          <t>PERSON-116</t>
        </is>
      </c>
      <c r="B117" s="5" t="inlineStr">
        <is>
          <t>Red Chillies Entertainment</t>
        </is>
      </c>
      <c r="C117" s="5" t="inlineStr">
        <is>
          <t>Production banner</t>
        </is>
      </c>
      <c r="D117" s="18" t="n"/>
      <c r="E117" s="18" t="n"/>
      <c r="F117" s="5" t="n"/>
      <c r="G117" s="5" t="inlineStr">
        <is>
          <t>Hindi cinema</t>
        </is>
      </c>
      <c r="H117" s="5" t="inlineStr">
        <is>
          <t>An Indian entertainment company established by Shah Rukh Khan and Gauri Khan, which evolved from their earlier company Dreamz Unlimited. Its own article gives the founding year as 2002 and Gauri Khan's gives 2001. Based in Mumbai, it spans production, marketing, distribution, licensing and a visual-effects division, Red Chillies VFX.</t>
        </is>
      </c>
      <c r="I117" s="5" t="inlineStr">
        <is>
          <t>Its early productions include Main Hoon Na; Om Shanti Om was its third film.</t>
        </is>
      </c>
      <c r="J117" s="5" t="inlineStr">
        <is>
          <t>With Kapoor: Om Shanti Om (2007), Student of the Year (2012). Elsewhere, Main Hoon Na, Ra.One, Chennai Express and Jawan.</t>
        </is>
      </c>
      <c r="K117" s="19" t="inlineStr">
        <is>
          <t>Star vehicles built around Shah Rukh Khan, and Hindi cinema's own history as subject matter.</t>
        </is>
      </c>
      <c r="L117" s="19" t="inlineStr">
        <is>
          <t>A star-owned studio with heavy investment in visual effects and marketing.</t>
        </is>
      </c>
      <c r="M117" s="5" t="n"/>
      <c r="N117" s="19" t="inlineStr">
        <is>
          <t>One of the most powerful actor-owned production companies in Indian cinema.</t>
        </is>
      </c>
      <c r="O117" s="19" t="inlineStr">
        <is>
          <t>Two films, in both of which Kapoor functions as a piece of the industry's past: Om Shanti Om (2007), Farah Khan's pastiche of 1970s Hindi cinema, where he appears as himself, and Student of the Year (2012), where he plays the dean. There is a pointed symmetry in the association — the company belongs to Shah Rukh Khan, whose debut in Deewana (1992) marked the end of Kapoor's run as a romantic lead.</t>
        </is>
      </c>
      <c r="P117" s="17" t="n">
        <v>2</v>
      </c>
      <c r="Q117" s="5" t="inlineStr">
        <is>
          <t>FILM-125; FILM-139</t>
        </is>
      </c>
      <c r="R117" s="5" t="inlineStr">
        <is>
          <t>Om Shanti Om (2007)</t>
        </is>
      </c>
      <c r="S117" s="5" t="inlineStr">
        <is>
          <t>Red Chillies Entertainment, Shah Rukh Khan's company, employed Rishi Kapoor twice, both times for what he represented rather than what he could carry. Founded by Khan and his wife Gauri Khan out of their earlier Dreamz Unlimited — its own article dates this to 2002, hers to 2001 — the company became one of the most powerful star-owned studios in Indian cinema, with its own visual-effects division. Kapoor appears as himself in Om Shanti Om (2007), Farah Khan's affectionate pastiche of the 1970s industry in which he had been a leading man, and as the college dean in Student of the Year (2012). The relationship closes a circle: Khan's own debut, Deewana, was the film in which Kapoor handed over the romantic lead, and fifteen years later Khan's company was casting him as cinematic memory.</t>
        </is>
      </c>
      <c r="T117" s="5" t="inlineStr">
        <is>
          <t>SOURCE-239</t>
        </is>
      </c>
      <c r="U117" s="5" t="inlineStr">
        <is>
          <t>High</t>
        </is>
      </c>
    </row>
    <row r="118" ht="184" customHeight="1">
      <c r="A118" s="15" t="inlineStr">
        <is>
          <t>PERSON-117</t>
        </is>
      </c>
      <c r="B118" s="5" t="inlineStr">
        <is>
          <t>Rishi Kapoor</t>
        </is>
      </c>
      <c r="C118" s="5" t="inlineStr">
        <is>
          <t>Producer</t>
        </is>
      </c>
      <c r="D118" s="17" t="n">
        <v>1952</v>
      </c>
      <c r="E118" s="17" t="n">
        <v>2020</v>
      </c>
      <c r="F118" s="5" t="inlineStr">
        <is>
          <t>1970–2020</t>
        </is>
      </c>
      <c r="G118" s="5" t="inlineStr">
        <is>
          <t>Hindi cinema</t>
        </is>
      </c>
      <c r="H118" s="5" t="inlineStr">
        <is>
          <t>Rishi Raj Kapoor (4 September 1952 – 30 April 2020) is the subject of this workbook: an Indian actor and filmmaker, recipient of a National Film Award and four Filmfare Awards. He appears in the Collaborators sheet because he took a producer's credit on two of his own films, and he also directed one film in which he did not act, Aa Ab Laut Chalen (1999), which is outside this filmography's scope.</t>
        </is>
      </c>
      <c r="I118" s="5" t="inlineStr">
        <is>
          <t>National Film Award for Best Child Artist for Mera Naam Joker (1970); Filmfare Award for Best Actor for his first adult lead, Bobby (1973).</t>
        </is>
      </c>
      <c r="J118" s="5" t="inlineStr">
        <is>
          <t>As producer: Prem Granth (1996), Pyaar Mein Twist (2005). As actor, the 160 films of this workbook.</t>
        </is>
      </c>
      <c r="K118" s="19" t="inlineStr">
        <is>
          <t>As producer, both credits are romances — one a family studio melodrama, the other a late-life love story.</t>
        </is>
      </c>
      <c r="L118" s="19" t="inlineStr">
        <is>
          <t>His production credits are family and personal projects rather than a business; his article records a lead romantic career of 92 films between 1973 and 2000.</t>
        </is>
      </c>
      <c r="M118" s="5" t="inlineStr">
        <is>
          <t>National Film Award for Best Child Artist (Mera Naam Joker); Filmfare Award for Best Actor (Bobby); Filmfare Critics Award for Best Actor (Do Dooni Chaar); Filmfare Award for Best Supporting Actor (Kapoor &amp; Sons).</t>
        </is>
      </c>
      <c r="N118" s="19" t="inlineStr">
        <is>
          <t>The defining romantic lead of 1970s and 1980s Hindi cinema and, after 2007, one of its most admired character actors.</t>
        </is>
      </c>
      <c r="O118" s="19" t="inlineStr">
        <is>
          <t>He is the selected actor. The two producer credits are revealing in different ways: Prem Granth (1996) is an R. K. Films production directed by his brother Rajiv, the last of the family studio's films with him in the lead, and Pyaar Mein Twist (2005) is a small film he produced himself in which he plays a widower courting a widow, with their adult children as the opposition — Bobby's structure inverted, with the lovers now old and the obstacle now filial rather than parental.</t>
        </is>
      </c>
      <c r="P118" s="17" t="n">
        <v>2</v>
      </c>
      <c r="Q118" s="5" t="inlineStr">
        <is>
          <t>FILM-107; FILM-119</t>
        </is>
      </c>
      <c r="R118" s="5" t="inlineStr">
        <is>
          <t>Pyaar Mein Twist (2005)</t>
        </is>
      </c>
      <c r="S118" s="5" t="inlineStr">
        <is>
          <t>Rishi Kapoor appears in this sheet as a producer of two of his own films, which is worth recording because of what he chose to produce. Prem Granth (1996) was an R. K. Films production, directed by his younger brother Rajiv, and the last film the family studio made with him as its lead — the end of the strand that had begun with Mera Naam Joker and Bobby. Pyaar Mein Twist (2005) is the more telling credit: a low-budget film he produced himself, in which he and Dimple Kapadia — his co-star from Bobby thirty-two years earlier — play a widower and widow whose late romance is opposed by their grown children. It is Bobby's situation with the generations reversed, and it is the only film in the filmography that he both produced and built around his own ageing persona.</t>
        </is>
      </c>
      <c r="T118" s="5" t="inlineStr">
        <is>
          <t>SOURCE-240</t>
        </is>
      </c>
      <c r="U118" s="5" t="inlineStr">
        <is>
          <t>High</t>
        </is>
      </c>
    </row>
    <row r="119" ht="124" customHeight="1">
      <c r="A119" s="15" t="inlineStr">
        <is>
          <t>PERSON-118</t>
        </is>
      </c>
      <c r="B119" s="5" t="inlineStr">
        <is>
          <t>Ritesh Sidhwani</t>
        </is>
      </c>
      <c r="C119" s="5" t="inlineStr">
        <is>
          <t>Producer</t>
        </is>
      </c>
      <c r="D119" s="17" t="n">
        <v>1973</v>
      </c>
      <c r="E119" s="18" t="n"/>
      <c r="F119" s="5" t="inlineStr">
        <is>
          <t>2001–present</t>
        </is>
      </c>
      <c r="G119" s="5" t="inlineStr">
        <is>
          <t>Hindi cinema</t>
        </is>
      </c>
      <c r="H119" s="5" t="inlineStr">
        <is>
          <t>Ritesh Sidhwani (born 1973) is an Indian film producer and the co-founder of Excel Entertainment with Farhan Akhtar. His first film as producer, Dil Chahta Hai, won National Awards in 2001, and the company later moved into streaming with Inside Edge, which was nominated for Best Drama Series at the 46th International Emmy Awards, followed by Mirzapur and Made in Heaven.</t>
        </is>
      </c>
      <c r="I119" s="5" t="inlineStr">
        <is>
          <t>Dil Chahta Hai (2001).</t>
        </is>
      </c>
      <c r="J119" s="5" t="inlineStr">
        <is>
          <t>With Kapoor: Luck by Chance (2009), Sharmaji Namkeen (2022). Elsewhere, Dil Chahta Hai, Don, Zindagi Na Milegi Dobara, Dil Dhadakne Do, Fukrey and Gully Boy.</t>
        </is>
      </c>
      <c r="K119" s="19" t="inlineStr">
        <is>
          <t>Contemporary urban stories; the ensemble; and from 2017 long-form streaming drama.</t>
        </is>
      </c>
      <c r="L119" s="19" t="inlineStr">
        <is>
          <t>A producer who backs writer-directors and was among the first in Hindi cinema to build a streaming slate.</t>
        </is>
      </c>
      <c r="M119" s="5" t="n"/>
      <c r="N119" s="19" t="inlineStr">
        <is>
          <t>Co-founder of one of the production houses that defined post-2001 urban Hindi cinema and its move into streaming.</t>
        </is>
      </c>
      <c r="O119" s="19" t="inlineStr">
        <is>
          <t>Two films, both through Excel Entertainment and both notable: Zoya Akhtar's Luck by Chance (2009), in which Kapoor plays the producer Rommy Rolly, and Sharmaji Namkeen (2022), the film Kapoor was shooting at his death, which the company completed by having Paresh Rawal play the remaining scenes as the same character.</t>
        </is>
      </c>
      <c r="P119" s="17" t="n">
        <v>2</v>
      </c>
      <c r="Q119" s="5" t="inlineStr">
        <is>
          <t>FILM-128; FILM-160</t>
        </is>
      </c>
      <c r="R119" s="5" t="inlineStr">
        <is>
          <t>Sharmaji Namkeen (2022)</t>
        </is>
      </c>
      <c r="S119" s="5" t="inlineStr">
        <is>
          <t>Ritesh Sidhwani produced Rishi Kapoor's final film and the role in which he most knowingly played a version of his own industry. With Farhan Akhtar he founded Excel Entertainment in 1999 and produced Dil Chahta Hai, which won National Awards and redirected mainstream Hindi cinema towards urban naturalism; the company later built one of India's first substantial streaming slates with Inside Edge, Mirzapur and Made in Heaven. Kapoor appears in Excel's Luck by Chance (2009) as Rommy Rolly, a producer who uses people and discards them, and in Sharmaji Namkeen, the gentle comedy about a retired man who takes up cooking that he was filming when he died in April 2020. Excel finished it with Paresh Rawal playing the remaining scenes as the same man, and released it in 2022.</t>
        </is>
      </c>
      <c r="T119" s="5" t="inlineStr">
        <is>
          <t>SOURCE-241</t>
        </is>
      </c>
      <c r="U119" s="5" t="inlineStr">
        <is>
          <t>High</t>
        </is>
      </c>
    </row>
    <row r="120" ht="124" customHeight="1">
      <c r="A120" s="15" t="inlineStr">
        <is>
          <t>PERSON-119</t>
        </is>
      </c>
      <c r="B120" s="5" t="inlineStr">
        <is>
          <t>Sajid–Farhad</t>
        </is>
      </c>
      <c r="C120" s="5" t="inlineStr">
        <is>
          <t>Writer</t>
        </is>
      </c>
      <c r="D120" s="18" t="n"/>
      <c r="E120" s="18" t="n"/>
      <c r="F120" s="5" t="n"/>
      <c r="G120" s="5" t="inlineStr">
        <is>
          <t>Hindi cinema</t>
        </is>
      </c>
      <c r="H120" s="5" t="inlineStr">
        <is>
          <t>A Hindi-film writing duo credited on comedies of the early 2010s, with no Wikipedia article under this name. They are credited on Housefull 2 as Sajid-Farhad, a spelling this workbook consolidates to the en-dash form used for composing and writing duos throughout.</t>
        </is>
      </c>
      <c r="I120" s="5" t="n"/>
      <c r="J120" s="5" t="inlineStr">
        <is>
          <t>With Kapoor: Housefull 2 (2012), Chashme Buddoor (2013).</t>
        </is>
      </c>
      <c r="K120" s="19" t="inlineStr">
        <is>
          <t>Large-ensemble farce built on mistaken identity and escalating confusion.</t>
        </is>
      </c>
      <c r="L120" s="19" t="inlineStr">
        <is>
          <t>Dialogue-led commercial comedy written for ensemble casts.</t>
        </is>
      </c>
      <c r="M120" s="5" t="n"/>
      <c r="N120" s="19" t="inlineStr">
        <is>
          <t>Not independently documented under the duo name.</t>
        </is>
      </c>
      <c r="O120" s="19" t="inlineStr">
        <is>
          <t>Two films, both late comedies in which Kapoor is one element of a crowded cast: Housefull 2 (2012), where he and Randhir Kapoor play feuding brothers, and David Dhawan's remake Chashme Buddoor (2013). Both are scored by Sajid–Wajid, and both represent the kind of work available to a veteran star in a franchise comedy.</t>
        </is>
      </c>
      <c r="P120" s="17" t="n">
        <v>2</v>
      </c>
      <c r="Q120" s="5" t="inlineStr">
        <is>
          <t>FILM-138; FILM-141</t>
        </is>
      </c>
      <c r="R120" s="5" t="inlineStr">
        <is>
          <t>Housefull 2 (2012)</t>
        </is>
      </c>
      <c r="S120" s="5" t="inlineStr">
        <is>
          <t>Sajid–Farhad wrote two of Rishi Kapoor's late ensemble comedies, and the duo has no article under that name. Housefull 2 (2012) is the more interesting of the two for this filmography: in a cast of a dozen stars, Kapoor and his real-life elder brother Randhir Kapoor play feuding brothers, one of the few occasions the two appeared together on screen as adults. Chashme Buddoor (2013), David Dhawan's remake of the 1981 campus comedy, followed. Both films are scored by Sajid–Wajid, and both treat Kapoor as a recognisable veteran presence inside a franchise rather than as a performer with a part to play. This row is built from film credits alone.</t>
        </is>
      </c>
      <c r="T120" s="5" t="inlineStr">
        <is>
          <t>SOURCE-130; SOURCE-133</t>
        </is>
      </c>
      <c r="U120" s="5" t="inlineStr">
        <is>
          <t>Low</t>
        </is>
      </c>
    </row>
    <row r="121" ht="124" customHeight="1">
      <c r="A121" s="15" t="inlineStr">
        <is>
          <t>PERSON-120</t>
        </is>
      </c>
      <c r="B121" s="5" t="inlineStr">
        <is>
          <t>Sandeep Shirodkar</t>
        </is>
      </c>
      <c r="C121" s="5" t="inlineStr">
        <is>
          <t>Background-score composer</t>
        </is>
      </c>
      <c r="D121" s="18" t="n"/>
      <c r="E121" s="18" t="n"/>
      <c r="F121" s="5" t="n"/>
      <c r="G121" s="5" t="inlineStr">
        <is>
          <t>Hindi cinema</t>
        </is>
      </c>
      <c r="H121" s="5" t="inlineStr">
        <is>
          <t>Sandeep Shirodkar is an Indian film score composer, music director and record producer who has also worked as an arranger of songs for other composers. He has composed background scores for Dabangg, Bodyguard, Once Upon A Time in Mumbaai and Prince, and more recently worked as an original song composer, including remakes for Judwaa 2 with Anu Malik.</t>
        </is>
      </c>
      <c r="I121" s="5" t="inlineStr">
        <is>
          <t>Working as an arranger before composing background scores in his own right.</t>
        </is>
      </c>
      <c r="J121" s="5" t="inlineStr">
        <is>
          <t>With Kapoor: Housefull 2 (2012), Chashme Buddoor (2013). Elsewhere, the scores for Dabangg and Bodyguard.</t>
        </is>
      </c>
      <c r="K121" s="19" t="inlineStr">
        <is>
          <t>Background score for the mass-market action film and the ensemble comedy.</t>
        </is>
      </c>
      <c r="L121" s="19" t="inlineStr">
        <is>
          <t>An arranger-turned-score composer working in the loud, percussive register of the 2010s mass entertainer.</t>
        </is>
      </c>
      <c r="M121" s="5" t="n"/>
      <c r="N121" s="19" t="inlineStr">
        <is>
          <t>Representative of the specialised background-score profession that emerged in Hindi cinema in the 2000s.</t>
        </is>
      </c>
      <c r="O121" s="19" t="inlineStr">
        <is>
          <t>Two films, both late ensemble comedies written by Sajid–Farhad and both with songs by Sajid–Wajid: Housefull 2 (2012) and Chashme Buddoor (2013). His contribution to each is the background score rather than the songs — the division of labour that characterises the films of Kapoor's final decade.</t>
        </is>
      </c>
      <c r="P121" s="17" t="n">
        <v>2</v>
      </c>
      <c r="Q121" s="5" t="inlineStr">
        <is>
          <t>FILM-138; FILM-141</t>
        </is>
      </c>
      <c r="R121" s="5" t="inlineStr">
        <is>
          <t>Housefull 2 (2012)</t>
        </is>
      </c>
      <c r="S121" s="5" t="inlineStr">
        <is>
          <t>Sandeep Shirodkar scored two of Rishi Kapoor's last comedies. An arranger who became one of Hindi cinema's specialist background-score composers, Shirodkar wrote the scores for Dabangg, Bodyguard and Once Upon A Time in Mumbaai — the loud, percussive idiom of the 2010s mass entertainer — and later moved into song composition, working with Anu Malik on remakes for Judwaa 2. His Kapoor films, Housefull 2 (2012) and Chashme Buddoor (2013), are both franchise comedies written by Sajid–Farhad with songs by Sajid–Wajid, in which his job was the underscore alone. The pattern is worth noting across this workbook: in Kapoor's youth one composer wrote everything a film needed, while by the end the songs, the score and the arrangement were three separate commissions.</t>
        </is>
      </c>
      <c r="T121" s="5" t="inlineStr">
        <is>
          <t>SOURCE-242</t>
        </is>
      </c>
      <c r="U121" s="5" t="inlineStr">
        <is>
          <t>High</t>
        </is>
      </c>
    </row>
    <row r="122" ht="94" customHeight="1">
      <c r="A122" s="15" t="inlineStr">
        <is>
          <t>PERSON-121</t>
        </is>
      </c>
      <c r="B122" s="5" t="inlineStr">
        <is>
          <t>Sanjeev Duggal</t>
        </is>
      </c>
      <c r="C122" s="5" t="inlineStr">
        <is>
          <t>Writer</t>
        </is>
      </c>
      <c r="D122" s="18" t="n"/>
      <c r="E122" s="18" t="n"/>
      <c r="F122" s="5" t="n"/>
      <c r="G122" s="5" t="inlineStr">
        <is>
          <t>Hindi cinema</t>
        </is>
      </c>
      <c r="H122" s="5" t="inlineStr">
        <is>
          <t>A Hindi-film writer active in the early 1990s, with no Wikipedia article of his own.</t>
        </is>
      </c>
      <c r="I122" s="5" t="n"/>
      <c r="J122" s="5" t="inlineStr">
        <is>
          <t>With Kapoor: Bol Radha Bol (1992), Eena Meena Deeka (1994).</t>
        </is>
      </c>
      <c r="K122" s="19" t="inlineStr">
        <is>
          <t>Farce of mistaken identity and the double role.</t>
        </is>
      </c>
      <c r="L122" s="19" t="inlineStr">
        <is>
          <t>Not documented; on Bol Radha Bol he shares the writing credit with Anees Bazmee, who wrote the dialogue.</t>
        </is>
      </c>
      <c r="M122" s="5" t="n"/>
      <c r="N122" s="19" t="inlineStr">
        <is>
          <t>Not independently documented.</t>
        </is>
      </c>
      <c r="O122" s="19" t="inlineStr">
        <is>
          <t>Two films, both David Dhawan comedies produced by Nitin Manmohan and scored by Anand–Milind: Bol Radha Bol (1992), the double-role farce that was among the last hits Kapoor carried, and Eena Meena Deeka (1994). The same unit made both.</t>
        </is>
      </c>
      <c r="P122" s="17" t="n">
        <v>2</v>
      </c>
      <c r="Q122" s="5" t="inlineStr">
        <is>
          <t>FILM-089; FILM-099</t>
        </is>
      </c>
      <c r="R122" s="5" t="inlineStr">
        <is>
          <t>Bol Radha Bol (1992)</t>
        </is>
      </c>
      <c r="S122" s="5" t="inlineStr">
        <is>
          <t>Sanjeev Duggal wrote two Rishi Kapoor comedies and has no documented biography. Bol Radha Bol (1992) is the better of the two by any measure: David Dhawan's farce in which Kapoor plays both a businessman and his criminal lookalike, with Juhi Chawla doubled as well, released the same year as Deewana and one of the last occasions he opened a hit alone. Eena Meena Deeka followed in 1994 with the same director, producer and composers. Duggal shares the Bol Radha Bol credit with Anees Bazmee, who went on to become one of Hindi cinema's most successful comedy directors while Duggal left no further trace. This row is built from film credits alone.</t>
        </is>
      </c>
      <c r="T122" s="5" t="inlineStr">
        <is>
          <t>SOURCE-082; SOURCE-094</t>
        </is>
      </c>
      <c r="U122" s="5" t="inlineStr">
        <is>
          <t>Low</t>
        </is>
      </c>
    </row>
    <row r="123" ht="154" customHeight="1">
      <c r="A123" s="15" t="inlineStr">
        <is>
          <t>PERSON-122</t>
        </is>
      </c>
      <c r="B123" s="5" t="inlineStr">
        <is>
          <t>Shankar–Jaikishan</t>
        </is>
      </c>
      <c r="C123" s="5" t="inlineStr">
        <is>
          <t>Song composer (composing duo)</t>
        </is>
      </c>
      <c r="D123" s="18" t="n"/>
      <c r="E123" s="18" t="n"/>
      <c r="F123" s="5" t="inlineStr">
        <is>
          <t>1949–1971</t>
        </is>
      </c>
      <c r="G123" s="5" t="inlineStr">
        <is>
          <t>Hindi cinema</t>
        </is>
      </c>
      <c r="H123" s="5" t="inlineStr">
        <is>
          <t>An Indian composing duo of Shankar Singh Ram Singh Raghuvanshi (15 October 1922 – 26 April 1987) and Jaikishan Dayabhai Panchal (4 November 1929 – 12 September 1971), known as S-J, who worked together from 1949 until Jaikishan's death in 1971 and composed for 136 films, introducing a new level of orchestral richness to Hindi film music. Their article describes them as widely considered the greatest composers of the Hindi film industry.</t>
        </is>
      </c>
      <c r="I123" s="5" t="inlineStr">
        <is>
          <t>Composing from 1949; they reached the front rank in 1955 with Shree 420 and Seema.</t>
        </is>
      </c>
      <c r="J123" s="5" t="inlineStr">
        <is>
          <t>With Kapoor: Shree 420 (1955), Mera Naam Joker (1970). Elsewhere, Barsaat, Awaara, Chori Chori, Brahmachari and Pehchan.</t>
        </is>
      </c>
      <c r="K123" s="19" t="inlineStr">
        <is>
          <t>Large-orchestra romantic melody; the Raj Kapoor social melodrama; the songs of the 1950s and 1960s star vehicle.</t>
        </is>
      </c>
      <c r="L123" s="19" t="inlineStr">
        <is>
          <t>Orchestral richness unusual for its period, with a long association with Raj Kapoor and with the singers Mukesh, Lata Mangeshkar and Mohammed Rafi.</t>
        </is>
      </c>
      <c r="M123" s="5" t="inlineStr">
        <is>
          <t>Nine Filmfare Awards for Best Music Director, the first for Chori Chori, the sixth for Brahmachari — which also brought their first BFJA award — and the last for Be-Imaan; nominated for Mera Naam Joker.</t>
        </is>
      </c>
      <c r="N123" s="19" t="inlineStr">
        <is>
          <t>The dominant composing team of 1950s and 1960s Hindi cinema and the musical voice of Raj Kapoor's studio.</t>
        </is>
      </c>
      <c r="O123" s="19" t="inlineStr">
        <is>
          <t>Two films, and they are the first two in this filmography: Shree 420 (1955), in which a three-year-old Kapoor walks through 'Pyar Hua Iqrar Hua', and Mera Naam Joker (1970), his credited debut as the adolescent Raju, for which the duo received a Filmfare nomination. Both are Raj Kapoor films, and the second was among Jaikishan's last before his death in 1971. They scored the beginning of the career and nothing after it.</t>
        </is>
      </c>
      <c r="P123" s="17" t="n">
        <v>2</v>
      </c>
      <c r="Q123" s="5" t="inlineStr">
        <is>
          <t>FILM-001; FILM-002</t>
        </is>
      </c>
      <c r="R123" s="5" t="inlineStr">
        <is>
          <t>Mera Naam Joker (1970)</t>
        </is>
      </c>
      <c r="S123" s="5" t="inlineStr">
        <is>
          <t>Shankar–Jaikishan wrote the music Rishi Kapoor first appeared in front of, and the music of his credited debut. The duo of Shankar Raghuvanshi and Jaikishan Panchal worked from 1949 until Jaikishan's death in 1971, composing for 136 films, winning nine Filmfare Awards for Best Music Director and bringing an orchestral scale to Hindi film song that their own article calls unmatched. They were Raj Kapoor's composers, and so they scored Shree 420 in 1955 — the film in which his three-year-old son walks through 'Pyar Hua Iqrar Hua' — and Mera Naam Joker in 1970, in which the same boy, now seventeen, played his father's character as a schoolboy and won a National Film Award. Their association with the filmography ends there, a year before Jaikishan died and three before Bobby.</t>
        </is>
      </c>
      <c r="T123" s="5" t="inlineStr">
        <is>
          <t>SOURCE-243</t>
        </is>
      </c>
      <c r="U123" s="5" t="inlineStr">
        <is>
          <t>High</t>
        </is>
      </c>
    </row>
    <row r="124" ht="139" customHeight="1">
      <c r="A124" s="15" t="inlineStr">
        <is>
          <t>PERSON-123</t>
        </is>
      </c>
      <c r="B124" s="5" t="inlineStr">
        <is>
          <t>Sikandar Khanna</t>
        </is>
      </c>
      <c r="C124" s="5" t="inlineStr">
        <is>
          <t>Director</t>
        </is>
      </c>
      <c r="D124" s="18" t="n"/>
      <c r="E124" s="18" t="n"/>
      <c r="F124" s="5" t="n"/>
      <c r="G124" s="5" t="inlineStr">
        <is>
          <t>Hindi cinema</t>
        </is>
      </c>
      <c r="H124" s="5" t="inlineStr">
        <is>
          <t>An Indian Hindi-film director whose Wikipedia article is a stub recording only that he worked in Bollywood and that he died during the making of Phool Khile Hain Gulshan Gulshan.</t>
        </is>
      </c>
      <c r="I124" s="5" t="n"/>
      <c r="J124" s="5" t="inlineStr">
        <is>
          <t>With Kapoor: Zinda Dil (1975), Phool Khile Hain Gulshan Gulshan (1978).</t>
        </is>
      </c>
      <c r="K124" s="19" t="inlineStr">
        <is>
          <t>Romance and melodrama of the mid-1970s commercial mainstream.</t>
        </is>
      </c>
      <c r="L124" s="19" t="inlineStr">
        <is>
          <t>Not documented.</t>
        </is>
      </c>
      <c r="M124" s="5" t="n"/>
      <c r="N124" s="19" t="inlineStr">
        <is>
          <t>Not substantially documented.</t>
        </is>
      </c>
      <c r="O124" s="19" t="inlineStr">
        <is>
          <t>Two films from Kapoor's first flush of stardom, and the second was unfinished at the director's death: his article records that he died during the making of Phool Khile Hain Gulshan Gulshan (1978). Zinda Dil (1975), with a Laxmikant–Pyarelal score, came two years after Bobby, when Kapoor was being cast in as many romances as the market would take.</t>
        </is>
      </c>
      <c r="P124" s="17" t="n">
        <v>2</v>
      </c>
      <c r="Q124" s="5" t="inlineStr">
        <is>
          <t>FILM-008; FILM-021</t>
        </is>
      </c>
      <c r="R124" s="5" t="inlineStr">
        <is>
          <t>Phool Khile Hain Gulshan Gulshan (1978)</t>
        </is>
      </c>
      <c r="S124" s="5" t="inlineStr">
        <is>
          <t>Sikandar Khanna directed two Rishi Kapoor films and died during the second. His Wikipedia article is barely more than a line, recording his work as a Bollywood director and his death in the course of making Phool Khile Hain Gulshan Gulshan, released in 1978. The earlier film, Zinda Dil (1975), belongs to the rush of romances Kapoor made immediately after Bobby, when producers were casting him in anything that needed a young lover; it was scored by Laxmikant–Pyarelal, who wrote the music for thirty-two films in this filmography. Khanna is the only director here known to have died mid-production on a Kapoor film, and almost the only one about whom Wikipedia records a death but not a birth.</t>
        </is>
      </c>
      <c r="T124" s="5" t="inlineStr">
        <is>
          <t>SOURCE-244</t>
        </is>
      </c>
      <c r="U124" s="5" t="inlineStr">
        <is>
          <t>Medium</t>
        </is>
      </c>
    </row>
    <row r="125" ht="139" customHeight="1">
      <c r="A125" s="15" t="inlineStr">
        <is>
          <t>PERSON-124</t>
        </is>
      </c>
      <c r="B125" s="5" t="inlineStr">
        <is>
          <t>Sneha Khanwalkar</t>
        </is>
      </c>
      <c r="C125" s="5" t="inlineStr">
        <is>
          <t>Song composer</t>
        </is>
      </c>
      <c r="D125" s="17" t="n">
        <v>1983</v>
      </c>
      <c r="E125" s="18" t="n"/>
      <c r="F125" s="5" t="inlineStr">
        <is>
          <t>2004–present</t>
        </is>
      </c>
      <c r="G125" s="5" t="inlineStr">
        <is>
          <t>Hindi cinema</t>
        </is>
      </c>
      <c r="H125" s="5" t="inlineStr">
        <is>
          <t>Sneha Khanwalkar (born 28 April 1983 in Indore) is an Indian music director working in Hindi films. She was nominated for Best Music Director at the 58th Filmfare Awards for Gangs of Wasseypur, becoming only the second woman nominated in that category, twenty-eight years after Usha Khanna. She also presented the television series Sound Trippin.</t>
        </is>
      </c>
      <c r="I125" s="5" t="inlineStr">
        <is>
          <t>Composing from 2004; her breakthrough was Anurag Kashyap's Gangs of Wasseypur duology.</t>
        </is>
      </c>
      <c r="J125" s="5" t="inlineStr">
        <is>
          <t>With Kapoor: Manto (2018), Sharmaji Namkeen (2022). Elsewhere, Oye Lucky! Lucky Oye! and Gangs of Wasseypur.</t>
        </is>
      </c>
      <c r="K125" s="19" t="inlineStr">
        <is>
          <t>Field-recorded and regional musical idioms brought into film scoring; music assembled from found voices rather than studio singers.</t>
        </is>
      </c>
      <c r="L125" s="19" t="inlineStr">
        <is>
          <t>A collector's method: travelling to record local singers and sounds and building soundtracks from them, documented in her television series Sound Trippin.</t>
        </is>
      </c>
      <c r="M125" s="5" t="inlineStr">
        <is>
          <t>Filmfare nomination for Best Music Director for Gangs of Wasseypur at the 58th awards — only the second for a woman in that category.</t>
        </is>
      </c>
      <c r="N125" s="19" t="inlineStr">
        <is>
          <t>The most prominent female composer in Hindi cinema of her generation, and one of only two ever nominated for the Filmfare Best Music Director award.</t>
        </is>
      </c>
      <c r="O125" s="19" t="inlineStr">
        <is>
          <t>Two films, both at the very end of the career and both unlike anything in his lead years: Nandita Das's Manto (2018), in which Kapoor has a small part in a biographical film about the Urdu writer, and Sharmaji Namkeen (2022), his last film, released posthumously. She is one of a very small number of women among the 561 collaborators in this workbook, and the only female composer.</t>
        </is>
      </c>
      <c r="P125" s="17" t="n">
        <v>2</v>
      </c>
      <c r="Q125" s="5" t="inlineStr">
        <is>
          <t>FILM-156; FILM-160</t>
        </is>
      </c>
      <c r="R125" s="5" t="inlineStr">
        <is>
          <t>Sharmaji Namkeen (2022)</t>
        </is>
      </c>
      <c r="S125" s="5" t="inlineStr">
        <is>
          <t>Sneha Khanwalkar is the only female composer in this filmography, and she scored Rishi Kapoor's last film. Born in Indore in 1983, she built a reputation on a method unusual in Hindi cinema — travelling to record regional singers and incidental sound and assembling soundtracks from them, a practice she turned into the television series Sound Trippin — and became only the second woman nominated for the Filmfare Award for Best Music Director, for Gangs of Wasseypur, twenty-eight years after Usha Khanna. Her two Kapoor films are Nandita Das's Manto (2018), in which he appears briefly, and Sharmaji Namkeen, which he was shooting when he died and which was completed with Paresh Rawal in the remaining scenes. That his final soundtrack came from her is a sharp measure of the distance between the industry he entered and the one he left.</t>
        </is>
      </c>
      <c r="T125" s="5" t="inlineStr">
        <is>
          <t>SOURCE-245</t>
        </is>
      </c>
      <c r="U125" s="5" t="inlineStr">
        <is>
          <t>High</t>
        </is>
      </c>
    </row>
    <row r="126" ht="124" customHeight="1">
      <c r="A126" s="15" t="inlineStr">
        <is>
          <t>PERSON-125</t>
        </is>
      </c>
      <c r="B126" s="5" t="inlineStr">
        <is>
          <t>Soham Rockstar Entertainment</t>
        </is>
      </c>
      <c r="C126" s="5" t="inlineStr">
        <is>
          <t>Production banner</t>
        </is>
      </c>
      <c r="D126" s="18" t="n"/>
      <c r="E126" s="18" t="n"/>
      <c r="F126" s="5" t="n"/>
      <c r="G126" s="5" t="inlineStr">
        <is>
          <t>Hindi cinema</t>
        </is>
      </c>
      <c r="H126" s="5" t="inlineStr">
        <is>
          <t>The production banner founded by the producer Deepak Mukut, under which he made mid-budget Hindi films in the late 2010s. The company has no Wikipedia article of its own; its founding by Mukut is recorded in his article, which is cited on his row in this sheet.</t>
        </is>
      </c>
      <c r="I126" s="5" t="n"/>
      <c r="J126" s="5" t="inlineStr">
        <is>
          <t>With Kapoor: Mulk (2018), Jhootha Kahin Ka (2019). Elsewhere, Sanam Teri Kasam and Dhaakad.</t>
        </is>
      </c>
      <c r="K126" s="19" t="inlineStr">
        <is>
          <t>Issue-driven drama alongside broad comedy, at mid-range budgets.</t>
        </is>
      </c>
      <c r="L126" s="19" t="inlineStr">
        <is>
          <t>Not documented beyond its founder's practice of backing modestly budgeted films across genres.</t>
        </is>
      </c>
      <c r="M126" s="5" t="n"/>
      <c r="N126" s="19" t="inlineStr">
        <is>
          <t>Not independently documented.</t>
        </is>
      </c>
      <c r="O126" s="19" t="inlineStr">
        <is>
          <t>Two films from Kapoor's last two years, and they could hardly be more different: Anubhav Sinha's Mulk (2018), in which he plays Murad Ali Mohammed, the head of a Varanasi Muslim family defending itself against a terrorism accusation — one of the most substantial roles of his late career — and the farce Jhootha Kahin Ka (2019).</t>
        </is>
      </c>
      <c r="P126" s="17" t="n">
        <v>2</v>
      </c>
      <c r="Q126" s="5" t="inlineStr">
        <is>
          <t>FILM-155; FILM-158</t>
        </is>
      </c>
      <c r="R126" s="5" t="inlineStr">
        <is>
          <t>Mulk (2018)</t>
        </is>
      </c>
      <c r="S126" s="5" t="inlineStr">
        <is>
          <t>Soham Rockstar Entertainment produced the last serious role of Rishi Kapoor's career. The banner belongs to Deepak Mukut, a distributor-turned-producer from Jaipur whose article records that he founded it, and under it he made Anubhav Sinha's Mulk in 2018: Kapoor plays the patriarch of a Muslim family in Varanasi whose nephew is accused of terrorism, a performance widely counted among his best. The company's second Kapoor film, Jhootha Kahin Ka (2019), is a broad comedy with no such ambitions, and was one of his last releases. The pairing is a fair portrait of what an independent mid-budget banner could offer a veteran star at the end of the 2010s: one role worth having and one that paid.</t>
        </is>
      </c>
      <c r="T126" s="5" t="inlineStr">
        <is>
          <t>SOURCE-148; SOURCE-150; SOURCE-214</t>
        </is>
      </c>
      <c r="U126" s="5" t="inlineStr">
        <is>
          <t>Low</t>
        </is>
      </c>
    </row>
    <row r="127" ht="154" customHeight="1">
      <c r="A127" s="15" t="inlineStr">
        <is>
          <t>PERSON-126</t>
        </is>
      </c>
      <c r="B127" s="5" t="inlineStr">
        <is>
          <t>Subhash Ghai</t>
        </is>
      </c>
      <c r="C127" s="5" t="inlineStr">
        <is>
          <t>Director; Producer; Writer</t>
        </is>
      </c>
      <c r="D127" s="17" t="n">
        <v>1945</v>
      </c>
      <c r="E127" s="18" t="n"/>
      <c r="F127" s="5" t="inlineStr">
        <is>
          <t>1967–present</t>
        </is>
      </c>
      <c r="G127" s="5" t="inlineStr">
        <is>
          <t>Hindi cinema</t>
        </is>
      </c>
      <c r="H127" s="5" t="inlineStr">
        <is>
          <t>Subhash Ghai (born 24 January 1945 in Nagpur) is an Indian director, producer, actor, lyricist and screenwriter, and one of the most prominent Hindi filmmakers of the 1980s and 1990s. He founded Mukta Arts in 1982, which became a public company in 2000.</t>
        </is>
      </c>
      <c r="I127" s="5" t="inlineStr">
        <is>
          <t>Working from 1967; his breakthrough as a director was Kalicharan (1976).</t>
        </is>
      </c>
      <c r="J127" s="5" t="inlineStr">
        <is>
          <t>With Kapoor: Karz (1980), Kaanchi: The Unbreakable (2014). Elsewhere, Kalicharan, Vidhaata, Hero, Karma, Ram Lakhan, Saudagar, Khalnayak, Pardes and Taal.</t>
        </is>
      </c>
      <c r="K127" s="19" t="inlineStr">
        <is>
          <t>The showman's melodrama: reincarnation and revenge, mothers and brothers, and the star entrance staged as spectacle.</t>
        </is>
      </c>
      <c r="L127" s="19" t="inlineStr">
        <is>
          <t>Large-scale commercial filmmaking with strong musical set pieces and an instinct for star image; a long collaboration with Dilip Kumar in Vidhaata, Karma and Saudagar.</t>
        </is>
      </c>
      <c r="M127" s="5" t="inlineStr">
        <is>
          <t>A Filmfare Award for Best Director for Saudagar among other honours, and the National Film Award for Best Film on Other Social Issues as the producer of Iqbal.</t>
        </is>
      </c>
      <c r="N127" s="19" t="inlineStr">
        <is>
          <t>One of the defining commercial directors of 1980s and 1990s Hindi cinema, routinely called its showman after Raj Kapoor.</t>
        </is>
      </c>
      <c r="O127" s="19" t="inlineStr">
        <is>
          <t>Two films thirty-four years apart. Karz (1980) is the significant one: Ghai's reincarnation thriller gave Kapoor the most durable role of his early career as Monty, the singer who recovers the memory of his murder, with a Laxmikant–Pyarelal score that outlived the film and has been remade and sampled repeatedly. Kaanchi: The Unbreakable (2014) came at the other end, a late Ghai film with Kapoor in support.</t>
        </is>
      </c>
      <c r="P127" s="17" t="n">
        <v>2</v>
      </c>
      <c r="Q127" s="5" t="inlineStr">
        <is>
          <t>FILM-031; FILM-147</t>
        </is>
      </c>
      <c r="R127" s="5" t="inlineStr">
        <is>
          <t>Karz (1980)</t>
        </is>
      </c>
      <c r="S127" s="5" t="inlineStr">
        <is>
          <t>Subhash Ghai directed the film that gave Rishi Kapoor his most imitated role. Born in Nagpur in 1945 and the dominant commercial showman of Hindi cinema in the 1980s and 1990s — Hero, Karma, Ram Lakhan, Saudagar, Khalnayak, Pardes, Taal — Ghai made Karz in 1980, a reincarnation thriller in which Kapoor's stage singer Monty is haunted by the murder of his previous self. The film was not an immediate triumph, but its Laxmikant–Pyarelal songs and its structure have been recycled ever since, including in an outright remake, and 'Om Shanti Om' became one of the defining numbers of Kapoor's career. Ghai also founded Mukta Arts in 1982 and later produced Iqbal, which won a National Film Award. He used Kapoor once more, in Kaanchi, thirty-four years after Karz.</t>
        </is>
      </c>
      <c r="T127" s="5" t="inlineStr">
        <is>
          <t>SOURCE-246</t>
        </is>
      </c>
      <c r="U127" s="5" t="inlineStr">
        <is>
          <t>High</t>
        </is>
      </c>
    </row>
    <row r="128" ht="139" customHeight="1">
      <c r="A128" s="15" t="inlineStr">
        <is>
          <t>PERSON-127</t>
        </is>
      </c>
      <c r="B128" s="5" t="inlineStr">
        <is>
          <t>Sukhwinder Singh</t>
        </is>
      </c>
      <c r="C128" s="5" t="inlineStr">
        <is>
          <t>Song composer</t>
        </is>
      </c>
      <c r="D128" s="17" t="n">
        <v>1971</v>
      </c>
      <c r="E128" s="18" t="n"/>
      <c r="F128" s="5" t="inlineStr">
        <is>
          <t>1991–present</t>
        </is>
      </c>
      <c r="G128" s="5" t="inlineStr">
        <is>
          <t>Hindi cinema</t>
        </is>
      </c>
      <c r="H128" s="5" t="inlineStr">
        <is>
          <t>Sukhwinder Singh (born 18 July 1971 in Amritsar) is an Indian playback singer, composer, lyricist and music producer who has recorded in many Indian languages. He was noticed early by Laxmikant–Pyarelal and worked as a musical arranger on their projects in the late 1980s and early 1990s before his own career as a singer and composer.</t>
        </is>
      </c>
      <c r="I128" s="5" t="inlineStr">
        <is>
          <t>Recording from 1991, after arranging for Laxmikant–Pyarelal.</t>
        </is>
      </c>
      <c r="J128" s="5" t="inlineStr">
        <is>
          <t>With Kapoor: Halla Bol (2008), Chintu Ji (2009). Elsewhere, as a singer, 'Chaiyya Chaiyya' and 'Jai Ho', and the award-winning 'Bismil' from Haider.</t>
        </is>
      </c>
      <c r="K128" s="19" t="inlineStr">
        <is>
          <t>Punjabi folk energy brought into the Hindi film song; the large anthemic number.</t>
        </is>
      </c>
      <c r="L128" s="19" t="inlineStr">
        <is>
          <t>A singer-composer whose own voice is the defining instrument of his work.</t>
        </is>
      </c>
      <c r="M128" s="5" t="inlineStr">
        <is>
          <t>National Film Award for Best Male Playback Singer for 'Bismil' from Haider (2014), and two Filmfare Awards for Best Male Playback Singer, including for 'Chaiyya Chaiyya'.</t>
        </is>
      </c>
      <c r="N128" s="19" t="inlineStr">
        <is>
          <t>One of the most recognisable playback voices of post-1998 Hindi cinema, best known for 'Chaiyya Chaiyya' and 'Jai Ho'.</t>
        </is>
      </c>
      <c r="O128" s="19" t="inlineStr">
        <is>
          <t>Two films as composer rather than singer, both from 2008–09 and both small: Rajkumar Santoshi's Halla Bol (2008) and Chintu Ji (2009), in which Kapoor plays a fictionalised version of himself. There is a neat line back through his biography: he began as an arranger for Laxmikant–Pyarelal, the duo who scored thirty-two Kapoor films, before composing two of his last.</t>
        </is>
      </c>
      <c r="P128" s="17" t="n">
        <v>2</v>
      </c>
      <c r="Q128" s="5" t="inlineStr">
        <is>
          <t>FILM-126; FILM-132</t>
        </is>
      </c>
      <c r="R128" s="5" t="inlineStr">
        <is>
          <t>Chintu Ji (2009)</t>
        </is>
      </c>
      <c r="S128" s="5" t="inlineStr">
        <is>
          <t>Sukhwinder Singh composed two late Rishi Kapoor films, having begun his career inside the orchestra of Kapoor's most frequent composers. Born in Amritsar in 1971, Singh was spotted by Laxmikant–Pyarelal and arranged for them before becoming one of the most recognisable playback voices in India, winning a National Film Award for 'Bismil' from Haider and two Filmfare Awards, with 'Chaiyya Chaiyya' and 'Jai Ho' among his recordings. As a composer he wrote for Rajkumar Santoshi's Halla Bol (2008) and for Chintu Ji (2009), the self-referential comedy in which Kapoor plays a star called Chintu Ji — his own childhood nickname — returning to his birthplace. The arc from arranging Laxmikant–Pyarelal's Kapoor scores to writing one himself spans almost exactly the length of the actor's career.</t>
        </is>
      </c>
      <c r="T128" s="5" t="inlineStr">
        <is>
          <t>SOURCE-247</t>
        </is>
      </c>
      <c r="U128" s="5" t="inlineStr">
        <is>
          <t>High</t>
        </is>
      </c>
    </row>
    <row r="129" ht="124" customHeight="1">
      <c r="A129" s="15" t="inlineStr">
        <is>
          <t>PERSON-128</t>
        </is>
      </c>
      <c r="B129" s="5" t="inlineStr">
        <is>
          <t>Suresh Nair</t>
        </is>
      </c>
      <c r="C129" s="5" t="inlineStr">
        <is>
          <t>Writer</t>
        </is>
      </c>
      <c r="D129" s="18" t="n"/>
      <c r="E129" s="18" t="n"/>
      <c r="F129" s="5" t="n"/>
      <c r="G129" s="5" t="inlineStr">
        <is>
          <t>Hindi cinema</t>
        </is>
      </c>
      <c r="H129" s="5" t="inlineStr">
        <is>
          <t>A Hindi-film writer active in the late 2000s and early 2010s, with no Wikipedia article of his own; the similarly named article that the bare credit resolves to belongs to an artist, not to this writer.</t>
        </is>
      </c>
      <c r="I129" s="5" t="n"/>
      <c r="J129" s="5" t="inlineStr">
        <is>
          <t>With Kapoor: Namastey London (2007), D-Day (2013).</t>
        </is>
      </c>
      <c r="K129" s="19" t="inlineStr">
        <is>
          <t>The diaspora family comedy and the espionage thriller — two registers with little in common beyond their scale.</t>
        </is>
      </c>
      <c r="L129" s="19" t="inlineStr">
        <is>
          <t>Not documented.</t>
        </is>
      </c>
      <c r="M129" s="5" t="n"/>
      <c r="N129" s="19" t="inlineStr">
        <is>
          <t>Not independently documented.</t>
        </is>
      </c>
      <c r="O129" s="19" t="inlineStr">
        <is>
          <t>Two films from Kapoor's character-actor phase, both commercially substantial: Namastey London (2007), in which he plays the Punjabi father insisting on an Indian marriage for his British daughter, and Nikkhil Advani's D-Day (2013), in which he plays an underworld boss hiding in Karachi. The two parts are at opposite ends of his late range.</t>
        </is>
      </c>
      <c r="P129" s="17" t="n">
        <v>2</v>
      </c>
      <c r="Q129" s="5" t="inlineStr">
        <is>
          <t>FILM-123; FILM-143</t>
        </is>
      </c>
      <c r="R129" s="5" t="inlineStr">
        <is>
          <t>Namastey London (2007)</t>
        </is>
      </c>
      <c r="S129" s="5" t="inlineStr">
        <is>
          <t>Suresh Nair wrote two of Rishi Kapoor's better late films and has no documented biography. Namastey London (2007) gave him one of his most widely seen roles, the London Punjabi father who tricks his anglicised daughter into an Indian marriage — a part that traded on exactly the warmth audiences remembered from his romantic years. D-Day (2013) is the opposite: Kapoor as Iqbal Seth, a Dawood Ibrahim-like crime boss living under protection in Karachi, in a thriller that treats him as a figure of menace. That both scripts came from the same writer, in a career otherwise undocumented, is a reminder of how thinly Hindi cinema records its screenwriters even in the 2010s. This row is built from film credits alone.</t>
        </is>
      </c>
      <c r="T129" s="5" t="inlineStr">
        <is>
          <t>SOURCE-114; SOURCE-135</t>
        </is>
      </c>
      <c r="U129" s="5" t="inlineStr">
        <is>
          <t>Low</t>
        </is>
      </c>
    </row>
    <row r="130" ht="139" customHeight="1">
      <c r="A130" s="15" t="inlineStr">
        <is>
          <t>PERSON-129</t>
        </is>
      </c>
      <c r="B130" s="5" t="inlineStr">
        <is>
          <t>T-Series Films</t>
        </is>
      </c>
      <c r="C130" s="5" t="inlineStr">
        <is>
          <t>Production banner</t>
        </is>
      </c>
      <c r="D130" s="18" t="n"/>
      <c r="E130" s="18" t="n"/>
      <c r="F130" s="5" t="inlineStr">
        <is>
          <t>1983–present</t>
        </is>
      </c>
      <c r="G130" s="5" t="inlineStr">
        <is>
          <t>Hindi cinema; Indian music industry</t>
        </is>
      </c>
      <c r="H130" s="5" t="inlineStr">
        <is>
          <t>Super Cassettes Industries Private Limited, trading as T-Series, is an Indian record label and film studio founded by Gulshan Kumar on 11 July 1983 and now run by his son Bhushan Kumar with his brother Krishan Kumar. It is the largest music label in India with up to a 35 per cent share of the market, owns the most-viewed YouTube channel in the world, and has produced more than a hundred films.</t>
        </is>
      </c>
      <c r="I130" s="5" t="inlineStr">
        <is>
          <t>Founded in 1983 as a music label; film production followed.</t>
        </is>
      </c>
      <c r="J130" s="5" t="inlineStr">
        <is>
          <t>With Kapoor: Patiala House (2011), Sanam Re (2016). Elsewhere, a large slate of 2010s Hindi films alongside its dominant music catalogue.</t>
        </is>
      </c>
      <c r="K130" s="19" t="inlineStr">
        <is>
          <t>Films commissioned partly to generate soundtrack catalogue; multi-composer albums.</t>
        </is>
      </c>
      <c r="L130" s="19" t="inlineStr">
        <is>
          <t>A music company producing films, with soundtracks typically divided among several composers and marketed independently of the film.</t>
        </is>
      </c>
      <c r="M130" s="5" t="n"/>
      <c r="N130" s="19" t="inlineStr">
        <is>
          <t>The dominant force in Indian recorded music and, since the 2000s, one of its most prolific film producers.</t>
        </is>
      </c>
      <c r="O130" s="19" t="inlineStr">
        <is>
          <t>Two films, both late supporting roles: Patiala House (2011), in which Kapoor plays the London patriarch forbidding his son's cricket career, and Sanam Re (2016). Both were produced by Bhushan Kumar and Krishan Kumar, who have separate rows here, and both carry soundtracks split between several composers — the production model that characterises the last decade of the filmography.</t>
        </is>
      </c>
      <c r="P130" s="17" t="n">
        <v>2</v>
      </c>
      <c r="Q130" s="5" t="inlineStr">
        <is>
          <t>FILM-135; FILM-151</t>
        </is>
      </c>
      <c r="R130" s="5" t="inlineStr">
        <is>
          <t>Patiala House (2011)</t>
        </is>
      </c>
      <c r="S130" s="5" t="inlineStr">
        <is>
          <t>T-Series produced two of Rishi Kapoor's late films, and its presence in this workbook marks how much the industry's centre of gravity had shifted by the 2010s. Founded by Gulshan Kumar in 1983 and built into India's largest record label — with roughly a third of the market and, latterly, the most-viewed YouTube channel in the world — the company moved into film production under his son Bhushan Kumar and brother Krishan Kumar, commissioning films partly to feed its music catalogue. Kapoor appears in Patiala House (2011), as the embittered Southall father who forbids his son's cricket, and in Sanam Re (2016) as a grandfather. In his youth a film's songs belonged to its composer and its producer; in these, the film belongs to the music company.</t>
        </is>
      </c>
      <c r="T130" s="5" t="inlineStr">
        <is>
          <t>SOURCE-248</t>
        </is>
      </c>
      <c r="U130" s="5" t="inlineStr">
        <is>
          <t>High</t>
        </is>
      </c>
    </row>
    <row r="131" ht="154" customHeight="1">
      <c r="A131" s="15" t="inlineStr">
        <is>
          <t>PERSON-130</t>
        </is>
      </c>
      <c r="B131" s="5" t="inlineStr">
        <is>
          <t>T. Rama Rao</t>
        </is>
      </c>
      <c r="C131" s="5" t="inlineStr">
        <is>
          <t>Director; Producer</t>
        </is>
      </c>
      <c r="D131" s="17" t="n">
        <v>1938</v>
      </c>
      <c r="E131" s="17" t="n">
        <v>2022</v>
      </c>
      <c r="F131" s="5" t="inlineStr">
        <is>
          <t>1966–2000</t>
        </is>
      </c>
      <c r="G131" s="5" t="inlineStr">
        <is>
          <t>Telugu cinema; Hindi cinema</t>
        </is>
      </c>
      <c r="H131" s="5" t="inlineStr">
        <is>
          <t>Tatineni Rama Rao (29 May 1938 – 20 April 2022), born in Kapileswarapuram in the Madras Presidency, was an Indian filmmaker who directed 75 Hindi and Telugu feature films between 1966 and 2000. He died in Chennai.</t>
        </is>
      </c>
      <c r="I131" s="5" t="inlineStr">
        <is>
          <t>Directing from 1966 in Telugu cinema, later moving into Hindi remakes.</t>
        </is>
      </c>
      <c r="J131" s="5" t="inlineStr">
        <is>
          <t>With Kapoor: Naseeb Apna Apna (1986), Dosti Dushmani (1986). Elsewhere, a long run of Telugu films and their Hindi remakes.</t>
        </is>
      </c>
      <c r="K131" s="19" t="inlineStr">
        <is>
          <t>Family melodrama and revenge drama, frequently remade from Telugu originals for the Hindi market.</t>
        </is>
      </c>
      <c r="L131" s="19" t="inlineStr">
        <is>
          <t>A high-volume director working in two industries, specialising in transplanting southern commercial formulas into Hindi.</t>
        </is>
      </c>
      <c r="M131" s="5" t="n"/>
      <c r="N131" s="19" t="inlineStr">
        <is>
          <t>One of the most prolific directors of the southern-to-Hindi remake, a significant commercial current of 1980s Hindi cinema.</t>
        </is>
      </c>
      <c r="O131" s="19" t="inlineStr">
        <is>
          <t>Two films, both released in 1986 and both multi-star melodramas: Naseeb Apna Apna, produced by K. C. Bokadia with a Laxmikant–Pyarelal score, and Dosti Dushmani, written with Rahi Masoom Raza. They belong to the stretch in which a substantial share of Kapoor's films were made by South Indian directors reworking southern material, a pattern that shaped his mid-1980s output more than any single Hindi filmmaker did.</t>
        </is>
      </c>
      <c r="P131" s="17" t="n">
        <v>2</v>
      </c>
      <c r="Q131" s="5" t="inlineStr">
        <is>
          <t>FILM-052; FILM-055</t>
        </is>
      </c>
      <c r="R131" s="5" t="inlineStr">
        <is>
          <t>Naseeb Apna Apna (1986)</t>
        </is>
      </c>
      <c r="S131" s="5" t="inlineStr">
        <is>
          <t>T. Rama Rao directed two Rishi Kapoor films in a single year, and his presence identifies a distinct phase of the filmography. A Telugu director who made 75 features across two industries between 1966 and 2000, Rama Rao was among the most productive practitioners of the southern-to-Hindi remake, importing proven formulas into Bombay with large casts and strong melodrama. In 1986 he made both Naseeb Apna Apna, produced by K. C. Bokadia, and Dosti Dushmani with Kapoor, who was then taking whatever substantial lead work was available in a thin decade. Several other films of his middle period came from the same southern pipeline. Rama Rao died in Chennai in April 2022.</t>
        </is>
      </c>
      <c r="T131" s="5" t="inlineStr">
        <is>
          <t>SOURCE-249</t>
        </is>
      </c>
      <c r="U131" s="5" t="inlineStr">
        <is>
          <t>High</t>
        </is>
      </c>
    </row>
    <row r="132" ht="139" customHeight="1">
      <c r="A132" s="15" t="inlineStr">
        <is>
          <t>PERSON-131</t>
        </is>
      </c>
      <c r="B132" s="5" t="inlineStr">
        <is>
          <t>Tanishk Bagchi</t>
        </is>
      </c>
      <c r="C132" s="5" t="inlineStr">
        <is>
          <t>Song composer</t>
        </is>
      </c>
      <c r="D132" s="17" t="n">
        <v>1980</v>
      </c>
      <c r="E132" s="18" t="n"/>
      <c r="F132" s="5" t="inlineStr">
        <is>
          <t>2007–present</t>
        </is>
      </c>
      <c r="G132" s="5" t="inlineStr">
        <is>
          <t>Hindi cinema</t>
        </is>
      </c>
      <c r="H132" s="5" t="inlineStr">
        <is>
          <t>Tanishk Bagchi (born 23 November 1980 in Kolkata) is an Indian music producer, composer, singer and lyricist working in Hindi films, also credited as half of Tanishk-Vayu and known for reworking older songs for new films.</t>
        </is>
      </c>
      <c r="I132" s="5" t="inlineStr">
        <is>
          <t>Working from 2007; prominent as a composer from the mid-2010s.</t>
        </is>
      </c>
      <c r="J132" s="5" t="inlineStr">
        <is>
          <t>With Kapoor: Kapoor &amp; Sons (2016), The Body (2019). Elsewhere, Badrinath Ki Dulhania, Kesari and a long list of recreated songs.</t>
        </is>
      </c>
      <c r="K132" s="19" t="inlineStr">
        <is>
          <t>The recreated song — older melodies rebuilt for contemporary films — and the single-track commission.</t>
        </is>
      </c>
      <c r="L132" s="19" t="inlineStr">
        <is>
          <t>A producer-composer working one song at a time within multi-composer soundtracks, with a specialism in reworking existing material.</t>
        </is>
      </c>
      <c r="M132" s="5" t="inlineStr">
        <is>
          <t>Filmfare nomination for Best Lyricist for 'Ve Maahi' from Kesari at the 65th awards.</t>
        </is>
      </c>
      <c r="N132" s="19" t="inlineStr">
        <is>
          <t>The composer most identified with the 2010s practice of rebuilding old Hindi songs for new films — a practice that has repeatedly reused the soundtracks of Kapoor's own era.</t>
        </is>
      </c>
      <c r="O132" s="19" t="inlineStr">
        <is>
          <t>Two films at the end of the career, both multi-composer soundtracks: Kapoor &amp; Sons (2016) and The Body (2019), the last film released in Kapoor's lifetime. The connection carries an irony worth recording: Bagchi's stock in trade is the recreation of hits from the 1970s and 1980s, the decades in which Kapoor's own films supplied many of the originals.</t>
        </is>
      </c>
      <c r="P132" s="17" t="n">
        <v>2</v>
      </c>
      <c r="Q132" s="5" t="inlineStr">
        <is>
          <t>FILM-152; FILM-159</t>
        </is>
      </c>
      <c r="R132" s="5" t="inlineStr">
        <is>
          <t>Kapoor &amp; Sons (2016)</t>
        </is>
      </c>
      <c r="S132" s="5" t="inlineStr">
        <is>
          <t>Tanishk Bagchi contributed songs to two of Rishi Kapoor's last films. A Kolkata-born producer and composer who became one of the most employed names in 2010s Hindi film music, Bagchi is best known for recreations — rebuilding older Hindi songs, many of them from the 1970s and 1980s, for contemporary films — and for working a single track at a time inside soundtracks shared among several composers. He wrote for Kapoor &amp; Sons (2016), the Dharma family ensemble in which Kapoor played the ninety-year-old grandfather, and for The Body (2019), released five months before his death. The pattern is a closed loop: the composer whose trade is refurbishing the music of Kapoor's heyday was also, at the end, writing new songs for the films he appeared in.</t>
        </is>
      </c>
      <c r="T132" s="5" t="inlineStr">
        <is>
          <t>SOURCE-250</t>
        </is>
      </c>
      <c r="U132" s="5" t="inlineStr">
        <is>
          <t>High</t>
        </is>
      </c>
    </row>
    <row r="133" ht="154" customHeight="1">
      <c r="A133" s="15" t="inlineStr">
        <is>
          <t>PERSON-132</t>
        </is>
      </c>
      <c r="B133" s="5" t="inlineStr">
        <is>
          <t>Taz</t>
        </is>
      </c>
      <c r="C133" s="5" t="inlineStr">
        <is>
          <t>Song composer</t>
        </is>
      </c>
      <c r="D133" s="17" t="n">
        <v>1967</v>
      </c>
      <c r="E133" s="17" t="n">
        <v>2022</v>
      </c>
      <c r="F133" s="5" t="inlineStr">
        <is>
          <t>1989–2022</t>
        </is>
      </c>
      <c r="G133" s="5" t="inlineStr">
        <is>
          <t>British Asian popular music; Indian cinema</t>
        </is>
      </c>
      <c r="H133" s="5" t="inlineStr">
        <is>
          <t>Tarsame Singh Saini (23 May 1967 – 29 April 2022), known as Taz or Taz Stereo Nation and earlier as Johnny Zee, was a British singer, composer and actor of Indian descent, born in Coventry. He was the lead singer of the band Stereo Nation, formed in 1996, and is credited with pioneering cross-cultural Asian fusion music.</t>
        </is>
      </c>
      <c r="I133" s="5" t="inlineStr">
        <is>
          <t>Recording from 1989; his film debut was Don't Stop Dreaming (2007), for which he composed the soundtrack, sang the playback and acted.</t>
        </is>
      </c>
      <c r="J133" s="5" t="inlineStr">
        <is>
          <t>With Kapoor: Don't Stop Dreaming (2007), Sambar Salsa (2007). Elsewhere, the Stereo Nation albums and singles.</t>
        </is>
      </c>
      <c r="K133" s="19" t="inlineStr">
        <is>
          <t>Bhangra and Western pop fusion for a British Asian audience.</t>
        </is>
      </c>
      <c r="L133" s="19" t="inlineStr">
        <is>
          <t>A performer-composer working outside the Hindi film industry, in the British Asian music scene he helped create.</t>
        </is>
      </c>
      <c r="M133" s="5" t="n"/>
      <c r="N133" s="19" t="inlineStr">
        <is>
          <t>A pioneer of British Asian fusion music, and one of the few musicians from that scene to compose for Indian films.</t>
        </is>
      </c>
      <c r="O133" s="19" t="inlineStr">
        <is>
          <t>Two films, and they are the two English-language films in this filmography, both written and directed by Kapoor's cousin Aditya Raj Kapoor and both released in 2007. Taz's article names Kapoor directly: it records that he made his film debut with the British film Don't Stop Dreaming, composing the soundtrack and singing the playback, and that he co-starred with Rishi Kapoor, Sunil Shetty and Richard Blackwood.</t>
        </is>
      </c>
      <c r="P133" s="17" t="n">
        <v>2</v>
      </c>
      <c r="Q133" s="5" t="inlineStr">
        <is>
          <t>FILM-122; FILM-124</t>
        </is>
      </c>
      <c r="R133" s="5" t="inlineStr">
        <is>
          <t>Don't Stop Dreaming (2007)</t>
        </is>
      </c>
      <c r="S133" s="5" t="inlineStr">
        <is>
          <t>Taz composed and starred in the two English-language films in this filmography, and his article is one of the few that names Rishi Kapoor outright. Born Tarsame Singh Saini in Coventry in 1967 and performing first as Johnny Zee, he led Stereo Nation from 1996 and is credited with pioneering the British Asian fusion of bhangra and Western pop. In 2007 he made his film debut in Don't Stop Dreaming, written and directed by Kapoor's cousin Aditya Raj Kapoor, composing the score and singing the playback as well as acting alongside Kapoor, Sunil Shetty and Richard Blackwood; Sambar Salsa followed the same year. These two small films sit outside the Hindi industry altogether, and are the least documented entries in the filmography. Taz died in April 2022.</t>
        </is>
      </c>
      <c r="T133" s="5" t="inlineStr">
        <is>
          <t>SOURCE-251</t>
        </is>
      </c>
      <c r="U133" s="5" t="inlineStr">
        <is>
          <t>High</t>
        </is>
      </c>
    </row>
    <row r="134" ht="139" customHeight="1">
      <c r="A134" s="15" t="inlineStr">
        <is>
          <t>PERSON-133</t>
        </is>
      </c>
      <c r="B134" s="5" t="inlineStr">
        <is>
          <t>Tinnu Anand</t>
        </is>
      </c>
      <c r="C134" s="5" t="inlineStr">
        <is>
          <t>Director</t>
        </is>
      </c>
      <c r="D134" s="17" t="n">
        <v>1945</v>
      </c>
      <c r="E134" s="18" t="n"/>
      <c r="F134" s="5" t="n"/>
      <c r="G134" s="5" t="inlineStr">
        <is>
          <t>Hindi cinema</t>
        </is>
      </c>
      <c r="H134" s="5" t="inlineStr">
        <is>
          <t>Tinnu Anand, born Virender Raj Anand on 12 October 1945 in Peshawar, is an Indian actor, director, writer and producer in Hindi cinema with some Telugu and Tamil work. He is a son of the writer Inder Raj Anand and a brother of the producer Bittu Anand; the director Siddharth Anand is his nephew and Mukul Anand was his cousin. His notable films as director include Shahenshah, Kaalia and Kaalapani.</t>
        </is>
      </c>
      <c r="I134" s="5" t="inlineStr">
        <is>
          <t>Directing from the late 1970s; also a prolific character actor.</t>
        </is>
      </c>
      <c r="J134" s="5" t="inlineStr">
        <is>
          <t>With Kapoor: Duniya Meri Jeb Mein (1979), Yeh Ishq Nahin Aasaan (1984). Elsewhere, Kaalia, Shahenshah and Kaalapani.</t>
        </is>
      </c>
      <c r="K134" s="19" t="inlineStr">
        <is>
          <t>The star vehicle built around a single performer, most often Amitabh Bachchan.</t>
        </is>
      </c>
      <c r="L134" s="19" t="inlineStr">
        <is>
          <t>A director of broad commercial entertainments with a strong sense of star entrance and confrontation, and a parallel career as a character actor.</t>
        </is>
      </c>
      <c r="M134" s="5" t="n"/>
      <c r="N134" s="19" t="inlineStr">
        <is>
          <t>The director of Shahenshah and Kaalia, two of Amitabh Bachchan's defining vehicles, and a member of the Anand filmmaking family.</t>
        </is>
      </c>
      <c r="O134" s="19" t="inlineStr">
        <is>
          <t>Two films, both family productions in the sense that his brother Bittu Anand produced them and their father Inder Raj Anand wrote one: Duniya Meri Jeb Mein (1979) and Yeh Ishq Nahin Aasaan (1984), both with Kapoor as a romantic lead. The Anands account for six credits across this filmography in four functions.</t>
        </is>
      </c>
      <c r="P134" s="17" t="n">
        <v>2</v>
      </c>
      <c r="Q134" s="5" t="inlineStr">
        <is>
          <t>FILM-026; FILM-044</t>
        </is>
      </c>
      <c r="R134" s="5" t="inlineStr">
        <is>
          <t>Duniya Meri Jeb Mein (1979)</t>
        </is>
      </c>
      <c r="S134" s="5" t="inlineStr">
        <is>
          <t>Tinnu Anand directed two Rishi Kapoor romances, both produced by his own brother. Born in Peshawar in 1945 as Virender Raj Anand and the son of the Raj Kapoor screenwriter Inder Raj Anand, he is better known for the Amitabh Bachchan vehicles Kaalia and Shahenshah and for a long career as a character actor. His Kapoor films — Duniya Meri Jeb Mein (1979), on which his father has a writing credit, and Yeh Ishq Nahin Aasaan (1984) — were both produced by his brother Bittu Anand with Naresh Malhotra, making them family enterprises on two sides. The Anand family's six credits here, spanning writing, direction and production across three generations, illustrate how much of Hindi cinema's working structure in this period ran through households rather than studios.</t>
        </is>
      </c>
      <c r="T134" s="5" t="inlineStr">
        <is>
          <t>SOURCE-252</t>
        </is>
      </c>
      <c r="U134" s="5" t="inlineStr">
        <is>
          <t>High</t>
        </is>
      </c>
    </row>
    <row r="135" ht="139" customHeight="1">
      <c r="A135" s="15" t="inlineStr">
        <is>
          <t>PERSON-134</t>
        </is>
      </c>
      <c r="B135" s="5" t="inlineStr">
        <is>
          <t>Vanraj Bhatia</t>
        </is>
      </c>
      <c r="C135" s="5" t="inlineStr">
        <is>
          <t>Background-score composer</t>
        </is>
      </c>
      <c r="D135" s="17" t="n">
        <v>1927</v>
      </c>
      <c r="E135" s="17" t="n">
        <v>2021</v>
      </c>
      <c r="F135" s="5" t="n"/>
      <c r="G135" s="5" t="inlineStr">
        <is>
          <t>Hindi cinema; Indian New Wave; Western classical music in India</t>
        </is>
      </c>
      <c r="H135" s="5" t="inlineStr">
        <is>
          <t>Vanraj Bhatia (31 May 1927 – 7 May 2021) was an Indian composer best known for his work in Indian New Wave cinema and one of the leading composers of Western classical music in India. He received the National Film Award for Best Music Direction for the television film Tamas (1988), the Sangeet Natak Akademi Award for Creative and Experimental Music in 1989, and the Padma Shri in 2012.</t>
        </is>
      </c>
      <c r="I135" s="5" t="inlineStr">
        <is>
          <t>Composing for film from the 1970s, principally for Shyam Benegal and the parallel cinema.</t>
        </is>
      </c>
      <c r="J135" s="5" t="inlineStr">
        <is>
          <t>With Kapoor: Ajooba (1991), Damini (1993). Elsewhere, Ankur, Bhumika, Mandi, Tamas and a body of concert and chamber music.</t>
        </is>
      </c>
      <c r="K135" s="19" t="inlineStr">
        <is>
          <t>Score as dramatic argument rather than decoration; Indian material treated with Western classical technique.</t>
        </is>
      </c>
      <c r="L135" s="19" t="inlineStr">
        <is>
          <t>A classically trained composer who wrote sparely for the parallel cinema and occasionally for commercial films, with an output including opera, chamber and solo piano music.</t>
        </is>
      </c>
      <c r="M135" s="5" t="inlineStr">
        <is>
          <t>National Film Award for Best Music Direction for Tamas; Sangeet Natak Akademi Award (1989); Padma Shri (2012).</t>
        </is>
      </c>
      <c r="N135" s="19" t="inlineStr">
        <is>
          <t>The pre-eminent composer of the Indian New Wave and a serious concert composer, an unusual combination in Indian music.</t>
        </is>
      </c>
      <c r="O135" s="19" t="inlineStr">
        <is>
          <t>Two films, both as background-score composer and both commercial pictures far from his usual territory: Shashi Kapoor's Indo-Soviet fantasy Ajooba (1991), in which Rishi Kapoor was third-billed behind Amitabh Bachchan and Dimple Kapadia, and Rajkumar Santoshi's Damini (1993). That the New Wave's leading composer scored both is one of the odder facts in this filmography.</t>
        </is>
      </c>
      <c r="P135" s="17" t="n">
        <v>2</v>
      </c>
      <c r="Q135" s="5" t="inlineStr">
        <is>
          <t>FILM-080; FILM-093</t>
        </is>
      </c>
      <c r="R135" s="5" t="inlineStr">
        <is>
          <t>Damini (1993)</t>
        </is>
      </c>
      <c r="S135" s="5" t="inlineStr">
        <is>
          <t>Vanraj Bhatia, the composer of the Indian New Wave, wrote the background score for two Rishi Kapoor films. Classically trained and equally at home in concert music — his catalogue includes opera, chamber and piano works — Bhatia was Shyam Benegal's composer and the musical voice of the parallel cinema, winning the National Film Award for Tamas, the Sangeet Natak Akademi Award and the Padma Shri. His commercial credits are sparse, which makes these two striking: Ajooba (1991), the Indo-Soviet fantasy Shashi Kapoor directed with Amitabh Bachchan and a third-billed Rishi Kapoor, and Damini (1993), Rajkumar Santoshi's courtroom melodrama, in which Kapoor plays the weak husband. In a filmography scored overwhelmingly by commercial song composers, Bhatia is the one figure whose reputation rests on score rather than songs.</t>
        </is>
      </c>
      <c r="T135" s="5" t="inlineStr">
        <is>
          <t>SOURCE-253</t>
        </is>
      </c>
      <c r="U135" s="5" t="inlineStr">
        <is>
          <t>High</t>
        </is>
      </c>
    </row>
    <row r="136" ht="154" customHeight="1">
      <c r="A136" s="15" t="inlineStr">
        <is>
          <t>PERSON-135</t>
        </is>
      </c>
      <c r="B136" s="5" t="inlineStr">
        <is>
          <t>Vishal–Shekhar</t>
        </is>
      </c>
      <c r="C136" s="5" t="inlineStr">
        <is>
          <t>Song composer (composing duo)</t>
        </is>
      </c>
      <c r="D136" s="18" t="n"/>
      <c r="E136" s="18" t="n"/>
      <c r="F136" s="5" t="inlineStr">
        <is>
          <t>1999–present</t>
        </is>
      </c>
      <c r="G136" s="5" t="inlineStr">
        <is>
          <t>Hindi cinema</t>
        </is>
      </c>
      <c r="H136" s="5" t="inlineStr">
        <is>
          <t>An Indian composing, production, singing and songwriting duo of Vishal Dadlani and Shekhar Ravjiani, from Mumbai. They have featured on more than 350 film soundtracks, had 72 number-one singles, and recorded with international artists including Akon, Imogen Heap and Diplo.</t>
        </is>
      </c>
      <c r="I136" s="5" t="inlineStr">
        <is>
          <t>Working from 1999; their breakthrough was Jhankaar Beats (2003), which brought them the Filmfare RD Burman Award for New Music Talent.</t>
        </is>
      </c>
      <c r="J136" s="5" t="inlineStr">
        <is>
          <t>With Kapoor: Om Shanti Om (2007), Student of the Year (2012). Elsewhere, Jhankaar Beats, Dus, Om Shanti Om, Chennai Express and Pathaan.</t>
        </is>
      </c>
      <c r="K136" s="19" t="inlineStr">
        <is>
          <t>Dance-pop and rock-inflected romance for the post-2000 star vehicle; pastiche of earlier Hindi film styles.</t>
        </is>
      </c>
      <c r="L136" s="19" t="inlineStr">
        <is>
          <t>A rock and pop sensibility applied to mainstream film music, with Dadlani's vocals and a strong production hand.</t>
        </is>
      </c>
      <c r="M136" s="5" t="inlineStr">
        <is>
          <t>Filmfare RD Burman Award for Jhankaar Beats; Filmfare nominations for Best Music Director including for Om Shanti Om; Best Composer at the 2nd Asian Film Awards for Om Shanti Om.</t>
        </is>
      </c>
      <c r="N136" s="19" t="inlineStr">
        <is>
          <t>Among the defining composers of post-2000 commercial Hindi cinema.</t>
        </is>
      </c>
      <c r="O136" s="19" t="inlineStr">
        <is>
          <t>Two films, both of which use Kapoor as an emblem of the industry's past: Om Shanti Om (2007), where he appears as himself in a film openly pastiching the 1970s cinema he came from — and whose songs, including 'Dard-e-Disco' and 'Main Agar Kahoon', won the duo an Asian Film Award — and Student of the Year (2012), where he plays the dean. Their RD Burman Award is a further link: Burman scored twenty of Kapoor's films.</t>
        </is>
      </c>
      <c r="P136" s="17" t="n">
        <v>2</v>
      </c>
      <c r="Q136" s="5" t="inlineStr">
        <is>
          <t>FILM-125; FILM-139</t>
        </is>
      </c>
      <c r="R136" s="5" t="inlineStr">
        <is>
          <t>Om Shanti Om (2007)</t>
        </is>
      </c>
      <c r="S136" s="5" t="inlineStr">
        <is>
          <t>Vishal–Shekhar scored two films in which Rishi Kapoor appears as a figure from Hindi cinema's past. Vishal Dadlani and Shekhar Ravjiani have worked together since 1999, featuring on more than 350 soundtracks and winning the Filmfare RD Burman Award for Jhankaar Beats — an award named for the composer of twenty Kapoor films. Their Om Shanti Om (2007), for which they won Best Composer at the Asian Film Awards, is a pastiche of exactly the 1970s industry in which Kapoor had been a young star, and he appears in it as himself among a crowd of others. Student of the Year (2012) cast him as a college dean. In both, the soundtrack imitates or remembers the era he belonged to, while he plays the part of the remembered thing.</t>
        </is>
      </c>
      <c r="T136" s="5" t="inlineStr">
        <is>
          <t>SOURCE-254</t>
        </is>
      </c>
      <c r="U136" s="5" t="inlineStr">
        <is>
          <t>High</t>
        </is>
      </c>
    </row>
    <row r="137" ht="154" customHeight="1">
      <c r="A137" s="15" t="inlineStr">
        <is>
          <t>PERSON-136</t>
        </is>
      </c>
      <c r="B137" s="5" t="inlineStr">
        <is>
          <t>A. Krishnamoorthi</t>
        </is>
      </c>
      <c r="C137" s="5" t="inlineStr">
        <is>
          <t>Producer</t>
        </is>
      </c>
      <c r="D137" s="18" t="n"/>
      <c r="E137" s="18" t="n"/>
      <c r="F137" s="5" t="n"/>
      <c r="G137" s="5" t="inlineStr">
        <is>
          <t>Hindi cinema</t>
        </is>
      </c>
      <c r="H137" s="5" t="inlineStr">
        <is>
          <t>A producer credited on one film in this filmography, with no Wikipedia article of his own. He is very probably the same person as A. Krishnamurthy, credited as producer on Sindoor (1987): both films were directed by K. Ravi Shankar, both credits are for production, and the two names are transliteration variants. The identification is not certain, so this workbook keeps the two credits in separate rows rather than merging a collaboration count on circumstantial evidence.</t>
        </is>
      </c>
      <c r="I137" s="5" t="n"/>
      <c r="J137" s="5" t="inlineStr">
        <is>
          <t>With Kapoor: Gharana (1989).</t>
        </is>
      </c>
      <c r="K137" s="19" t="inlineStr">
        <is>
          <t>Family melodrama of sacrifice and respectability.</t>
        </is>
      </c>
      <c r="L137" s="19" t="inlineStr">
        <is>
          <t>Not documented.</t>
        </is>
      </c>
      <c r="M137" s="5" t="n"/>
      <c r="N137" s="19" t="inlineStr">
        <is>
          <t>Not independently documented.</t>
        </is>
      </c>
      <c r="O137" s="19" t="inlineStr">
        <is>
          <t>One film: Gharana (1989), co-produced with its director K. Ravi Shankar, in which Kapoor's character renounces the woman he loves and marries another for dowry money — an inversion of the lover-boy pattern. The film's article spells his name Krishnamoorthi.</t>
        </is>
      </c>
      <c r="P137" s="17" t="n">
        <v>1</v>
      </c>
      <c r="Q137" s="5" t="inlineStr">
        <is>
          <t>FILM-068</t>
        </is>
      </c>
      <c r="R137" s="5" t="inlineStr">
        <is>
          <t>Gharana (1989)</t>
        </is>
      </c>
      <c r="S137" s="5" t="inlineStr">
        <is>
          <t>A. Krishnamoorthi co-produced Gharana (1989) with its director K. Ravi Shankar and has no documented biography. The film is one of the more interesting of Kapoor's middle period: he plays a man who appears mercenary — abandoning one woman and marrying another for her dowry — precisely because he is sacrificing himself, which reads as a deliberate inversion of the persona Bobby had established. The same director's Sindoor (1987) credits a producer named A. Krishnamurthy, almost certainly the same man under a different transliteration; this workbook records both credits separately and notes the likely identity rather than merging them on inference.</t>
        </is>
      </c>
      <c r="T137" s="5" t="inlineStr">
        <is>
          <t>SOURCE-069</t>
        </is>
      </c>
      <c r="U137" s="5" t="inlineStr">
        <is>
          <t>Low</t>
        </is>
      </c>
    </row>
    <row r="138" ht="124" customHeight="1">
      <c r="A138" s="15" t="inlineStr">
        <is>
          <t>PERSON-137</t>
        </is>
      </c>
      <c r="B138" s="5" t="inlineStr">
        <is>
          <t>A. Krishnamurthy</t>
        </is>
      </c>
      <c r="C138" s="5" t="inlineStr">
        <is>
          <t>Producer</t>
        </is>
      </c>
      <c r="D138" s="18" t="n"/>
      <c r="E138" s="18" t="n"/>
      <c r="F138" s="5" t="n"/>
      <c r="G138" s="5" t="inlineStr">
        <is>
          <t>Hindi cinema</t>
        </is>
      </c>
      <c r="H138" s="5" t="inlineStr">
        <is>
          <t>A producer credited on one film in this filmography, with no Wikipedia article of his own. He is very probably the same person as A. Krishnamoorthi, credited as producer on Gharana (1989): both films were directed by K. Ravi Shankar and the names are transliteration variants. The identification is not certain and the two credits are kept as separate rows.</t>
        </is>
      </c>
      <c r="I138" s="5" t="n"/>
      <c r="J138" s="5" t="inlineStr">
        <is>
          <t>With Kapoor: Sindoor (1987).</t>
        </is>
      </c>
      <c r="K138" s="19" t="inlineStr">
        <is>
          <t>Family melodrama of honour and remarriage.</t>
        </is>
      </c>
      <c r="L138" s="19" t="inlineStr">
        <is>
          <t>Not documented.</t>
        </is>
      </c>
      <c r="M138" s="5" t="n"/>
      <c r="N138" s="19" t="inlineStr">
        <is>
          <t>Not independently documented.</t>
        </is>
      </c>
      <c r="O138" s="19" t="inlineStr">
        <is>
          <t>One film: Sindoor (1987), directed by K. Ravi Shankar, with a Laxmikant–Pyarelal score — one of the mid-budget melodramas that made up most of Kapoor's work in the late 1980s.</t>
        </is>
      </c>
      <c r="P138" s="17" t="n">
        <v>1</v>
      </c>
      <c r="Q138" s="5" t="inlineStr">
        <is>
          <t>FILM-061</t>
        </is>
      </c>
      <c r="R138" s="5" t="inlineStr">
        <is>
          <t>Sindoor (1987)</t>
        </is>
      </c>
      <c r="S138" s="5" t="inlineStr">
        <is>
          <t>A. Krishnamurthy produced Sindoor (1987) for the director K. Ravi Shankar and has no documented biography. The film belongs to the dense run of family melodramas Kapoor made in the second half of the 1980s, scored by Laxmikant–Pyarelal, in which he played husbands and sons rather than lovers. Shankar's other Kapoor film, Gharana (1989), credits a producer named A. Krishnamoorthi, and the two are almost certainly the same man; this workbook notes the probability in both rows rather than merging them, since merging would assert a two-film collaboration that no source confirms.</t>
        </is>
      </c>
      <c r="T138" s="5" t="inlineStr">
        <is>
          <t>SOURCE-060</t>
        </is>
      </c>
      <c r="U138" s="5" t="inlineStr">
        <is>
          <t>Low</t>
        </is>
      </c>
    </row>
    <row r="139" ht="139" customHeight="1">
      <c r="A139" s="15" t="inlineStr">
        <is>
          <t>PERSON-138</t>
        </is>
      </c>
      <c r="B139" s="5" t="inlineStr">
        <is>
          <t>AA Films</t>
        </is>
      </c>
      <c r="C139" s="5" t="inlineStr">
        <is>
          <t>Production banner</t>
        </is>
      </c>
      <c r="D139" s="18" t="n"/>
      <c r="E139" s="18" t="n"/>
      <c r="F139" s="5" t="n"/>
      <c r="G139" s="5" t="inlineStr">
        <is>
          <t>Hindi cinema</t>
        </is>
      </c>
      <c r="H139" s="5" t="inlineStr">
        <is>
          <t>An Indian motion-picture distribution company owned by Anil Thadani and the actress Raveena Tandon, which mainly distributes Hindi and Hindi-dubbed films. Its article gives the founding year as 1993 in Mumbai, which is three years after the Kapoor film it is credited on; the discrepancy is unresolved and may indicate a later distribution credit or a different company of the same name.</t>
        </is>
      </c>
      <c r="I139" s="5" t="n"/>
      <c r="J139" s="5" t="inlineStr">
        <is>
          <t>With Kapoor: Sheshnaag (1990).</t>
        </is>
      </c>
      <c r="K139" s="19" t="inlineStr">
        <is>
          <t>Distribution rather than production; a broad commercial slate.</t>
        </is>
      </c>
      <c r="L139" s="19" t="inlineStr">
        <is>
          <t>A distributor rather than a creative house.</t>
        </is>
      </c>
      <c r="M139" s="5" t="n"/>
      <c r="N139" s="19" t="inlineStr">
        <is>
          <t>One of the significant Hindi-film distributors of the 2000s and 2010s.</t>
        </is>
      </c>
      <c r="O139" s="19" t="inlineStr">
        <is>
          <t>One credit, on the snake-deity fantasy Sheshnaag (1990), which Iqbal Durrani directed in the wake of Nagina's success. Note the chronology: the company's own article dates its founding to 1993, after this film's release, so the credit either reflects a later distribution arrangement or a different entity.</t>
        </is>
      </c>
      <c r="P139" s="17" t="n">
        <v>1</v>
      </c>
      <c r="Q139" s="5" t="inlineStr">
        <is>
          <t>FILM-077</t>
        </is>
      </c>
      <c r="R139" s="5" t="inlineStr">
        <is>
          <t>Sheshnaag (1990)</t>
        </is>
      </c>
      <c r="S139" s="5" t="inlineStr">
        <is>
          <t>AA Films appears once in this filmography, on Sheshnaag (1990), and the credit does not sit easily with the company's own history. The firm, owned by Anil Thadani and Raveena Tandon, became one of Hindi cinema's busiest distributors, but its article dates its founding to 1993 — three years after the film. Either the credit records a later distribution of the title, or the banner named on the film is a different company. Sheshnaag itself is one of the folk-fantasy pictures Kapoor made after Nagina proved the formula, with Laxmikant–Pyarelal's music and a plot of serpent deities rather than courtship. The row records the inconsistency rather than resolving it, and is graded accordingly.</t>
        </is>
      </c>
      <c r="T139" s="5" t="inlineStr">
        <is>
          <t>SOURCE-255</t>
        </is>
      </c>
      <c r="U139" s="5" t="inlineStr">
        <is>
          <t>Low</t>
        </is>
      </c>
    </row>
    <row r="140" ht="64" customHeight="1">
      <c r="A140" s="15" t="inlineStr">
        <is>
          <t>PERSON-139</t>
        </is>
      </c>
      <c r="B140" s="5" t="inlineStr">
        <is>
          <t>Aadesh K. Arjun</t>
        </is>
      </c>
      <c r="C140" s="5" t="inlineStr">
        <is>
          <t>Writer</t>
        </is>
      </c>
      <c r="D140" s="18" t="n"/>
      <c r="E140" s="18" t="n"/>
      <c r="F140" s="5" t="n"/>
      <c r="G140" s="5" t="inlineStr">
        <is>
          <t>Hindi cinema</t>
        </is>
      </c>
      <c r="H140" s="5" t="inlineStr">
        <is>
          <t>A Hindi-film writer credited on one film in this filmography, with no Wikipedia article of his own.</t>
        </is>
      </c>
      <c r="I140" s="5" t="n"/>
      <c r="J140" s="5" t="inlineStr">
        <is>
          <t>With Kapoor: Saajan Ka Ghar (1994).</t>
        </is>
      </c>
      <c r="K140" s="19" t="inlineStr">
        <is>
          <t>Household melodrama.</t>
        </is>
      </c>
      <c r="L140" s="19" t="inlineStr">
        <is>
          <t>Not documented.</t>
        </is>
      </c>
      <c r="M140" s="5" t="n"/>
      <c r="N140" s="19" t="inlineStr">
        <is>
          <t>Not independently documented.</t>
        </is>
      </c>
      <c r="O140" s="19" t="inlineStr">
        <is>
          <t>One film: Saajan Ka Ghar (1994), a Nadeem–Shravan-scored melodrama from the last stretch of Kapoor's lead career.</t>
        </is>
      </c>
      <c r="P140" s="17" t="n">
        <v>1</v>
      </c>
      <c r="Q140" s="5" t="inlineStr">
        <is>
          <t>FILM-100</t>
        </is>
      </c>
      <c r="R140" s="5" t="inlineStr">
        <is>
          <t>Saajan Ka Ghar (1994)</t>
        </is>
      </c>
      <c r="S140" s="5" t="inlineStr">
        <is>
          <t>Aadesh K. Arjun has one credit in this filmography, as a writer on Saajan Ka Ghar (1994), and no documented biography. The film is one of four Kapoor released that year, all of them modest, and belongs to the Nadeem–Shravan period in which the soundtrack was usually a film's only durable asset. This row exists because the workbook records every credited collaborator, and it is built from the film's credits alone.</t>
        </is>
      </c>
      <c r="T140" s="5" t="inlineStr">
        <is>
          <t>SOURCE-092</t>
        </is>
      </c>
      <c r="U140" s="5" t="inlineStr">
        <is>
          <t>Low</t>
        </is>
      </c>
    </row>
    <row r="141" ht="109" customHeight="1">
      <c r="A141" s="15" t="inlineStr">
        <is>
          <t>PERSON-140</t>
        </is>
      </c>
      <c r="B141" s="5" t="inlineStr">
        <is>
          <t>Aasia Films Pvt. Ltd.</t>
        </is>
      </c>
      <c r="C141" s="5" t="inlineStr">
        <is>
          <t>Production banner</t>
        </is>
      </c>
      <c r="D141" s="18" t="n"/>
      <c r="E141" s="18" t="n"/>
      <c r="F141" s="5" t="n"/>
      <c r="G141" s="5" t="inlineStr">
        <is>
          <t>Hindi cinema</t>
        </is>
      </c>
      <c r="H141" s="5" t="inlineStr">
        <is>
          <t>The production banner credited on Ajooba (1991), the Indo-Soviet fantasy Shashi Kapoor directed and produced. The company has no Wikipedia article of its own; the film's own credits name Shashi Kapoor as producer alongside this banner and the Gorky Film Studio.</t>
        </is>
      </c>
      <c r="I141" s="5" t="n"/>
      <c r="J141" s="5" t="inlineStr">
        <is>
          <t>With Kapoor: Ajooba (1991).</t>
        </is>
      </c>
      <c r="K141" s="19" t="inlineStr">
        <is>
          <t>Not documented; its one credit here is a large-scale international co-production.</t>
        </is>
      </c>
      <c r="L141" s="19" t="inlineStr">
        <is>
          <t>Not documented.</t>
        </is>
      </c>
      <c r="M141" s="5" t="n"/>
      <c r="N141" s="19" t="inlineStr">
        <is>
          <t>Not independently documented.</t>
        </is>
      </c>
      <c r="O141" s="19" t="inlineStr">
        <is>
          <t>One film: Ajooba (1991), in which Rishi Kapoor was third-billed behind Amitabh Bachchan and Dimple Kapadia in a fantasy adventure directed by his uncle Shashi Kapoor and co-produced with the Soviet Gorky Film Studio. It was an expensive failure and one of the odder entries in the filmography.</t>
        </is>
      </c>
      <c r="P141" s="17" t="n">
        <v>1</v>
      </c>
      <c r="Q141" s="5" t="inlineStr">
        <is>
          <t>FILM-080</t>
        </is>
      </c>
      <c r="R141" s="5" t="inlineStr">
        <is>
          <t>Ajooba (1991)</t>
        </is>
      </c>
      <c r="S141" s="5" t="inlineStr">
        <is>
          <t>Aasia Films is the banner behind Ajooba (1991), the Indo-Soviet fantasy that Shashi Kapoor directed and produced with the Gorky Film Studio, and it has no recorded history of its own. The film cast Amitabh Bachchan as a masked avenger with Dimple Kapadia and a third-billed Rishi Kapoor, was shot partly in the Soviet Union with Soviet crew, and failed badly. For this filmography it is notable as the only international co-production and as one of three films in which Rishi Kapoor worked for his uncle. The banner's row rests on the film's credits alone.</t>
        </is>
      </c>
      <c r="T141" s="5" t="inlineStr">
        <is>
          <t>SOURCE-075</t>
        </is>
      </c>
      <c r="U141" s="5" t="inlineStr">
        <is>
          <t>Low</t>
        </is>
      </c>
    </row>
    <row r="142" ht="124" customHeight="1">
      <c r="A142" s="15" t="inlineStr">
        <is>
          <t>PERSON-141</t>
        </is>
      </c>
      <c r="B142" s="5" t="inlineStr">
        <is>
          <t>Abbas–Mustan</t>
        </is>
      </c>
      <c r="C142" s="5" t="inlineStr">
        <is>
          <t>Director</t>
        </is>
      </c>
      <c r="D142" s="18" t="n"/>
      <c r="E142" s="18" t="n"/>
      <c r="F142" s="5" t="inlineStr">
        <is>
          <t>1985–present</t>
        </is>
      </c>
      <c r="G142" s="5" t="inlineStr">
        <is>
          <t>Hindi cinema</t>
        </is>
      </c>
      <c r="H142" s="5" t="inlineStr">
        <is>
          <t>An Indian filmmaking duo of the brothers Abbas Alibhai Burmawalla and Mustan Alibhai Burmawalla, born in 1950 in Mumbai, who work as directors and producers and are known for stylish suspense, action and romantic thrillers with dark-lit visuals.</t>
        </is>
      </c>
      <c r="I142" s="5" t="inlineStr">
        <is>
          <t>Directing from 1985.</t>
        </is>
      </c>
      <c r="J142" s="5" t="inlineStr">
        <is>
          <t>With Kapoor: Daraar (1996). Elsewhere, Baazigar, Soldier, Ajnabee and Race.</t>
        </is>
      </c>
      <c r="K142" s="19" t="inlineStr">
        <is>
          <t>The obsessive antagonist, the deceived spouse, and the thriller plotted as a series of reveals.</t>
        </is>
      </c>
      <c r="L142" s="19" t="inlineStr">
        <is>
          <t>Glossy, tightly plotted suspense with a strong visual signature and a preference for casting stars against type.</t>
        </is>
      </c>
      <c r="M142" s="5" t="n"/>
      <c r="N142" s="19" t="inlineStr">
        <is>
          <t>Among the most commercially successful thriller directors of 1990s and 2000s Hindi cinema.</t>
        </is>
      </c>
      <c r="O142" s="19" t="inlineStr">
        <is>
          <t>One film: Daraar (1996), in which Kapoor plays the obsessive, violent husband from whom Juhi Chawla's character flees — one of the few outright menacing roles of his leading career and a deliberate use of his accumulated romantic goodwill against the audience's expectations. It is also among his last films as a lead.</t>
        </is>
      </c>
      <c r="P142" s="17" t="n">
        <v>1</v>
      </c>
      <c r="Q142" s="5" t="inlineStr">
        <is>
          <t>FILM-108</t>
        </is>
      </c>
      <c r="R142" s="5" t="inlineStr">
        <is>
          <t>Daraar (1996)</t>
        </is>
      </c>
      <c r="S142" s="5" t="inlineStr">
        <is>
          <t>Abbas–Mustan directed one Rishi Kapoor film, and it is among the sharpest uses anyone made of his image. The Burmawalla brothers, working together since 1985, built a career on glossy thrillers in which a familiar star turns out to be the threat — Baazigar being the best-known case. In Daraar (1996) they cast Kapoor as a husband whose jealousy becomes violent and from whom his wife escapes, inverting twenty years of accumulated romantic sympathy. The film came at the very end of his run as a lead, and the role anticipates the late character work — the villain of Agneepath, the crime boss of D-Day — that would eventually re-establish him. Their other films with him do not exist: one credit, one performance, and a durable one.</t>
        </is>
      </c>
      <c r="T142" s="5" t="inlineStr">
        <is>
          <t>SOURCE-256</t>
        </is>
      </c>
      <c r="U142" s="5" t="inlineStr">
        <is>
          <t>High</t>
        </is>
      </c>
    </row>
    <row r="143" ht="79" customHeight="1">
      <c r="A143" s="15" t="inlineStr">
        <is>
          <t>PERSON-142</t>
        </is>
      </c>
      <c r="B143" s="5" t="inlineStr">
        <is>
          <t>Abdol Samee Siddiqui</t>
        </is>
      </c>
      <c r="C143" s="5" t="inlineStr">
        <is>
          <t>Producer</t>
        </is>
      </c>
      <c r="D143" s="18" t="n"/>
      <c r="E143" s="18" t="n"/>
      <c r="F143" s="5" t="n"/>
      <c r="G143" s="5" t="inlineStr">
        <is>
          <t>Hindi cinema</t>
        </is>
      </c>
      <c r="H143" s="5" t="inlineStr">
        <is>
          <t>A producer credited on one film in this filmography, with no Wikipedia article of his own.</t>
        </is>
      </c>
      <c r="I143" s="5" t="n"/>
      <c r="J143" s="5" t="inlineStr">
        <is>
          <t>With Kapoor: Halla Bol (2008).</t>
        </is>
      </c>
      <c r="K143" s="19" t="inlineStr">
        <is>
          <t>Not documented.</t>
        </is>
      </c>
      <c r="L143" s="19" t="inlineStr">
        <is>
          <t>Not documented.</t>
        </is>
      </c>
      <c r="M143" s="5" t="n"/>
      <c r="N143" s="19" t="inlineStr">
        <is>
          <t>Not independently documented.</t>
        </is>
      </c>
      <c r="O143" s="19" t="inlineStr">
        <is>
          <t>One film: Rajkumar Santoshi's Halla Bol (2008), a drama about a film star who becomes a witness to a murder, in which Kapoor appears in support during the early years of his character-actor phase.</t>
        </is>
      </c>
      <c r="P143" s="17" t="n">
        <v>1</v>
      </c>
      <c r="Q143" s="5" t="inlineStr">
        <is>
          <t>FILM-126</t>
        </is>
      </c>
      <c r="R143" s="5" t="inlineStr">
        <is>
          <t>Halla Bol (2008)</t>
        </is>
      </c>
      <c r="S143" s="5" t="inlineStr">
        <is>
          <t>Abdol Samee Siddiqui is credited as a producer on Halla Bol (2008) and has no documented biography. The film, directed by Rajkumar Santoshi, who had made Damini with Kapoor fifteen years earlier, is a drama about celebrity and moral courage in which Kapoor took a supporting part. The credit falls in the period just after Hum Tum and Fanaa, when Kapoor was taking whatever supporting work was offered and before the Dharma and Yash Raj films consolidated his second career. This row is built from the film's credits alone.</t>
        </is>
      </c>
      <c r="T143" s="5" t="inlineStr">
        <is>
          <t>SOURCE-119</t>
        </is>
      </c>
      <c r="U143" s="5" t="inlineStr">
        <is>
          <t>Low</t>
        </is>
      </c>
    </row>
    <row r="144" ht="109" customHeight="1">
      <c r="A144" s="15" t="inlineStr">
        <is>
          <t>PERSON-143</t>
        </is>
      </c>
      <c r="B144" s="5" t="inlineStr">
        <is>
          <t>Abhay Kanwar</t>
        </is>
      </c>
      <c r="C144" s="5" t="inlineStr">
        <is>
          <t>Writer</t>
        </is>
      </c>
      <c r="D144" s="18" t="n"/>
      <c r="E144" s="18" t="n"/>
      <c r="F144" s="5" t="n"/>
      <c r="G144" s="5" t="inlineStr">
        <is>
          <t>Hindi cinema</t>
        </is>
      </c>
      <c r="H144" s="5" t="inlineStr">
        <is>
          <t>A writer credited on one film in this filmography, with no Wikipedia article of his own. The article on the film's director, Raj Kanwar, names Abhay Raj Kanwar as one of his two sons, which is almost certainly this writer — the credit is on his father's film.</t>
        </is>
      </c>
      <c r="I144" s="5" t="n"/>
      <c r="J144" s="5" t="inlineStr">
        <is>
          <t>With Kapoor: Sadiyaan (2010).</t>
        </is>
      </c>
      <c r="K144" s="19" t="inlineStr">
        <is>
          <t>Partition romance and family separation.</t>
        </is>
      </c>
      <c r="L144" s="19" t="inlineStr">
        <is>
          <t>Not documented.</t>
        </is>
      </c>
      <c r="M144" s="5" t="n"/>
      <c r="N144" s="19" t="inlineStr">
        <is>
          <t>Not independently documented.</t>
        </is>
      </c>
      <c r="O144" s="19" t="inlineStr">
        <is>
          <t>One film: Sadiyaan (2010), directed by his father Raj Kanwar — the director of Deewana (1992), the film in which Kapoor's leading career effectively ended. Eighteen years later the same director, now with his son writing, cast Kapoor in a supporting role in a partition-era romance.</t>
        </is>
      </c>
      <c r="P144" s="17" t="n">
        <v>1</v>
      </c>
      <c r="Q144" s="5" t="inlineStr">
        <is>
          <t>FILM-133</t>
        </is>
      </c>
      <c r="R144" s="5" t="inlineStr">
        <is>
          <t>Sadiyaan (2010)</t>
        </is>
      </c>
      <c r="S144" s="5" t="inlineStr">
        <is>
          <t>Abhay Kanwar wrote Sadiyaan (2010) for its director, who was by all appearances his father: Raj Kanwar's own article names Abhay Raj Kanwar among his children, and the credit sits on Raj Kanwar's film. The connection matters only as a detail of how this filmography works — Raj Kanwar had directed Deewana in 1992, the film in which Kapoor handed the romantic lead to Shah Rukh Khan, and he returned to Kapoor eighteen years later for a partition romance in which the ageing actor plays a supporting part, now from his son's script. Nothing else about the writer is documented, and this row rests on the film's credits.</t>
        </is>
      </c>
      <c r="T144" s="5" t="inlineStr">
        <is>
          <t>SOURCE-125</t>
        </is>
      </c>
      <c r="U144" s="5" t="inlineStr">
        <is>
          <t>Low</t>
        </is>
      </c>
    </row>
    <row r="145" ht="139" customHeight="1">
      <c r="A145" s="15" t="inlineStr">
        <is>
          <t>PERSON-144</t>
        </is>
      </c>
      <c r="B145" s="5" t="inlineStr">
        <is>
          <t>Abhinav Kashyap</t>
        </is>
      </c>
      <c r="C145" s="5" t="inlineStr">
        <is>
          <t>Director; Writer</t>
        </is>
      </c>
      <c r="D145" s="17" t="n">
        <v>1974</v>
      </c>
      <c r="E145" s="18" t="n"/>
      <c r="F145" s="5" t="inlineStr">
        <is>
          <t>1995–present</t>
        </is>
      </c>
      <c r="G145" s="5" t="inlineStr">
        <is>
          <t>Hindi cinema</t>
        </is>
      </c>
      <c r="H145" s="5" t="inlineStr">
        <is>
          <t>Abhinav Singh Kashyap (born 6 September 1974 in Obra, Uttar Pradesh) is an Indian actor, director and screenwriter who directed and co-wrote Dabangg (2010). He is a brother of the director Anurag Kashyap.</t>
        </is>
      </c>
      <c r="I145" s="5" t="inlineStr">
        <is>
          <t>Working from 1995; directorial debut Dabangg (2010).</t>
        </is>
      </c>
      <c r="J145" s="5" t="inlineStr">
        <is>
          <t>With Kapoor: Besharam (2013). Elsewhere, Dabangg.</t>
        </is>
      </c>
      <c r="K145" s="19" t="inlineStr">
        <is>
          <t>The irreverent action comedy built around a star's swagger.</t>
        </is>
      </c>
      <c r="L145" s="19" t="inlineStr">
        <is>
          <t>Broad commercial comedy with an ironic edge, pitched at a mass audience.</t>
        </is>
      </c>
      <c r="M145" s="5" t="n"/>
      <c r="N145" s="19" t="inlineStr">
        <is>
          <t>The director of Dabangg, one of the biggest commercial successes of 2010s Hindi cinema and the start of a franchise.</t>
        </is>
      </c>
      <c r="O145" s="19" t="inlineStr">
        <is>
          <t>One film, and an unusual one: Besharam (2013), his follow-up to Dabangg, is the only film in which Rishi Kapoor, his wife Neetu Singh and their son Ranbir Kapoor all appear — the parents as a pair of police officers, the son as the title character. The film failed commercially, which makes its family curiosity its main claim on this filmography.</t>
        </is>
      </c>
      <c r="P145" s="17" t="n">
        <v>1</v>
      </c>
      <c r="Q145" s="5" t="inlineStr">
        <is>
          <t>FILM-145</t>
        </is>
      </c>
      <c r="R145" s="5" t="inlineStr">
        <is>
          <t>Besharam (2013)</t>
        </is>
      </c>
      <c r="S145" s="5" t="inlineStr">
        <is>
          <t>Abhinav Kashyap directed the only film in which three generations of this Kapoor household appear together. After Dabangg (2010), which he directed and co-wrote and which became one of the decade's biggest hits, Kashyap made Besharam in 2013 with Ranbir Kapoor as a cheerful car thief and both of Ranbir's parents — Rishi Kapoor and Neetu Singh — as police officers pursuing him. It was a critical and commercial disappointment, and Kashyap's career did not recover its earlier momentum. For this filmography the film matters less as work than as a family document: Kapoor had acted opposite Neetu Singh in a dozen films in the 1970s, and this is the one where they share the screen with their son.</t>
        </is>
      </c>
      <c r="T145" s="5" t="inlineStr">
        <is>
          <t>SOURCE-257</t>
        </is>
      </c>
      <c r="U145" s="5" t="inlineStr">
        <is>
          <t>High</t>
        </is>
      </c>
    </row>
    <row r="146" ht="109" customHeight="1">
      <c r="A146" s="15" t="inlineStr">
        <is>
          <t>PERSON-145</t>
        </is>
      </c>
      <c r="B146" s="5" t="inlineStr">
        <is>
          <t>Abhishek Chaubey</t>
        </is>
      </c>
      <c r="C146" s="5" t="inlineStr">
        <is>
          <t>Producer</t>
        </is>
      </c>
      <c r="D146" s="18" t="n"/>
      <c r="E146" s="18" t="n"/>
      <c r="F146" s="5" t="inlineStr">
        <is>
          <t>2002–present</t>
        </is>
      </c>
      <c r="G146" s="5" t="inlineStr">
        <is>
          <t>Hindi cinema</t>
        </is>
      </c>
      <c r="H146" s="5" t="inlineStr">
        <is>
          <t>Abhishek Chaubey, from Ayodhya in Uttar Pradesh and educated at Hindu College, Delhi, is an Indian director, screenwriter and film producer working in Hindi cinema. His own films have won awards including a Critics Award for Best Film at the 65th Filmfare Awards.</t>
        </is>
      </c>
      <c r="I146" s="5" t="inlineStr">
        <is>
          <t>Working from 2002, initially as an assistant to Vishal Bhardwaj.</t>
        </is>
      </c>
      <c r="J146" s="5" t="inlineStr">
        <is>
          <t>With Kapoor: Sharmaji Namkeen (2022). Elsewhere, Ishqiya, Udta Punjab and Sonchiriya as director.</t>
        </is>
      </c>
      <c r="K146" s="19" t="inlineStr">
        <is>
          <t>Regional milieu rendered precisely; moral ambiguity; the small town and its codes.</t>
        </is>
      </c>
      <c r="L146" s="19" t="inlineStr">
        <is>
          <t>A director of texture and dialect who also produces work by others in a similar register.</t>
        </is>
      </c>
      <c r="M146" s="5" t="inlineStr">
        <is>
          <t>Critics Award for Best Film at the 65th Filmfare Awards.</t>
        </is>
      </c>
      <c r="N146" s="19" t="inlineStr">
        <is>
          <t>One of the most critically regarded Hindi directors of his generation.</t>
        </is>
      </c>
      <c r="O146" s="19" t="inlineStr">
        <is>
          <t>One credit, as a producer of Sharmaji Namkeen (2022) — the film Kapoor was shooting when he died in April 2020, completed with Paresh Rawal playing the remaining scenes as the same character and released posthumously. It is the last entry in this filmography.</t>
        </is>
      </c>
      <c r="P146" s="17" t="n">
        <v>1</v>
      </c>
      <c r="Q146" s="5" t="inlineStr">
        <is>
          <t>FILM-160</t>
        </is>
      </c>
      <c r="R146" s="5" t="inlineStr">
        <is>
          <t>Sharmaji Namkeen (2022)</t>
        </is>
      </c>
      <c r="S146" s="5" t="inlineStr">
        <is>
          <t>Abhishek Chaubey is credited as a producer on Rishi Kapoor's last film. A director from Ayodhya who came up as Vishal Bhardwaj's assistant and made Ishqiya, Udta Punjab and Sonchiriya — work that earned him a Critics Award for Best Film at the 65th Filmfare Awards — Chaubey also produces, and Sharmaji Namkeen was among those projects. Kapoor plays a retired man who discovers a talent for cooking and joins a women's kitchen party circuit; he had shot roughly half the film when he died in April 2020. Excel Entertainment completed it by having Paresh Rawal perform the remaining scenes as the same character, an arrangement without real precedent in Hindi cinema, and released it in 2022.</t>
        </is>
      </c>
      <c r="T146" s="5" t="inlineStr">
        <is>
          <t>SOURCE-258</t>
        </is>
      </c>
      <c r="U146" s="5" t="inlineStr">
        <is>
          <t>Medium</t>
        </is>
      </c>
    </row>
    <row r="147" ht="94" customHeight="1">
      <c r="A147" s="15" t="inlineStr">
        <is>
          <t>PERSON-146</t>
        </is>
      </c>
      <c r="B147" s="5" t="inlineStr">
        <is>
          <t>Abhishek-Ishteyak</t>
        </is>
      </c>
      <c r="C147" s="5" t="inlineStr">
        <is>
          <t>Song composer</t>
        </is>
      </c>
      <c r="D147" s="18" t="n"/>
      <c r="E147" s="18" t="n"/>
      <c r="F147" s="5" t="n"/>
      <c r="G147" s="5" t="inlineStr">
        <is>
          <t>Hindi cinema</t>
        </is>
      </c>
      <c r="H147" s="5" t="inlineStr">
        <is>
          <t>A composing pair credited on one film in this filmography, with no Wikipedia article under this name.</t>
        </is>
      </c>
      <c r="I147" s="5" t="n"/>
      <c r="J147" s="5" t="inlineStr">
        <is>
          <t>With Kapoor: Chintu Ji (2009).</t>
        </is>
      </c>
      <c r="K147" s="19" t="inlineStr">
        <is>
          <t>Not documented.</t>
        </is>
      </c>
      <c r="L147" s="19" t="inlineStr">
        <is>
          <t>Not documented.</t>
        </is>
      </c>
      <c r="M147" s="5" t="n"/>
      <c r="N147" s="19" t="inlineStr">
        <is>
          <t>Not independently documented.</t>
        </is>
      </c>
      <c r="O147" s="19" t="inlineStr">
        <is>
          <t>One film: Chintu Ji (2009), the comedy in which Kapoor plays a fictionalised version of himself — a star called Chintu Ji, his own lifelong nickname — returning to the village of his birth. They share the soundtrack with Sukhwinder Singh.</t>
        </is>
      </c>
      <c r="P147" s="17" t="n">
        <v>1</v>
      </c>
      <c r="Q147" s="5" t="inlineStr">
        <is>
          <t>FILM-132</t>
        </is>
      </c>
      <c r="R147" s="5" t="inlineStr">
        <is>
          <t>Chintu Ji (2009)</t>
        </is>
      </c>
      <c r="S147" s="5" t="inlineStr">
        <is>
          <t>Abhishek-Ishteyak composed songs for Chintu Ji (2009) alongside Sukhwinder Singh, and nothing about the pair is documented. The film is one of the most self-referential in the filmography: Kapoor plays a film star named Chintu Ji, which was his own nickname from childhood and the name the industry used for him, who returns to the village where he was born and is received as a celebrity. It belongs to the brief period after Hum Tum when Kapoor was experimenting with roles built directly on his own public persona. This row is built from the film's credits alone.</t>
        </is>
      </c>
      <c r="T147" s="5" t="inlineStr">
        <is>
          <t>SOURCE-124</t>
        </is>
      </c>
      <c r="U147" s="5" t="inlineStr">
        <is>
          <t>Low</t>
        </is>
      </c>
    </row>
    <row r="148" ht="124" customHeight="1">
      <c r="A148" s="15" t="inlineStr">
        <is>
          <t>PERSON-147</t>
        </is>
      </c>
      <c r="B148" s="5" t="inlineStr">
        <is>
          <t>Ajay Devgn</t>
        </is>
      </c>
      <c r="C148" s="5" t="inlineStr">
        <is>
          <t>Producer</t>
        </is>
      </c>
      <c r="D148" s="17" t="n">
        <v>1969</v>
      </c>
      <c r="E148" s="18" t="n"/>
      <c r="F148" s="5" t="inlineStr">
        <is>
          <t>1991–present</t>
        </is>
      </c>
      <c r="G148" s="5" t="inlineStr">
        <is>
          <t>Hindi cinema</t>
        </is>
      </c>
      <c r="H148" s="5" t="inlineStr">
        <is>
          <t>Vishal Virender Devgan (born 2 April 1969), known as Ajay Devgn, is an Indian actor, director and producer who has appeared in over 100 Hindi films. He has won four National Film Awards and four Filmfare Awards and received the Padma Shri in 2016. He made his debut with Phool Aur Kaante (1991) and founded the production house Ajay Devgn FFilms.</t>
        </is>
      </c>
      <c r="I148" s="5" t="inlineStr">
        <is>
          <t>Acting debut Phool Aur Kaante (1991); his production company's first film was Raju Chacha (2000).</t>
        </is>
      </c>
      <c r="J148" s="5" t="inlineStr">
        <is>
          <t>With Kapoor: Raju Chacha (2000). Elsewhere, Zakhm, The Legend of Bhagat Singh, Singham and Drishyam.</t>
        </is>
      </c>
      <c r="K148" s="19" t="inlineStr">
        <is>
          <t>As a producer, star-driven vehicles for himself; as an actor, intensity and understatement.</t>
        </is>
      </c>
      <c r="L148" s="19" t="inlineStr">
        <is>
          <t>A star-producer whose company exists primarily to make his own films.</t>
        </is>
      </c>
      <c r="M148" s="5" t="inlineStr">
        <is>
          <t>Four National Film Awards, including Best Actor for Zakhm and for The Legend of Bhagat Singh, four Filmfare Awards, and the Padma Shri in 2016.</t>
        </is>
      </c>
      <c r="N148" s="19" t="inlineStr">
        <is>
          <t>One of the most durable leading men of post-1991 Hindi cinema and a significant star-producer.</t>
        </is>
      </c>
      <c r="O148" s="19" t="inlineStr">
        <is>
          <t>One film: Raju Chacha (2000), which Devgn produced as the first release of his own company and starred in, with Kapoor in support. The film was an expensive failure. It belongs to the thin stretch between Kapoor's last leads and his 2004 reinvention, when his work consisted largely of supporting roles in other stars' vehicles.</t>
        </is>
      </c>
      <c r="P148" s="17" t="n">
        <v>1</v>
      </c>
      <c r="Q148" s="5" t="inlineStr">
        <is>
          <t>FILM-112</t>
        </is>
      </c>
      <c r="R148" s="5" t="inlineStr">
        <is>
          <t>Raju Chacha (2000)</t>
        </is>
      </c>
      <c r="S148" s="5" t="inlineStr">
        <is>
          <t>Ajay Devgn produced one film in this filmography, and it marks the low point between Rishi Kapoor's two careers. Devgn, who debuted in 1991 and became one of the most durable leading men of his generation with four National Film Awards and a Padma Shri, launched his own production company with Raju Chacha in 2000, a lavish children's fantasy he also starred in; it failed expensively. Kapoor appears in support, at a point when he was no longer being cast as a lead and had not yet been rediscovered as a character actor — the four-year gap that Hum Tum would close in 2004. The credit is a reminder that his reinvention was not continuous with his stardom but followed a genuine interval of diminished work.</t>
        </is>
      </c>
      <c r="T148" s="5" t="inlineStr">
        <is>
          <t>SOURCE-259</t>
        </is>
      </c>
      <c r="U148" s="5" t="inlineStr">
        <is>
          <t>High</t>
        </is>
      </c>
    </row>
    <row r="149" ht="124" customHeight="1">
      <c r="A149" s="15" t="inlineStr">
        <is>
          <t>PERSON-148</t>
        </is>
      </c>
      <c r="B149" s="5" t="inlineStr">
        <is>
          <t>Ajay–Atul</t>
        </is>
      </c>
      <c r="C149" s="5" t="inlineStr">
        <is>
          <t>Song composer (composing duo)</t>
        </is>
      </c>
      <c r="D149" s="18" t="n"/>
      <c r="E149" s="18" t="n"/>
      <c r="F149" s="5" t="inlineStr">
        <is>
          <t>2000–present</t>
        </is>
      </c>
      <c r="G149" s="5" t="inlineStr">
        <is>
          <t>Marathi cinema; Hindi cinema</t>
        </is>
      </c>
      <c r="H149" s="5" t="inlineStr">
        <is>
          <t>An Indian composing duo of the brothers Ajay Ashok Gogavale and Atul Ashok Gogavale, from Pune, working predominantly in Marathi and Hindi films. They have won a National Film Award, four Filmfare Marathi Awards, three Maharashtra State Film Awards, twelve Mirchi Music Awards and two Zee Cine Awards, and appeared in the Forbes India Celebrity 100 list.</t>
        </is>
      </c>
      <c r="I149" s="5" t="inlineStr">
        <is>
          <t>Composing from 2000, first in Marathi cinema.</t>
        </is>
      </c>
      <c r="J149" s="5" t="inlineStr">
        <is>
          <t>With Kapoor: Agneepath (2012). Elsewhere, Sairat, Dhadak, Natarang and Jodhaa Akbar's Marathi counterparts.</t>
        </is>
      </c>
      <c r="K149" s="19" t="inlineStr">
        <is>
          <t>Live orchestral recording, folk and devotional Marathi forms, and the large emotional set piece.</t>
        </is>
      </c>
      <c r="L149" s="19" t="inlineStr">
        <is>
          <t>Their article notes that almost all their songs and albums are recorded with live instruments — Agneepath among the most notable — which distinguishes them from the programmed production standard of the period.</t>
        </is>
      </c>
      <c r="M149" s="5" t="inlineStr">
        <is>
          <t>A National Film Award and four Filmfare Marathi Awards among many others.</t>
        </is>
      </c>
      <c r="N149" s="19" t="inlineStr">
        <is>
          <t>The leading composers of modern Marathi cinema and among the few to bring full live orchestration back into mainstream Hindi film music.</t>
        </is>
      </c>
      <c r="O149" s="19" t="inlineStr">
        <is>
          <t>One film, and a significant one: Agneepath (2012), in which Kapoor plays Rauf Lala, the flesh-trading antagonist, in a performance widely counted among the best of his career. Their article names Agneepath as one of the most notable examples of their live-instrument recording.</t>
        </is>
      </c>
      <c r="P149" s="17" t="n">
        <v>1</v>
      </c>
      <c r="Q149" s="5" t="inlineStr">
        <is>
          <t>FILM-137</t>
        </is>
      </c>
      <c r="R149" s="5" t="inlineStr">
        <is>
          <t>Agneepath (2012)</t>
        </is>
      </c>
      <c r="S149" s="5" t="inlineStr">
        <is>
          <t>Ajay–Atul scored Agneepath, the film that gave Rishi Kapoor his most admired villain. The Gogavale brothers, from Pune, became the defining composers of modern Marathi cinema — Natarang, Sairat — and brought an unusual commitment to live orchestral recording into Hindi film music; their own article cites Agneepath as a prime example. In Karan Johar's 2012 remake Kapoor plays Rauf Lala, a trafficker in women whose geniality makes him more frightening, physically transformed and speaking in a register he had never used in forty years of romantic leads. The score's weight and scale are part of what the performance works against. It is the single clearest piece of evidence that his late-career range was not limited to benign fathers.</t>
        </is>
      </c>
      <c r="T149" s="5" t="inlineStr">
        <is>
          <t>SOURCE-260</t>
        </is>
      </c>
      <c r="U149" s="5" t="inlineStr">
        <is>
          <t>High</t>
        </is>
      </c>
    </row>
    <row r="150" ht="109" customHeight="1">
      <c r="A150" s="15" t="inlineStr">
        <is>
          <t>PERSON-149</t>
        </is>
      </c>
      <c r="B150" s="5" t="inlineStr">
        <is>
          <t>Ajit Andhare</t>
        </is>
      </c>
      <c r="C150" s="5" t="inlineStr">
        <is>
          <t>Producer</t>
        </is>
      </c>
      <c r="D150" s="17" t="n">
        <v>1973</v>
      </c>
      <c r="E150" s="18" t="n"/>
      <c r="F150" s="5" t="n"/>
      <c r="G150" s="5" t="inlineStr">
        <is>
          <t>Hindi cinema</t>
        </is>
      </c>
      <c r="H150" s="5" t="inlineStr">
        <is>
          <t>Ajit Andhare (born 11 July 1973) is an Indian businessman and the chief operating officer of Viacom18 Studios. He holds a Bachelor of Technology from NIT Rourkela and an MBA from the Indian School of Business.</t>
        </is>
      </c>
      <c r="I150" s="5" t="inlineStr">
        <is>
          <t>A studio executive rather than a creative producer; his credits come through Viacom18.</t>
        </is>
      </c>
      <c r="J150" s="5" t="inlineStr">
        <is>
          <t>With Kapoor: Manto (2018). Elsewhere, the Viacom18 Studios slate.</t>
        </is>
      </c>
      <c r="K150" s="19" t="inlineStr">
        <is>
          <t>Content-driven films produced within a corporate studio structure.</t>
        </is>
      </c>
      <c r="L150" s="19" t="inlineStr">
        <is>
          <t>A studio executive's production practice: commissioning and backing directors rather than developing material himself.</t>
        </is>
      </c>
      <c r="M150" s="5" t="n"/>
      <c r="N150" s="19" t="inlineStr">
        <is>
          <t>A senior figure in one of the first corporate film studios in India.</t>
        </is>
      </c>
      <c r="O150" s="19" t="inlineStr">
        <is>
          <t>One film: Nandita Das's Manto (2018), in which Kapoor has a small role in a biographical film about the Urdu writer Saadat Hasan Manto — a festival-facing production quite unlike anything in his lead career, and evidence of the range of work open to him at the end.</t>
        </is>
      </c>
      <c r="P150" s="17" t="n">
        <v>1</v>
      </c>
      <c r="Q150" s="5" t="inlineStr">
        <is>
          <t>FILM-156</t>
        </is>
      </c>
      <c r="R150" s="5" t="inlineStr">
        <is>
          <t>Manto (2018)</t>
        </is>
      </c>
      <c r="S150" s="5" t="inlineStr">
        <is>
          <t>Ajit Andhare produced Manto (2018) in his capacity as chief operating officer of Viacom18 Studios. An engineer and business graduate rather than a filmmaker, Andhare belongs to the corporate studio layer that entered Indian cinema in the late 2000s, commissioning work rather than developing it. Manto, directed by Nandita Das, is a biographical film about the Urdu short-story writer Saadat Hasan Manto and his obscenity trials, and Kapoor appears in it briefly. For this filmography the credit is useful mainly as a marker: the actor who spent the 1970s singing in Nasir Hussain musicals ended up, forty years later, taking small parts in literary biopics financed by television conglomerates.</t>
        </is>
      </c>
      <c r="T150" s="5" t="inlineStr">
        <is>
          <t>SOURCE-261</t>
        </is>
      </c>
      <c r="U150" s="5" t="inlineStr">
        <is>
          <t>Medium</t>
        </is>
      </c>
    </row>
    <row r="151" ht="79" customHeight="1">
      <c r="A151" s="15" t="inlineStr">
        <is>
          <t>PERSON-150</t>
        </is>
      </c>
      <c r="B151" s="5" t="inlineStr">
        <is>
          <t>Ajit Singh</t>
        </is>
      </c>
      <c r="C151" s="5" t="inlineStr">
        <is>
          <t>Song composer</t>
        </is>
      </c>
      <c r="D151" s="18" t="n"/>
      <c r="E151" s="18" t="n"/>
      <c r="F151" s="5" t="n"/>
      <c r="G151" s="5" t="inlineStr">
        <is>
          <t>Hindi cinema</t>
        </is>
      </c>
      <c r="H151" s="5" t="inlineStr">
        <is>
          <t>A composer credited on one film in this filmography, with no Wikipedia article of his own; the bare name resolves to a disambiguation page of politicians and sportsmen.</t>
        </is>
      </c>
      <c r="I151" s="5" t="n"/>
      <c r="J151" s="5" t="inlineStr">
        <is>
          <t>With Kapoor: Akarshan (1988).</t>
        </is>
      </c>
      <c r="K151" s="19" t="inlineStr">
        <is>
          <t>Not documented.</t>
        </is>
      </c>
      <c r="L151" s="19" t="inlineStr">
        <is>
          <t>Not documented.</t>
        </is>
      </c>
      <c r="M151" s="5" t="n"/>
      <c r="N151" s="19" t="inlineStr">
        <is>
          <t>Not independently documented.</t>
        </is>
      </c>
      <c r="O151" s="19" t="inlineStr">
        <is>
          <t>One film: Akarshan (1988), one of the least documented entries in the filmography, from the stretch in which Kapoor was appearing in three or four films a year with little critical notice.</t>
        </is>
      </c>
      <c r="P151" s="17" t="n">
        <v>1</v>
      </c>
      <c r="Q151" s="5" t="inlineStr">
        <is>
          <t>FILM-066</t>
        </is>
      </c>
      <c r="R151" s="5" t="inlineStr">
        <is>
          <t>Akarshan (1988)</t>
        </is>
      </c>
      <c r="S151" s="5" t="inlineStr">
        <is>
          <t>Ajit Singh composed the songs for Akarshan (1988) and has no documented biography; his name on Wikipedia leads only to a disambiguation page of politicians, rulers and athletes. The film is among the most obscure in this filmography, made in the year Kapoor released several pictures that left almost no critical trace. The row exists because the workbook records every credited collaborator, and it is built from the film's credits alone.</t>
        </is>
      </c>
      <c r="T151" s="5" t="inlineStr">
        <is>
          <t>SOURCE-063</t>
        </is>
      </c>
      <c r="U151" s="5" t="inlineStr">
        <is>
          <t>Low</t>
        </is>
      </c>
    </row>
    <row r="152" ht="124" customHeight="1">
      <c r="A152" s="15" t="inlineStr">
        <is>
          <t>PERSON-151</t>
        </is>
      </c>
      <c r="B152" s="5" t="inlineStr">
        <is>
          <t>Akhtar Farooqui</t>
        </is>
      </c>
      <c r="C152" s="5" t="inlineStr">
        <is>
          <t>Producer</t>
        </is>
      </c>
      <c r="D152" s="18" t="n"/>
      <c r="E152" s="18" t="n"/>
      <c r="F152" s="5" t="n"/>
      <c r="G152" s="5" t="inlineStr">
        <is>
          <t>Hindi cinema</t>
        </is>
      </c>
      <c r="H152" s="5" t="inlineStr">
        <is>
          <t>A producer credited on one film in this filmography, with no Wikipedia article of his own.</t>
        </is>
      </c>
      <c r="I152" s="5" t="n"/>
      <c r="J152" s="5" t="inlineStr">
        <is>
          <t>With Kapoor: Karz (1980).</t>
        </is>
      </c>
      <c r="K152" s="19" t="inlineStr">
        <is>
          <t>Not documented.</t>
        </is>
      </c>
      <c r="L152" s="19" t="inlineStr">
        <is>
          <t>Not documented.</t>
        </is>
      </c>
      <c r="M152" s="5" t="n"/>
      <c r="N152" s="19" t="inlineStr">
        <is>
          <t>Not independently documented, though his one credit is on a film of lasting influence.</t>
        </is>
      </c>
      <c r="O152" s="19" t="inlineStr">
        <is>
          <t>One film, and a consequential one: he co-produced Subhash Ghai's Karz (1980) with Jagjit Khurana. Kapoor's performance as Monty, the singer recovering the memory of his murdered previous life, is among the most durable of his career, and the film's Laxmikant–Pyarelal soundtrack has been remade and sampled for four decades.</t>
        </is>
      </c>
      <c r="P152" s="17" t="n">
        <v>1</v>
      </c>
      <c r="Q152" s="5" t="inlineStr">
        <is>
          <t>FILM-031</t>
        </is>
      </c>
      <c r="R152" s="5" t="inlineStr">
        <is>
          <t>Karz (1980)</t>
        </is>
      </c>
      <c r="S152" s="5" t="inlineStr">
        <is>
          <t>Akhtar Farooqui co-produced Karz (1980), one of the two or three films on which Rishi Kapoor's reputation rests, and nothing about him is documented. Subhash Ghai's reincarnation thriller gave Kapoor the role of Monty, a stage singer haunted by the murder of his earlier self, and produced in 'Om Shanti Om' and 'Dard-e-Dil' songs that have outlived most of the decade's cinema; the film was remade outright in 2008 and its structure borrowed repeatedly. That the producer who financed it left no biographical record at all is among the sharper illustrations in this workbook of how unevenly the Hindi industry of the period is documented. This row rests on the film's credits.</t>
        </is>
      </c>
      <c r="T152" s="5" t="inlineStr">
        <is>
          <t>SOURCE-031</t>
        </is>
      </c>
      <c r="U152" s="5" t="inlineStr">
        <is>
          <t>Low</t>
        </is>
      </c>
    </row>
    <row r="153" ht="154" customHeight="1">
      <c r="A153" s="15" t="inlineStr">
        <is>
          <t>PERSON-152</t>
        </is>
      </c>
      <c r="B153" s="5" t="inlineStr">
        <is>
          <t>Akhtar ul Iman</t>
        </is>
      </c>
      <c r="C153" s="5" t="inlineStr">
        <is>
          <t>Writer</t>
        </is>
      </c>
      <c r="D153" s="17" t="n">
        <v>1915</v>
      </c>
      <c r="E153" s="17" t="n">
        <v>1996</v>
      </c>
      <c r="F153" s="5" t="inlineStr">
        <is>
          <t>1940s–1980s</t>
        </is>
      </c>
      <c r="G153" s="5" t="inlineStr">
        <is>
          <t>Hindi cinema; Urdu literature</t>
        </is>
      </c>
      <c r="H153" s="5" t="inlineStr">
        <is>
          <t>Akhtar ul Iman (12 November 1915 – 9 March 1996) was a noted Urdu poet and screenwriter who had a major influence on modern Urdu nazm. He studied at Zakir Husain Delhi College and Aligarh Muslim University, and worked as a freelance and B. R. Films cine writer between 1960 and 1980. He won the Filmfare Award for Best Dialogue twice, for Dharmputra (1963) and Waqt (1966), and the Sahitya Akademi Award in Urdu in 1962 for his poetry collection Yadein.</t>
        </is>
      </c>
      <c r="I153" s="5" t="inlineStr">
        <is>
          <t>Writing for films from the 1940s; his award-winning dialogue work came in the 1960s.</t>
        </is>
      </c>
      <c r="J153" s="5" t="inlineStr">
        <is>
          <t>With Kapoor: Vijay (1988). Elsewhere, Dharmputra, Waqt, Gumrah and Daag.</t>
        </is>
      </c>
      <c r="K153" s="19" t="inlineStr">
        <is>
          <t>Partition, displacement and moral compromise; the family divided by history.</t>
        </is>
      </c>
      <c r="L153" s="19" t="inlineStr">
        <is>
          <t>A major poet writing film dialogue, bringing a compressed literary Urdu to commercial melodrama.</t>
        </is>
      </c>
      <c r="M153" s="5" t="inlineStr">
        <is>
          <t>Two Filmfare Awards for Best Dialogue (Dharmputra, Waqt) and the 1962 Sahitya Akademi Award in Urdu for Yadein.</t>
        </is>
      </c>
      <c r="N153" s="19" t="inlineStr">
        <is>
          <t>One of the central figures of modern Urdu poetry and, simultaneously, one of Hindi cinema's most distinguished dialogue writers.</t>
        </is>
      </c>
      <c r="O153" s="19" t="inlineStr">
        <is>
          <t>One film, late in his own career: Yash Chopra's Vijay (1988), an ensemble in which Kapoor appeared alongside Anil Kapoor and Rishi's own generation of co-stars. It is a modest end to a distinguished writing life, and the only point of contact between a Sahitya Akademi laureate and this filmography.</t>
        </is>
      </c>
      <c r="P153" s="17" t="n">
        <v>1</v>
      </c>
      <c r="Q153" s="5" t="inlineStr">
        <is>
          <t>FILM-065</t>
        </is>
      </c>
      <c r="R153" s="5" t="inlineStr">
        <is>
          <t>Vijay (1988)</t>
        </is>
      </c>
      <c r="S153" s="5" t="inlineStr">
        <is>
          <t>Akhtar ul Iman, one of the most important Urdu poets of the twentieth century, wrote one film in this filmography. A Sahitya Akademi laureate for his collection Yadein and a central figure in the modernisation of the Urdu nazm, he spent two decades as a cine writer, much of it attached to B. R. Films, and won the Filmfare Award for Best Dialogue twice, for Dharmputra and Waqt — films about partition and family division that are among Hindi cinema's most serious. His single Kapoor credit is Yash Chopra's Vijay (1988), a late, crowded family melodrama in which Kapoor was one of several leads. The juxtaposition is instructive: the literary prestige of Hindi cinema's 1960s reached this filmography only once, and at the end of the writer's life.</t>
        </is>
      </c>
      <c r="T153" s="5" t="inlineStr">
        <is>
          <t>SOURCE-262</t>
        </is>
      </c>
      <c r="U153" s="5" t="inlineStr">
        <is>
          <t>High</t>
        </is>
      </c>
    </row>
    <row r="154" ht="124" customHeight="1">
      <c r="A154" s="15" t="inlineStr">
        <is>
          <t>PERSON-153</t>
        </is>
      </c>
      <c r="B154" s="5" t="inlineStr">
        <is>
          <t>Aleem Masrur</t>
        </is>
      </c>
      <c r="C154" s="5" t="inlineStr">
        <is>
          <t>Writer</t>
        </is>
      </c>
      <c r="D154" s="18" t="n"/>
      <c r="E154" s="18" t="n"/>
      <c r="F154" s="5" t="n"/>
      <c r="G154" s="5" t="inlineStr">
        <is>
          <t>Hindi cinema</t>
        </is>
      </c>
      <c r="H154" s="5" t="inlineStr">
        <is>
          <t>A writer credited on one film in this filmography, with no Wikipedia article of his own.</t>
        </is>
      </c>
      <c r="I154" s="5" t="n"/>
      <c r="J154" s="5" t="inlineStr">
        <is>
          <t>With Kapoor: Tawaif (1985).</t>
        </is>
      </c>
      <c r="K154" s="19" t="inlineStr">
        <is>
          <t>The courtesan film and the respectable household that takes her in.</t>
        </is>
      </c>
      <c r="L154" s="19" t="inlineStr">
        <is>
          <t>Not documented; he is credited alongside Rahi Masoom Raza, Satish Bhatnagar and C. J. Pavri.</t>
        </is>
      </c>
      <c r="M154" s="5" t="n"/>
      <c r="N154" s="19" t="inlineStr">
        <is>
          <t>Not independently documented.</t>
        </is>
      </c>
      <c r="O154" s="19" t="inlineStr">
        <is>
          <t>One film: B. R. Chopra's Tawaif (1985), for which Rahi Masoom Raza won his second Filmfare Award for Best Dialogue, and in which Kapoor plays a man who gives shelter to a courtesan and comes to love her — one of the few roles of his middle period that treats love as moral complication rather than courtship.</t>
        </is>
      </c>
      <c r="P154" s="17" t="n">
        <v>1</v>
      </c>
      <c r="Q154" s="5" t="inlineStr">
        <is>
          <t>FILM-050</t>
        </is>
      </c>
      <c r="R154" s="5" t="inlineStr">
        <is>
          <t>Tawaif (1985)</t>
        </is>
      </c>
      <c r="S154" s="5" t="inlineStr">
        <is>
          <t>Aleem Masrur is one of four writers credited on Tawaif (1985) and has no documented biography. The film is among the most substantial of Kapoor's middle period: B. R. Chopra's story of a courtesan taken into a respectable home, written chiefly by Rahi Masoom Raza, who won his second Filmfare Award for Best Dialogue for it. Kapoor plays the man who shelters her and falls in love, a part that asks for restraint rather than ardour. Collective writing credits of this kind are normal in the period, and in most cases — this one included — only the best-known name on the list has left any record. This row is built from the film's credits alone.</t>
        </is>
      </c>
      <c r="T154" s="5" t="inlineStr">
        <is>
          <t>SOURCE-046</t>
        </is>
      </c>
      <c r="U154" s="5" t="inlineStr">
        <is>
          <t>Low</t>
        </is>
      </c>
    </row>
    <row r="155" ht="94" customHeight="1">
      <c r="A155" s="15" t="inlineStr">
        <is>
          <t>PERSON-154</t>
        </is>
      </c>
      <c r="B155" s="5" t="inlineStr">
        <is>
          <t>Allchemy Productions</t>
        </is>
      </c>
      <c r="C155" s="5" t="inlineStr">
        <is>
          <t>Production banner</t>
        </is>
      </c>
      <c r="D155" s="18" t="n"/>
      <c r="E155" s="18" t="n"/>
      <c r="F155" s="5" t="n"/>
      <c r="G155" s="5" t="inlineStr">
        <is>
          <t>Hindi cinema</t>
        </is>
      </c>
      <c r="H155" s="5" t="inlineStr">
        <is>
          <t>A production banner credited on one film in this filmography, with no Wikipedia article of its own.</t>
        </is>
      </c>
      <c r="I155" s="5" t="n"/>
      <c r="J155" s="5" t="inlineStr">
        <is>
          <t>With Kapoor: All Is Well (2015).</t>
        </is>
      </c>
      <c r="K155" s="19" t="inlineStr">
        <is>
          <t>Not documented.</t>
        </is>
      </c>
      <c r="L155" s="19" t="inlineStr">
        <is>
          <t>Not documented.</t>
        </is>
      </c>
      <c r="M155" s="5" t="n"/>
      <c r="N155" s="19" t="inlineStr">
        <is>
          <t>Not independently documented.</t>
        </is>
      </c>
      <c r="O155" s="19" t="inlineStr">
        <is>
          <t>One credit, on All Is Well (2015), Umesh Shukla's family road comedy in which Kapoor plays the father opposite Supriya Pathak as his wife, with Abhishek Bachchan as their son. The film was a T-Series production and a commercial failure.</t>
        </is>
      </c>
      <c r="P155" s="17" t="n">
        <v>1</v>
      </c>
      <c r="Q155" s="5" t="inlineStr">
        <is>
          <t>FILM-148</t>
        </is>
      </c>
      <c r="R155" s="5" t="inlineStr">
        <is>
          <t>All Is Well (2015)</t>
        </is>
      </c>
      <c r="S155" s="5" t="inlineStr">
        <is>
          <t>Allchemy Productions appears once in this filmography, on All Is Well (2015), and has no recorded history. The film, directed by Umesh Shukla between Oh My God and 102 Not Out, put Kapoor and Supriya Pathak on a road trip with their estranged son, played by Abhishek Bachchan, and failed both critically and commercially. It belongs to the late run of ensemble comedies — Housefull 2, Chashme Buddoor, Besharam — in which Kapoor was one familiar face among several and the films themselves added little to his reputation. Shukla would use him far better three years later in 102 Not Out. This row is built from the film's credits.</t>
        </is>
      </c>
      <c r="T155" s="5" t="inlineStr">
        <is>
          <t>SOURCE-140</t>
        </is>
      </c>
      <c r="U155" s="5" t="inlineStr">
        <is>
          <t>Low</t>
        </is>
      </c>
    </row>
    <row r="156" ht="139" customHeight="1">
      <c r="A156" s="15" t="inlineStr">
        <is>
          <t>PERSON-155</t>
        </is>
      </c>
      <c r="B156" s="5" t="inlineStr">
        <is>
          <t>Aly Morani</t>
        </is>
      </c>
      <c r="C156" s="5" t="inlineStr">
        <is>
          <t>Producer</t>
        </is>
      </c>
      <c r="D156" s="18" t="n"/>
      <c r="E156" s="18" t="n"/>
      <c r="F156" s="5" t="n"/>
      <c r="G156" s="5" t="inlineStr">
        <is>
          <t>Hindi cinema</t>
        </is>
      </c>
      <c r="H156" s="5" t="inlineStr">
        <is>
          <t>Aly Morani is an Indian film producer whose credits include Dum, Raja Hindustani, Damini, Arjun and Dushmani: A Violent Love Story. With his brother Karim Morani he owns Cineyug, a production and event company.</t>
        </is>
      </c>
      <c r="I156" s="5" t="inlineStr">
        <is>
          <t>Producing from the late 1980s; Damini (1993) is among his best-known films.</t>
        </is>
      </c>
      <c r="J156" s="5" t="inlineStr">
        <is>
          <t>With Kapoor: Damini (1993). Elsewhere, Raja Hindustani and Arjun.</t>
        </is>
      </c>
      <c r="K156" s="19" t="inlineStr">
        <is>
          <t>Mainstream melodrama and the star vehicle, produced alongside a live-events business.</t>
        </is>
      </c>
      <c r="L156" s="19" t="inlineStr">
        <is>
          <t>A commercial producer working with established directors rather than developing material himself.</t>
        </is>
      </c>
      <c r="M156" s="5" t="n"/>
      <c r="N156" s="19" t="inlineStr">
        <is>
          <t>Co-owner of Cineyug, one of India's significant film and live-event companies.</t>
        </is>
      </c>
      <c r="O156" s="19" t="inlineStr">
        <is>
          <t>One film: Rajkumar Santoshi's Damini (1993), a blockbuster in which Kapoor plays the husband of a woman who witnesses a rape in his family's house and is disbelieved. The film is among the most critically substantial of his later career precisely because he is not its moral centre — Meenakshi Seshadri and Sunny Deol carry it, and his character's weakness is the point.</t>
        </is>
      </c>
      <c r="P156" s="17" t="n">
        <v>1</v>
      </c>
      <c r="Q156" s="5" t="inlineStr">
        <is>
          <t>FILM-093</t>
        </is>
      </c>
      <c r="R156" s="5" t="inlineStr">
        <is>
          <t>Damini (1993)</t>
        </is>
      </c>
      <c r="S156" s="5" t="inlineStr">
        <is>
          <t>Aly Morani produced Damini (1993), the most critically substantial hit of Rishi Kapoor's later career. With his brother Karim Morani he owns Cineyug, a production and live-events company, and his credits include Raja Hindustani and Arjun. Damini, directed by Rajkumar Santoshi, is built around a young wife who sees a servant raped by her brother-in-law and is systematically disbelieved; Kapoor plays her husband, a man whose loyalty to his family makes him complicit, and the film gives its moral authority to Meenakshi Seshadri's character and Sunny Deol's alcoholic lawyer. It won Santoshi his second consecutive Filmfare Award for Best Director. For Kapoor it was an early demonstration that he could be used against his own likeability.</t>
        </is>
      </c>
      <c r="T156" s="5" t="inlineStr">
        <is>
          <t>SOURCE-263</t>
        </is>
      </c>
      <c r="U156" s="5" t="inlineStr">
        <is>
          <t>Medium</t>
        </is>
      </c>
    </row>
    <row r="157" ht="79" customHeight="1">
      <c r="A157" s="15" t="inlineStr">
        <is>
          <t>PERSON-156</t>
        </is>
      </c>
      <c r="B157" s="5" t="inlineStr">
        <is>
          <t>Aman Jeffery</t>
        </is>
      </c>
      <c r="C157" s="5" t="inlineStr">
        <is>
          <t>Writer</t>
        </is>
      </c>
      <c r="D157" s="18" t="n"/>
      <c r="E157" s="18" t="n"/>
      <c r="F157" s="5" t="n"/>
      <c r="G157" s="5" t="inlineStr">
        <is>
          <t>Hindi cinema</t>
        </is>
      </c>
      <c r="H157" s="5" t="inlineStr">
        <is>
          <t>A writer credited on one film in this filmography, with no Wikipedia article of his own.</t>
        </is>
      </c>
      <c r="I157" s="5" t="n"/>
      <c r="J157" s="5" t="inlineStr">
        <is>
          <t>With Kapoor: Kuch Khatti Kuch Meethi (2001).</t>
        </is>
      </c>
      <c r="K157" s="19" t="inlineStr">
        <is>
          <t>Family comedy.</t>
        </is>
      </c>
      <c r="L157" s="19" t="inlineStr">
        <is>
          <t>Not documented.</t>
        </is>
      </c>
      <c r="M157" s="5" t="n"/>
      <c r="N157" s="19" t="inlineStr">
        <is>
          <t>Not independently documented.</t>
        </is>
      </c>
      <c r="O157" s="19" t="inlineStr">
        <is>
          <t>One film: Rahul Rawail's Kuch Khatti Kuch Meethi (2001), a comedy in which Kapoor plays the father of twins separated by their parents' divorce, from the quiet stretch before his 2004 reinvention.</t>
        </is>
      </c>
      <c r="P157" s="17" t="n">
        <v>1</v>
      </c>
      <c r="Q157" s="5" t="inlineStr">
        <is>
          <t>FILM-113</t>
        </is>
      </c>
      <c r="R157" s="5" t="inlineStr">
        <is>
          <t>Kuch Khatti Kuch Meethi (2001)</t>
        </is>
      </c>
      <c r="S157" s="5" t="inlineStr">
        <is>
          <t>Aman Jeffery is credited as a writer on Kuch Khatti Kuch Meethi (2001) and has no documented biography. The film, directed by Rahul Rawail — whose own directorial debut twenty-one years earlier had also starred Kapoor — is a remake-style family comedy of separated twins, made in the four-year gap between Kapoor's last leading roles and the Yash Raj supporting parts that restarted his career. This row is built from the film's credits alone.</t>
        </is>
      </c>
      <c r="T157" s="5" t="inlineStr">
        <is>
          <t>SOURCE-105</t>
        </is>
      </c>
      <c r="U157" s="5" t="inlineStr">
        <is>
          <t>Low</t>
        </is>
      </c>
    </row>
    <row r="158" ht="79" customHeight="1">
      <c r="A158" s="15" t="inlineStr">
        <is>
          <t>PERSON-157</t>
        </is>
      </c>
      <c r="B158" s="5" t="inlineStr">
        <is>
          <t>Amar-Utpal</t>
        </is>
      </c>
      <c r="C158" s="5" t="inlineStr">
        <is>
          <t>Song composer</t>
        </is>
      </c>
      <c r="D158" s="18" t="n"/>
      <c r="E158" s="18" t="n"/>
      <c r="F158" s="5" t="n"/>
      <c r="G158" s="5" t="inlineStr">
        <is>
          <t>Hindi cinema</t>
        </is>
      </c>
      <c r="H158" s="5" t="inlineStr">
        <is>
          <t>A composing pair credited on one film in this filmography, with no Wikipedia article under this name.</t>
        </is>
      </c>
      <c r="I158" s="5" t="n"/>
      <c r="J158" s="5" t="inlineStr">
        <is>
          <t>With Kapoor: Ghar Ki Izzat (1994).</t>
        </is>
      </c>
      <c r="K158" s="19" t="inlineStr">
        <is>
          <t>Not documented.</t>
        </is>
      </c>
      <c r="L158" s="19" t="inlineStr">
        <is>
          <t>Not documented.</t>
        </is>
      </c>
      <c r="M158" s="5" t="n"/>
      <c r="N158" s="19" t="inlineStr">
        <is>
          <t>Not independently documented.</t>
        </is>
      </c>
      <c r="O158" s="19" t="inlineStr">
        <is>
          <t>One film: Ghar Ki Izzat (1994), the last of Kalpataru's five family melodramas with Kapoor, written with Kader Khan and Keshav Rathod.</t>
        </is>
      </c>
      <c r="P158" s="17" t="n">
        <v>1</v>
      </c>
      <c r="Q158" s="5" t="inlineStr">
        <is>
          <t>FILM-103</t>
        </is>
      </c>
      <c r="R158" s="5" t="inlineStr">
        <is>
          <t>Ghar Ki Izzat (1994)</t>
        </is>
      </c>
      <c r="S158" s="5" t="inlineStr">
        <is>
          <t>Amar-Utpal composed the songs for Ghar Ki Izzat (1994) and are otherwise undocumented. The film closes the run of five household melodramas Kalpataru directed with Kapoor between 1988 and 1994 — pictures named for the family rather than the romance, written largely by Kader Khan, and reviewed almost nowhere. The composers of the last of them left no record at all, which is characteristic of this tier of production. This row is built from the film's credits alone.</t>
        </is>
      </c>
      <c r="T158" s="5" t="inlineStr">
        <is>
          <t>SOURCE-096</t>
        </is>
      </c>
      <c r="U158" s="5" t="inlineStr">
        <is>
          <t>Low</t>
        </is>
      </c>
    </row>
    <row r="159" ht="79" customHeight="1">
      <c r="A159" s="15" t="inlineStr">
        <is>
          <t>PERSON-158</t>
        </is>
      </c>
      <c r="B159" s="5" t="inlineStr">
        <is>
          <t>Amarlal Chabria</t>
        </is>
      </c>
      <c r="C159" s="5" t="inlineStr">
        <is>
          <t>Producer</t>
        </is>
      </c>
      <c r="D159" s="18" t="n"/>
      <c r="E159" s="18" t="n"/>
      <c r="F159" s="5" t="n"/>
      <c r="G159" s="5" t="inlineStr">
        <is>
          <t>Hindi cinema</t>
        </is>
      </c>
      <c r="H159" s="5" t="inlineStr">
        <is>
          <t>A producer credited on one film in this filmography, with no Wikipedia article of his own.</t>
        </is>
      </c>
      <c r="I159" s="5" t="n"/>
      <c r="J159" s="5" t="inlineStr">
        <is>
          <t>With Kapoor: Ginny Aur Johnny (1976).</t>
        </is>
      </c>
      <c r="K159" s="19" t="inlineStr">
        <is>
          <t>Not documented.</t>
        </is>
      </c>
      <c r="L159" s="19" t="inlineStr">
        <is>
          <t>Not documented.</t>
        </is>
      </c>
      <c r="M159" s="5" t="n"/>
      <c r="N159" s="19" t="inlineStr">
        <is>
          <t>Not independently documented.</t>
        </is>
      </c>
      <c r="O159" s="19" t="inlineStr">
        <is>
          <t>One film: Ginny Aur Johnny (1976), a Rajesh Roshan-scored film from the three years immediately after Bobby, when Kapoor was cast in as many youth romances as producers could finance.</t>
        </is>
      </c>
      <c r="P159" s="17" t="n">
        <v>1</v>
      </c>
      <c r="Q159" s="5" t="inlineStr">
        <is>
          <t>FILM-012</t>
        </is>
      </c>
      <c r="R159" s="5" t="inlineStr">
        <is>
          <t>Ginny Aur Johnny (1976)</t>
        </is>
      </c>
      <c r="S159" s="5" t="inlineStr">
        <is>
          <t>Amarlal Chabria produced Ginny Aur Johnny (1976) and has no documented biography. The film belongs to the rush of small romances that followed Bobby, when a twenty-three-year-old Kapoor was the most bankable young lover in Hindi cinema and the market absorbed whatever he appeared in; its score was by Rajesh Roshan, at the start of his own career. Nothing further about the producer survives, and this row is built from the film's credits alone.</t>
        </is>
      </c>
      <c r="T159" s="5" t="inlineStr">
        <is>
          <t>SOURCE-013</t>
        </is>
      </c>
      <c r="U159" s="5" t="inlineStr">
        <is>
          <t>Low</t>
        </is>
      </c>
    </row>
    <row r="160" ht="79" customHeight="1">
      <c r="A160" s="15" t="inlineStr">
        <is>
          <t>PERSON-159</t>
        </is>
      </c>
      <c r="B160" s="5" t="inlineStr">
        <is>
          <t>Amartya Rahut</t>
        </is>
      </c>
      <c r="C160" s="5" t="inlineStr">
        <is>
          <t>Song composer</t>
        </is>
      </c>
      <c r="D160" s="18" t="n"/>
      <c r="E160" s="18" t="n"/>
      <c r="F160" s="5" t="n"/>
      <c r="G160" s="5" t="inlineStr">
        <is>
          <t>Hindi cinema</t>
        </is>
      </c>
      <c r="H160" s="5" t="inlineStr">
        <is>
          <t>A composer credited on one film in this filmography, with no Wikipedia article of his own.</t>
        </is>
      </c>
      <c r="I160" s="5" t="n"/>
      <c r="J160" s="5" t="inlineStr">
        <is>
          <t>With Kapoor: Aurangzeb (2013).</t>
        </is>
      </c>
      <c r="K160" s="19" t="inlineStr">
        <is>
          <t>Not documented.</t>
        </is>
      </c>
      <c r="L160" s="19" t="inlineStr">
        <is>
          <t>Not documented.</t>
        </is>
      </c>
      <c r="M160" s="5" t="n"/>
      <c r="N160" s="19" t="inlineStr">
        <is>
          <t>Not independently documented.</t>
        </is>
      </c>
      <c r="O160" s="19" t="inlineStr">
        <is>
          <t>One film: Aurangzeb (2013), a Yash Raj Films crime drama in which Kapoor plays a police officer, one of several late supporting roles for the banner that had employed him since 1976.</t>
        </is>
      </c>
      <c r="P160" s="17" t="n">
        <v>1</v>
      </c>
      <c r="Q160" s="5" t="inlineStr">
        <is>
          <t>FILM-142</t>
        </is>
      </c>
      <c r="R160" s="5" t="inlineStr">
        <is>
          <t>Aurangzeb (2013)</t>
        </is>
      </c>
      <c r="S160" s="5" t="inlineStr">
        <is>
          <t>Amartya Rahut is credited among the composers of Aurangzeb (2013) and has no documented biography. The film, a Yash Raj crime drama about twins on opposite sides of the law, gave Kapoor a supporting role as a policeman; it is one of six YRF films from his character-actor phase and one of the least remembered. As with most of the 2010s entries in this filmography, the soundtrack was divided among several composers, and only some of them have left any record. This row is built from the film's credits alone.</t>
        </is>
      </c>
      <c r="T160" s="5" t="inlineStr">
        <is>
          <t>SOURCE-134</t>
        </is>
      </c>
      <c r="U160" s="5" t="inlineStr">
        <is>
          <t>Low</t>
        </is>
      </c>
    </row>
    <row r="161" ht="94" customHeight="1">
      <c r="A161" s="15" t="inlineStr">
        <is>
          <t>PERSON-160</t>
        </is>
      </c>
      <c r="B161" s="5" t="inlineStr">
        <is>
          <t>Amin Surani</t>
        </is>
      </c>
      <c r="C161" s="5" t="inlineStr">
        <is>
          <t>Producer</t>
        </is>
      </c>
      <c r="D161" s="18" t="n"/>
      <c r="E161" s="18" t="n"/>
      <c r="F161" s="5" t="n"/>
      <c r="G161" s="5" t="inlineStr">
        <is>
          <t>Hindi cinema</t>
        </is>
      </c>
      <c r="H161" s="5" t="inlineStr">
        <is>
          <t>A producer credited on one film in this filmography, with no Wikipedia article of his own.</t>
        </is>
      </c>
      <c r="I161" s="5" t="n"/>
      <c r="J161" s="5" t="inlineStr">
        <is>
          <t>With Kapoor: Chalk N Duster (2016).</t>
        </is>
      </c>
      <c r="K161" s="19" t="inlineStr">
        <is>
          <t>Not documented.</t>
        </is>
      </c>
      <c r="L161" s="19" t="inlineStr">
        <is>
          <t>Not documented.</t>
        </is>
      </c>
      <c r="M161" s="5" t="n"/>
      <c r="N161" s="19" t="inlineStr">
        <is>
          <t>Not independently documented.</t>
        </is>
      </c>
      <c r="O161" s="19" t="inlineStr">
        <is>
          <t>One film: Chalk N Duster (2016), a drama about schoolteachers resisting a commercialising management, in which Kapoor appears in support — one of the small, issue-minded films he took in his last years alongside the studio comedies.</t>
        </is>
      </c>
      <c r="P161" s="17" t="n">
        <v>1</v>
      </c>
      <c r="Q161" s="5" t="inlineStr">
        <is>
          <t>FILM-150</t>
        </is>
      </c>
      <c r="R161" s="5" t="inlineStr">
        <is>
          <t>Chalk N Duster (2016)</t>
        </is>
      </c>
      <c r="S161" s="5" t="inlineStr">
        <is>
          <t>Amin Surani produced Chalk N Duster (2016) and has no documented biography. The film is a modest drama about two schoolteachers and the commercial pressures on their school, with an ensemble of veteran performers including Shabana Azmi and Juhi Chawla, and Kapoor in a supporting part. It belongs to the late pattern in which his name helped finance small socially minded pictures rather than carrying them. This row is built from the film's credits alone.</t>
        </is>
      </c>
      <c r="T161" s="5" t="inlineStr">
        <is>
          <t>SOURCE-142</t>
        </is>
      </c>
      <c r="U161" s="5" t="inlineStr">
        <is>
          <t>Low</t>
        </is>
      </c>
    </row>
    <row r="162" ht="94" customHeight="1">
      <c r="A162" s="15" t="inlineStr">
        <is>
          <t>PERSON-161</t>
        </is>
      </c>
      <c r="B162" s="5" t="inlineStr">
        <is>
          <t>Amjad Nadeem–Aamir</t>
        </is>
      </c>
      <c r="C162" s="5" t="inlineStr">
        <is>
          <t>Song composer</t>
        </is>
      </c>
      <c r="D162" s="18" t="n"/>
      <c r="E162" s="18" t="n"/>
      <c r="F162" s="5" t="n"/>
      <c r="G162" s="5" t="inlineStr">
        <is>
          <t>Hindi cinema</t>
        </is>
      </c>
      <c r="H162" s="5" t="inlineStr">
        <is>
          <t>A composing group credited on one film in this filmography, with no Wikipedia article under this name. The credit appears as Amjad Nadeem-Aamir, which this workbook renders with an en dash in line with its treatment of composing duos and trios.</t>
        </is>
      </c>
      <c r="I162" s="5" t="n"/>
      <c r="J162" s="5" t="inlineStr">
        <is>
          <t>With Kapoor: Jhootha Kahin Ka (2019).</t>
        </is>
      </c>
      <c r="K162" s="19" t="inlineStr">
        <is>
          <t>Not documented.</t>
        </is>
      </c>
      <c r="L162" s="19" t="inlineStr">
        <is>
          <t>Not documented.</t>
        </is>
      </c>
      <c r="M162" s="5" t="n"/>
      <c r="N162" s="19" t="inlineStr">
        <is>
          <t>Not independently documented.</t>
        </is>
      </c>
      <c r="O162" s="19" t="inlineStr">
        <is>
          <t>One film: Jhootha Kahin Ka (2019), one of six composers or groups credited on a single soundtrack, in a farce released months before Kapoor's death.</t>
        </is>
      </c>
      <c r="P162" s="17" t="n">
        <v>1</v>
      </c>
      <c r="Q162" s="5" t="inlineStr">
        <is>
          <t>FILM-158</t>
        </is>
      </c>
      <c r="R162" s="5" t="inlineStr">
        <is>
          <t>Jhootha Kahin Ka (2019)</t>
        </is>
      </c>
      <c r="S162" s="5" t="inlineStr">
        <is>
          <t>Amjad Nadeem–Aamir are credited among the composers of Jhootha Kahin Ka (2019) and are otherwise undocumented. The film's soundtrack carries six separate composing credits — Yo Yo Honey Singh, this group, Sanjeev–Ajay, Rahul Jain and two others — which is an extreme case of the fragmentation that characterises Hindi film music in Kapoor's final decade, and the exact opposite of the single-composer scores of his youth, when Laxmikant–Pyarelal wrote every song in thirty-two of his films. This row is built from the film's credits alone.</t>
        </is>
      </c>
      <c r="T162" s="5" t="inlineStr">
        <is>
          <t>SOURCE-150</t>
        </is>
      </c>
      <c r="U162" s="5" t="inlineStr">
        <is>
          <t>Low</t>
        </is>
      </c>
    </row>
    <row r="163" ht="79" customHeight="1">
      <c r="A163" s="15" t="inlineStr">
        <is>
          <t>PERSON-162</t>
        </is>
      </c>
      <c r="B163" s="5" t="inlineStr">
        <is>
          <t>Anand Sharma</t>
        </is>
      </c>
      <c r="C163" s="5" t="inlineStr">
        <is>
          <t>Writer</t>
        </is>
      </c>
      <c r="D163" s="18" t="n"/>
      <c r="E163" s="18" t="n"/>
      <c r="F163" s="5" t="n"/>
      <c r="G163" s="5" t="inlineStr">
        <is>
          <t>Hindi cinema</t>
        </is>
      </c>
      <c r="H163" s="5" t="inlineStr">
        <is>
          <t>A writer credited on one film in this filmography, with no Wikipedia article of his own; the bare name resolves to an unrelated Indian politician.</t>
        </is>
      </c>
      <c r="I163" s="5" t="n"/>
      <c r="J163" s="5" t="inlineStr">
        <is>
          <t>With Kapoor: Tell Me O Kkhuda (2011).</t>
        </is>
      </c>
      <c r="K163" s="19" t="inlineStr">
        <is>
          <t>Not documented.</t>
        </is>
      </c>
      <c r="L163" s="19" t="inlineStr">
        <is>
          <t>Not documented.</t>
        </is>
      </c>
      <c r="M163" s="5" t="n"/>
      <c r="N163" s="19" t="inlineStr">
        <is>
          <t>Not independently documented.</t>
        </is>
      </c>
      <c r="O163" s="19" t="inlineStr">
        <is>
          <t>One film: Tell Me O Kkhuda (2011), which Hema Malini directed, produced and co-wrote, and in which Kapoor appears in support alongside a large cast of veterans.</t>
        </is>
      </c>
      <c r="P163" s="17" t="n">
        <v>1</v>
      </c>
      <c r="Q163" s="5" t="inlineStr">
        <is>
          <t>FILM-136</t>
        </is>
      </c>
      <c r="R163" s="5" t="inlineStr">
        <is>
          <t>Tell Me O Kkhuda (2011)</t>
        </is>
      </c>
      <c r="S163" s="5" t="inlineStr">
        <is>
          <t>Anand Sharma is credited as a writer on Tell Me O Kkhuda (2011) and has no documented biography; an earlier pass of this research attached to his name the article of an unrelated politician. The film was Hema Malini's third as director, a search-for-identity drama starring her daughter Esha Deol, with Kapoor among a cast of established actors taking small parts. It failed commercially and is among the least discussed films of his late period. This row is built from the film's credits alone.</t>
        </is>
      </c>
      <c r="T163" s="5" t="inlineStr">
        <is>
          <t>SOURCE-128</t>
        </is>
      </c>
      <c r="U163" s="5" t="inlineStr">
        <is>
          <t>Low</t>
        </is>
      </c>
    </row>
    <row r="164" ht="94" customHeight="1">
      <c r="A164" s="15" t="inlineStr">
        <is>
          <t>PERSON-163</t>
        </is>
      </c>
      <c r="B164" s="5" t="inlineStr">
        <is>
          <t>Anil Devgan</t>
        </is>
      </c>
      <c r="C164" s="5" t="inlineStr">
        <is>
          <t>Director</t>
        </is>
      </c>
      <c r="D164" s="17" t="n">
        <v>1969</v>
      </c>
      <c r="E164" s="17" t="n">
        <v>2020</v>
      </c>
      <c r="F164" s="5" t="inlineStr">
        <is>
          <t>1996–2020</t>
        </is>
      </c>
      <c r="G164" s="5" t="inlineStr">
        <is>
          <t>Hindi cinema</t>
        </is>
      </c>
      <c r="H164" s="5" t="inlineStr">
        <is>
          <t>Anil Devgan (25 May 1969 – 5 October 2020) was an Indian filmmaker and screenwriter, the son of Prem Prakash Devgan and a first cousin of the actor Ajay Devgn. He directed Raju Chacha and Blackmail, and died of cardiac arrest at the age of 51.</t>
        </is>
      </c>
      <c r="I164" s="5" t="inlineStr">
        <is>
          <t>Working from 1996; his directorial debut was Raju Chacha (2000).</t>
        </is>
      </c>
      <c r="J164" s="5" t="inlineStr">
        <is>
          <t>With Kapoor: Raju Chacha (2000). Elsewhere, Blackmail.</t>
        </is>
      </c>
      <c r="K164" s="19" t="inlineStr">
        <is>
          <t>Family fantasy and the star-led action drama.</t>
        </is>
      </c>
      <c r="L164" s="19" t="inlineStr">
        <is>
          <t>Not extensively documented; both of his features were vehicles for his cousin Ajay Devgn.</t>
        </is>
      </c>
      <c r="M164" s="5" t="n"/>
      <c r="N164" s="19" t="inlineStr">
        <is>
          <t>Not substantially documented beyond his two features.</t>
        </is>
      </c>
      <c r="O164" s="19" t="inlineStr">
        <is>
          <t>One film: Raju Chacha (2000), his directorial debut, produced by and starring his cousin Ajay Devgn, with Kapoor in support. The film was an expensive failure, and it falls in the four-year gap between Kapoor's last leads and his reinvention in Hum Tum.</t>
        </is>
      </c>
      <c r="P164" s="17" t="n">
        <v>1</v>
      </c>
      <c r="Q164" s="5" t="inlineStr">
        <is>
          <t>FILM-112</t>
        </is>
      </c>
      <c r="R164" s="5" t="inlineStr">
        <is>
          <t>Raju Chacha (2000)</t>
        </is>
      </c>
      <c r="S164" s="5" t="inlineStr">
        <is>
          <t>Anil Devgan directed one film in this filmography, and it is a marker of Rishi Kapoor's lowest professional point. A cousin of Ajay Devgn and the son of Prem Prakash Devgan, he made his debut with Raju Chacha in 2000 — a lavish children's fantasy that his cousin produced and starred in and that lost a great deal of money. Kapoor appears in support, during the interval when he was no longer cast as a lead and had not yet been rediscovered as a character actor. Anil Devgan directed only one further feature, Blackmail, and died of cardiac arrest in October 2020, five months after Kapoor.</t>
        </is>
      </c>
      <c r="T164" s="5" t="inlineStr">
        <is>
          <t>SOURCE-264</t>
        </is>
      </c>
      <c r="U164" s="5" t="inlineStr">
        <is>
          <t>High</t>
        </is>
      </c>
    </row>
    <row r="165" ht="184" customHeight="1">
      <c r="A165" s="15" t="inlineStr">
        <is>
          <t>PERSON-164</t>
        </is>
      </c>
      <c r="B165" s="5" t="inlineStr">
        <is>
          <t>Anil Ganguly</t>
        </is>
      </c>
      <c r="C165" s="5" t="inlineStr">
        <is>
          <t>Director</t>
        </is>
      </c>
      <c r="D165" s="17" t="n">
        <v>1933</v>
      </c>
      <c r="E165" s="17" t="n">
        <v>2016</v>
      </c>
      <c r="F165" s="5" t="inlineStr">
        <is>
          <t>1962–2001</t>
        </is>
      </c>
      <c r="G165" s="5" t="inlineStr">
        <is>
          <t>Hindi cinema</t>
        </is>
      </c>
      <c r="H165" s="5" t="inlineStr">
        <is>
          <t>Anil Ganguly (26 January 1933 – 15 January 2016) was an Indian film director and screenwriter who worked in Hindi cinema from the 1970s to 2001. He is best known for Kora Kagaz (1974), starring Jaya Bhaduri, and Tapasya (1975), starring Raakhee, both of which won the National Film Award for Best Popular Film Providing Wholesome Entertainment, and for a series of further films with Raakhee including Trishna, Aanchal and Saaheb. He also adapted Sarat Chandra Chattopadhyay's Parineeta as Sankoch (1976). His daughter is the actress Rupali Ganguly.</t>
        </is>
      </c>
      <c r="I165" s="5" t="inlineStr">
        <is>
          <t>Working from 1962; his breakthrough was Kora Kagaz (1974).</t>
        </is>
      </c>
      <c r="J165" s="5" t="inlineStr">
        <is>
          <t>With Kapoor: Pyar Ke Kabil (1987). Elsewhere, Kora Kagaz, Tapasya, Sankoch and Saaheb.</t>
        </is>
      </c>
      <c r="K165" s="19" t="inlineStr">
        <is>
          <t>The woman's film: sacrifice, estrangement and endurance, usually with the heroine at the centre.</t>
        </is>
      </c>
      <c r="L165" s="19" t="inlineStr">
        <is>
          <t>Restrained melodrama built around a female lead, with literary adaptation a recurring interest.</t>
        </is>
      </c>
      <c r="M165" s="5" t="inlineStr">
        <is>
          <t>Two of his films won the National Film Award for Best Popular Film; their leads Jaya Bhaduri and Raakhee won Filmfare Best Actress awards for them.</t>
        </is>
      </c>
      <c r="N165" s="19" t="inlineStr">
        <is>
          <t>A significant director of the 1970s woman-centred melodrama, a strand that ran parallel to the masala cinema of the same years.</t>
        </is>
      </c>
      <c r="O165" s="19" t="inlineStr">
        <is>
          <t>One film, and late in both careers: Pyar Ke Kabil (1987), a Bappi Lahiri-scored romance from Kapoor's weakest commercial decade. Ganguly's reputation rests on films built around actresses — Kora Kagaz, Tapasya — which makes this single, modest collaboration with a male romantic star an outlier in his filmography rather than a natural fit.</t>
        </is>
      </c>
      <c r="P165" s="17" t="n">
        <v>1</v>
      </c>
      <c r="Q165" s="5" t="inlineStr">
        <is>
          <t>FILM-058</t>
        </is>
      </c>
      <c r="R165" s="5" t="inlineStr">
        <is>
          <t>Pyar Ke Kabil (1987)</t>
        </is>
      </c>
      <c r="S165" s="5" t="inlineStr">
        <is>
          <t>Anil Ganguly directed one Rishi Kapoor film, and the pairing is instructive mainly by contrast. Ganguly's standing came from the woman-centred melodrama: Kora Kagaz with Jaya Bhaduri and Tapasya with Raakhee both won the National Film Award for Best Popular Film and brought their leads Filmfare Best Actress awards, and he made several further films with Raakhee. His cinema was organised around a heroine's endurance rather than a hero's courtship. Pyar Ke Kabil (1987), his one film with Kapoor, is a modest romance with a Bappi Lahiri score from the middle of the actor's thinnest decade. Ganguly worked until 2001 and died in January 2016; his daughter is the actress Rupali Ganguly.</t>
        </is>
      </c>
      <c r="T165" s="5" t="inlineStr">
        <is>
          <t>SOURCE-265</t>
        </is>
      </c>
      <c r="U165" s="5" t="inlineStr">
        <is>
          <t>High</t>
        </is>
      </c>
    </row>
    <row r="166" ht="94" customHeight="1">
      <c r="A166" s="15" t="inlineStr">
        <is>
          <t>PERSON-165</t>
        </is>
      </c>
      <c r="B166" s="5" t="inlineStr">
        <is>
          <t>Anil Nagrath</t>
        </is>
      </c>
      <c r="C166" s="5" t="inlineStr">
        <is>
          <t>Writer</t>
        </is>
      </c>
      <c r="D166" s="18" t="n"/>
      <c r="E166" s="18" t="n"/>
      <c r="F166" s="5" t="n"/>
      <c r="G166" s="5" t="inlineStr">
        <is>
          <t>Hindi cinema</t>
        </is>
      </c>
      <c r="H166" s="5" t="inlineStr">
        <is>
          <t>A writer credited on one film in this filmography, with no Wikipedia article of his own.</t>
        </is>
      </c>
      <c r="I166" s="5" t="n"/>
      <c r="J166" s="5" t="inlineStr">
        <is>
          <t>With Kapoor: Anmol (1993).</t>
        </is>
      </c>
      <c r="K166" s="19" t="inlineStr">
        <is>
          <t>Not documented.</t>
        </is>
      </c>
      <c r="L166" s="19" t="inlineStr">
        <is>
          <t>Not documented; he is credited alongside Prayag Raj and Honey Irani.</t>
        </is>
      </c>
      <c r="M166" s="5" t="n"/>
      <c r="N166" s="19" t="inlineStr">
        <is>
          <t>Not independently documented.</t>
        </is>
      </c>
      <c r="O166" s="19" t="inlineStr">
        <is>
          <t>One film: Anmol (1993), produced by Manmohan Desai and directed by his son Ketan Desai under the MKD Films Combine banner — a late attempt at the family's masala formula, with Kapoor opposite Manisha Koirala.</t>
        </is>
      </c>
      <c r="P166" s="17" t="n">
        <v>1</v>
      </c>
      <c r="Q166" s="5" t="inlineStr">
        <is>
          <t>FILM-096</t>
        </is>
      </c>
      <c r="R166" s="5" t="inlineStr">
        <is>
          <t>Anmol (1993)</t>
        </is>
      </c>
      <c r="S166" s="5" t="inlineStr">
        <is>
          <t>Anil Nagrath is one of four writers credited on Anmol (1993) and has no documented biography. The film belongs to the Desai family's long afterlife in Hindi cinema: produced by Manmohan Desai, directed by his son Ketan Desai, written in part by Prayag Raj and Honey Irani, and assembled from the elements of Amar Akbar Anthony and Naseeb for a market that had moved on. Kapoor plays opposite Manisha Koirala in one of his last leads. As with most collective writing credits of the period, only the better-known names on the list have left a record. This row is built from the film's credits alone.</t>
        </is>
      </c>
      <c r="T166" s="5" t="inlineStr">
        <is>
          <t>SOURCE-089</t>
        </is>
      </c>
      <c r="U166" s="5" t="inlineStr">
        <is>
          <t>Low</t>
        </is>
      </c>
    </row>
    <row r="167" ht="109" customHeight="1">
      <c r="A167" s="15" t="inlineStr">
        <is>
          <t>PERSON-166</t>
        </is>
      </c>
      <c r="B167" s="5" t="inlineStr">
        <is>
          <t>Anil V. Kumar</t>
        </is>
      </c>
      <c r="C167" s="5" t="inlineStr">
        <is>
          <t>Director</t>
        </is>
      </c>
      <c r="D167" s="17" t="n">
        <v>1975</v>
      </c>
      <c r="E167" s="18" t="n"/>
      <c r="F167" s="5" t="n"/>
      <c r="G167" s="5" t="inlineStr">
        <is>
          <t>Hindi cinema; Indian television</t>
        </is>
      </c>
      <c r="H167" s="5" t="inlineStr">
        <is>
          <t>Anil V. Kumar (born 4 June 1975) is an Indian television and film director and producer. He directed the Star Plus serials Kahaani Ghar Ghar Kii and Kahin To Hoga, and in 2010 founded the production house Flying Turtle Films with Shabbir Ahluwalia and Sakett Saawhney, which co-produced Zanjeer in 2013.</t>
        </is>
      </c>
      <c r="I167" s="5" t="inlineStr">
        <is>
          <t>Directing for television before film.</t>
        </is>
      </c>
      <c r="J167" s="5" t="inlineStr">
        <is>
          <t>With Kapoor: Kucch To Hai (2003). Elsewhere, the Balaji television serials and Zanjeer as co-producer.</t>
        </is>
      </c>
      <c r="K167" s="19" t="inlineStr">
        <is>
          <t>Television serial drama and its transfer to film.</t>
        </is>
      </c>
      <c r="L167" s="19" t="inlineStr">
        <is>
          <t>A television director working in the Balaji Telefilms idiom, with occasional film work.</t>
        </is>
      </c>
      <c r="M167" s="5" t="n"/>
      <c r="N167" s="19" t="inlineStr">
        <is>
          <t>Representative of the traffic between Indian television and film in the 2000s.</t>
        </is>
      </c>
      <c r="O167" s="19" t="inlineStr">
        <is>
          <t>One film: Kucch To Hai (2003), a Balaji Motion Pictures horror-slasher in which Kapoor appears in support. The credit is shared — Anurag Basu's article names the same film as his own directorial debut, so this workbook records both men as directors, which the film's credits support.</t>
        </is>
      </c>
      <c r="P167" s="17" t="n">
        <v>1</v>
      </c>
      <c r="Q167" s="5" t="inlineStr">
        <is>
          <t>FILM-115</t>
        </is>
      </c>
      <c r="R167" s="5" t="inlineStr">
        <is>
          <t>Kucch To Hai (2003)</t>
        </is>
      </c>
      <c r="S167" s="5" t="inlineStr">
        <is>
          <t>Anil V. Kumar is one of two directors credited on Kucch To Hai (2003). A television director who made Kahaani Ghar Ghar Kii and Kahin To Hoga for Star Plus and later founded Flying Turtle Films, he belongs to the Balaji Telefilms world that moved into cinema in the early 2000s under Ekta Kapoor. Kucch To Hai, a horror-slasher produced by Balaji Motion Pictures, carries his name alongside Anurag Basu's, whose own article calls the film his directorial debut; both credits stand in this workbook. For Rishi Kapoor the film is one of several supporting parts from the interval before Hum Tum restored him to mainstream work.</t>
        </is>
      </c>
      <c r="T167" s="5" t="inlineStr">
        <is>
          <t>SOURCE-266</t>
        </is>
      </c>
      <c r="U167" s="5" t="inlineStr">
        <is>
          <t>Medium</t>
        </is>
      </c>
    </row>
    <row r="168" ht="139" customHeight="1">
      <c r="A168" s="15" t="inlineStr">
        <is>
          <t>PERSON-167</t>
        </is>
      </c>
      <c r="B168" s="5" t="inlineStr">
        <is>
          <t>Anjana Rawail</t>
        </is>
      </c>
      <c r="C168" s="5" t="inlineStr">
        <is>
          <t>Writer</t>
        </is>
      </c>
      <c r="D168" s="18" t="n"/>
      <c r="E168" s="18" t="n"/>
      <c r="F168" s="5" t="n"/>
      <c r="G168" s="5" t="inlineStr">
        <is>
          <t>Hindi cinema</t>
        </is>
      </c>
      <c r="H168" s="5" t="inlineStr">
        <is>
          <t>A writer credited on one film in this filmography, with no Wikipedia article of her own. She shares a surname with the film's director H. S. Rawail and with his son Rahul Rawail, who is also credited on it; two other women named Rawail — Ruhi and Rita — hold credits on later films in this workbook, so the name recurs across the family's productions, though the exact relationships are not documented here.</t>
        </is>
      </c>
      <c r="I168" s="5" t="n"/>
      <c r="J168" s="5" t="inlineStr">
        <is>
          <t>With Kapoor: Laila Majnu (1976).</t>
        </is>
      </c>
      <c r="K168" s="19" t="inlineStr">
        <is>
          <t>The classical tragic romance.</t>
        </is>
      </c>
      <c r="L168" s="19" t="inlineStr">
        <is>
          <t>Not documented; she is credited with Abrar Alvi and H. S. Rawail.</t>
        </is>
      </c>
      <c r="M168" s="5" t="n"/>
      <c r="N168" s="19" t="inlineStr">
        <is>
          <t>Not independently documented.</t>
        </is>
      </c>
      <c r="O168" s="19" t="inlineStr">
        <is>
          <t>One film, and a notable one: H. S. Rawail's Laila Majnu (1976), in which Kapoor played Qais opposite Ranjeeta Kaur in the classical Arabic love legend — the first film to ask him for tragic rather than teenage love. She shares the writing credit with Abrar Alvi, the writer of Pyaasa.</t>
        </is>
      </c>
      <c r="P168" s="17" t="n">
        <v>1</v>
      </c>
      <c r="Q168" s="5" t="inlineStr">
        <is>
          <t>FILM-013</t>
        </is>
      </c>
      <c r="R168" s="5" t="inlineStr">
        <is>
          <t>Laila Majnu (1976)</t>
        </is>
      </c>
      <c r="S168" s="5" t="inlineStr">
        <is>
          <t>Anjana Rawail is credited as a writer on Laila Majnu (1976) and has no documented biography. The film is one of the more significant of Kapoor's early career: H. S. Rawail's version of the Qais and Laila legend, in which love destroys rather than rewards, and the first serious departure from the Bobby persona. She shares the credit with Abrar Alvi and with the director himself, and her surname places her inside the Rawail family that accounts for several credits in this workbook — H. S. Rawail directing, Rahul Rawail directing and writing, and Ruhi and Rita Rawail credited on later films. The relationships are not documented in the sources consulted here.</t>
        </is>
      </c>
      <c r="T168" s="5" t="inlineStr">
        <is>
          <t>SOURCE-011</t>
        </is>
      </c>
      <c r="U168" s="5" t="inlineStr">
        <is>
          <t>Low</t>
        </is>
      </c>
    </row>
    <row r="169" ht="124" customHeight="1">
      <c r="A169" s="15" t="inlineStr">
        <is>
          <t>PERSON-168</t>
        </is>
      </c>
      <c r="B169" s="5" t="inlineStr">
        <is>
          <t>Ankit Tiwari</t>
        </is>
      </c>
      <c r="C169" s="5" t="inlineStr">
        <is>
          <t>Song composer</t>
        </is>
      </c>
      <c r="D169" s="18" t="n"/>
      <c r="E169" s="18" t="n"/>
      <c r="F169" s="5" t="inlineStr">
        <is>
          <t>2010–present</t>
        </is>
      </c>
      <c r="G169" s="5" t="inlineStr">
        <is>
          <t>Hindi cinema</t>
        </is>
      </c>
      <c r="H169" s="5" t="inlineStr">
        <is>
          <t>Ankit Tiwari, from Kanpur, is an Indian playback singer, composer and music director. He began with jingles and television background music after meeting Pradeep Sarkar, and was then offered Do Dooni Chaar (2010) and Saheb, Biwi Aur Gangster (2011), the latter beginning his career as a singer.</t>
        </is>
      </c>
      <c r="I169" s="5" t="inlineStr">
        <is>
          <t>Composing for film with Do Dooni Chaar (2010).</t>
        </is>
      </c>
      <c r="J169" s="5" t="inlineStr">
        <is>
          <t>With Kapoor: Do Dooni Chaar (2010). Elsewhere, 'Galliyan' from Ek Villain, for which he won the Filmfare Award for Best Male Playback Singer.</t>
        </is>
      </c>
      <c r="K169" s="19" t="inlineStr">
        <is>
          <t>The romantic ballad sung by its own composer.</t>
        </is>
      </c>
      <c r="L169" s="19" t="inlineStr">
        <is>
          <t>A singer-composer whose voice is the identifying feature of his work.</t>
        </is>
      </c>
      <c r="M169" s="5" t="inlineStr">
        <is>
          <t>Filmfare Award for Best Male Playback Singer for 'Galliyan' from Ek Villain, with further Filmfare nominations as composer and singer.</t>
        </is>
      </c>
      <c r="N169" s="19" t="inlineStr">
        <is>
          <t>One of the composer-singers who emerged in the 2010s when soundtracks were commissioned song by song.</t>
        </is>
      </c>
      <c r="O169" s="19" t="inlineStr">
        <is>
          <t>One film, and it is the one that mattered most to Kapoor's late career: Do Dooni Chaar (2010) was Tiwari's first film as composer, and the film in which Kapoor and Neetu Singh played a Delhi schoolteacher and his wife — the performance that won Kapoor the Filmfare Critics Award for Best Actor and established him as a character actor.</t>
        </is>
      </c>
      <c r="P169" s="17" t="n">
        <v>1</v>
      </c>
      <c r="Q169" s="5" t="inlineStr">
        <is>
          <t>FILM-134</t>
        </is>
      </c>
      <c r="R169" s="5" t="inlineStr">
        <is>
          <t>Do Dooni Chaar (2010)</t>
        </is>
      </c>
      <c r="S169" s="5" t="inlineStr">
        <is>
          <t>Ankit Tiwari's first film as a composer was also the film that remade Rishi Kapoor's career. A singer and composer from Kanpur who came into films through jingles and television work, Tiwari was offered Do Dooni Chaar in 2010 — a small, closely observed comedy about a Delhi mathematics teacher, his wife and their ambition to own a car. Kapoor played the teacher opposite Neetu Singh, his wife and his co-star from a dozen 1970s films, and won the Filmfare Critics Award for Best Actor; the film is routinely treated as the start of his second career. Tiwari went on to win a Filmfare Award for singing 'Galliyan' from Ek Villain. Both men's reputations turn, in part, on the same small film.</t>
        </is>
      </c>
      <c r="T169" s="5" t="inlineStr">
        <is>
          <t>SOURCE-267</t>
        </is>
      </c>
      <c r="U169" s="5" t="inlineStr">
        <is>
          <t>High</t>
        </is>
      </c>
    </row>
    <row r="170" ht="139" customHeight="1">
      <c r="A170" s="15" t="inlineStr">
        <is>
          <t>PERSON-169</t>
        </is>
      </c>
      <c r="B170" s="5" t="inlineStr">
        <is>
          <t>Anubhav Sinha</t>
        </is>
      </c>
      <c r="C170" s="5" t="inlineStr">
        <is>
          <t>Director; Producer; Writer</t>
        </is>
      </c>
      <c r="D170" s="17" t="n">
        <v>1965</v>
      </c>
      <c r="E170" s="18" t="n"/>
      <c r="F170" s="5" t="inlineStr">
        <is>
          <t>1993–present</t>
        </is>
      </c>
      <c r="G170" s="5" t="inlineStr">
        <is>
          <t>Hindi cinema</t>
        </is>
      </c>
      <c r="H170" s="5" t="inlineStr">
        <is>
          <t>Anubhav Sinha (born 22 June 1965 in Allahabad) is an Indian director, producer and writer in Hindi cinema. After commercial films including Tum Bin (2001), Dus (2005) and Ra.One (2011) he turned to a series of socio-political films — Mulk (2018), Article 15 (2019), Thappad (2020), Anek (2022) and Bheed (2023) — and made the Netflix series IC 814: The Kandahar Hijack (2024).</t>
        </is>
      </c>
      <c r="I170" s="5" t="inlineStr">
        <is>
          <t>Working from 1993; Tum Bin (2001) was his breakthrough.</t>
        </is>
      </c>
      <c r="J170" s="5" t="inlineStr">
        <is>
          <t>With Kapoor: Mulk (2018). Elsewhere, Tum Bin, Ra.One, Article 15 and Thappad.</t>
        </is>
      </c>
      <c r="K170" s="19" t="inlineStr">
        <is>
          <t>Citizenship, prejudice and the law; the family forced to argue its own legitimacy in public.</t>
        </is>
      </c>
      <c r="L170" s="19" t="inlineStr">
        <is>
          <t>Argument-driven social cinema with courtroom and confrontation structures, made in a realist register after 2018.</t>
        </is>
      </c>
      <c r="M170" s="5" t="n"/>
      <c r="N170" s="19" t="inlineStr">
        <is>
          <t>One of the principal makers of politically engaged mainstream Hindi cinema in the late 2010s.</t>
        </is>
      </c>
      <c r="O170" s="19" t="inlineStr">
        <is>
          <t>One film, and one of the best things Kapoor did: Mulk (2018), in which he plays Murad Ali Mohammed, the head of a Muslim family in Varanasi whose nephew commits a terrorist act and whose household is then forced to prove its loyalty in court. The role gave him a weight nothing in his lead career had asked for, and it came two years before his death.</t>
        </is>
      </c>
      <c r="P170" s="17" t="n">
        <v>1</v>
      </c>
      <c r="Q170" s="5" t="inlineStr">
        <is>
          <t>FILM-155</t>
        </is>
      </c>
      <c r="R170" s="5" t="inlineStr">
        <is>
          <t>Mulk (2018)</t>
        </is>
      </c>
      <c r="S170" s="5" t="inlineStr">
        <is>
          <t>Anubhav Sinha directed the film that gave Rishi Kapoor his most serious late role. Sinha spent the 2000s in commercial cinema — Tum Bin, Dus, Ra.One — before turning in 2018 to a run of socio-political films that made his reputation: Mulk, Article 15, Thappad, Anek, Bheed. In Mulk, Kapoor plays Murad Ali Mohammed, a Varanasi lawyer's elder brother whose family is publicly suspected after his nephew joins a terrorist attack, and who must watch his own belonging be litigated. It is a performance of restraint from an actor whose fame rested on charm, and it came in the last two years of his life. Sinha later made the Netflix series IC 814: The Kandahar Hijack.</t>
        </is>
      </c>
      <c r="T170" s="5" t="inlineStr">
        <is>
          <t>SOURCE-268</t>
        </is>
      </c>
      <c r="U170" s="5" t="inlineStr">
        <is>
          <t>High</t>
        </is>
      </c>
    </row>
    <row r="171" ht="94" customHeight="1">
      <c r="A171" s="15" t="inlineStr">
        <is>
          <t>PERSON-170</t>
        </is>
      </c>
      <c r="B171" s="5" t="inlineStr">
        <is>
          <t>Anuj Sharma</t>
        </is>
      </c>
      <c r="C171" s="5" t="inlineStr">
        <is>
          <t>Producer</t>
        </is>
      </c>
      <c r="D171" s="18" t="n"/>
      <c r="E171" s="18" t="n"/>
      <c r="F171" s="5" t="n"/>
      <c r="G171" s="5" t="inlineStr">
        <is>
          <t>Hindi cinema</t>
        </is>
      </c>
      <c r="H171" s="5" t="inlineStr">
        <is>
          <t>A producer credited on one film in this filmography, with no Wikipedia article of his own.</t>
        </is>
      </c>
      <c r="I171" s="5" t="n"/>
      <c r="J171" s="5" t="inlineStr">
        <is>
          <t>With Kapoor: Jhootha Kahin Ka (2019).</t>
        </is>
      </c>
      <c r="K171" s="19" t="inlineStr">
        <is>
          <t>Not documented.</t>
        </is>
      </c>
      <c r="L171" s="19" t="inlineStr">
        <is>
          <t>Not documented.</t>
        </is>
      </c>
      <c r="M171" s="5" t="n"/>
      <c r="N171" s="19" t="inlineStr">
        <is>
          <t>Not independently documented.</t>
        </is>
      </c>
      <c r="O171" s="19" t="inlineStr">
        <is>
          <t>One film: Jhootha Kahin Ka (2019), a farce co-produced with Deepak Mukut and released months before Kapoor's death — one of his last appearances and among the least regarded films in the filmography.</t>
        </is>
      </c>
      <c r="P171" s="17" t="n">
        <v>1</v>
      </c>
      <c r="Q171" s="5" t="inlineStr">
        <is>
          <t>FILM-158</t>
        </is>
      </c>
      <c r="R171" s="5" t="inlineStr">
        <is>
          <t>Jhootha Kahin Ka (2019)</t>
        </is>
      </c>
      <c r="S171" s="5" t="inlineStr">
        <is>
          <t>Anuj Sharma co-produced Jhootha Kahin Ka (2019) and has no documented biography. The film is a broad comedy of deception in which the surviving account of Kapoor's character is internally inconsistent — the article describes him in consecutive sentences as a Punjabi farmer and as a retired police inspector — and it was one of his final releases. It came from the same producer group as Mulk the year before, which gives a fair picture of the range an independent banner offered him at the end: one film of substance, one that simply paid. This row is built from the film's credits alone.</t>
        </is>
      </c>
      <c r="T171" s="5" t="inlineStr">
        <is>
          <t>SOURCE-150</t>
        </is>
      </c>
      <c r="U171" s="5" t="inlineStr">
        <is>
          <t>Low</t>
        </is>
      </c>
    </row>
    <row r="172" ht="79" customHeight="1">
      <c r="A172" s="15" t="inlineStr">
        <is>
          <t>PERSON-171</t>
        </is>
      </c>
      <c r="B172" s="5" t="inlineStr">
        <is>
          <t>Anuraag Parparna</t>
        </is>
      </c>
      <c r="C172" s="5" t="inlineStr">
        <is>
          <t>Writer</t>
        </is>
      </c>
      <c r="D172" s="18" t="n"/>
      <c r="E172" s="18" t="n"/>
      <c r="F172" s="5" t="n"/>
      <c r="G172" s="5" t="inlineStr">
        <is>
          <t>Hindi cinema</t>
        </is>
      </c>
      <c r="H172" s="5" t="inlineStr">
        <is>
          <t>A writer credited on one film in this filmography, with no Wikipedia article of his own.</t>
        </is>
      </c>
      <c r="I172" s="5" t="n"/>
      <c r="J172" s="5" t="inlineStr">
        <is>
          <t>With Kapoor: Kucch To Hai (2003).</t>
        </is>
      </c>
      <c r="K172" s="19" t="inlineStr">
        <is>
          <t>Not documented.</t>
        </is>
      </c>
      <c r="L172" s="19" t="inlineStr">
        <is>
          <t>Not documented.</t>
        </is>
      </c>
      <c r="M172" s="5" t="n"/>
      <c r="N172" s="19" t="inlineStr">
        <is>
          <t>Not independently documented.</t>
        </is>
      </c>
      <c r="O172" s="19" t="inlineStr">
        <is>
          <t>One film: Kucch To Hai (2003), the Balaji Motion Pictures horror-slasher credited to two directors, Anurag Basu and Anil V. Kumar, with Kapoor in support.</t>
        </is>
      </c>
      <c r="P172" s="17" t="n">
        <v>1</v>
      </c>
      <c r="Q172" s="5" t="inlineStr">
        <is>
          <t>FILM-115</t>
        </is>
      </c>
      <c r="R172" s="5" t="inlineStr">
        <is>
          <t>Kucch To Hai (2003)</t>
        </is>
      </c>
      <c r="S172" s="5" t="inlineStr">
        <is>
          <t>Anuraag Parparna is credited as a writer on Kucch To Hai (2003) and has no documented biography. The film belongs to Balaji Telefilms' early move into cinema and is the directorial debut Anurag Basu's own article claims, though Anil V. Kumar is credited alongside him; Kapoor appears in a supporting role during the quiet years before Hum Tum. Little about the production is documented beyond its credits, and this row rests on them alone.</t>
        </is>
      </c>
      <c r="T172" s="5" t="inlineStr">
        <is>
          <t>SOURCE-107</t>
        </is>
      </c>
      <c r="U172" s="5" t="inlineStr">
        <is>
          <t>Low</t>
        </is>
      </c>
    </row>
    <row r="173" ht="154" customHeight="1">
      <c r="A173" s="15" t="inlineStr">
        <is>
          <t>PERSON-172</t>
        </is>
      </c>
      <c r="B173" s="5" t="inlineStr">
        <is>
          <t>Anurag Basu</t>
        </is>
      </c>
      <c r="C173" s="5" t="inlineStr">
        <is>
          <t>Director</t>
        </is>
      </c>
      <c r="D173" s="17" t="n">
        <v>1970</v>
      </c>
      <c r="E173" s="18" t="n"/>
      <c r="F173" s="5" t="inlineStr">
        <is>
          <t>1995–present</t>
        </is>
      </c>
      <c r="G173" s="5" t="inlineStr">
        <is>
          <t>Hindi cinema</t>
        </is>
      </c>
      <c r="H173" s="5" t="inlineStr">
        <is>
          <t>Anurag Basu (born 8 May 1970 in Bhilai) is an Indian director, screenwriter, cinematographer, producer and actor. After initial setbacks his breakthrough was Murder (2004), followed by Gangster: A Love Story (2006) and the ensemble urban drama Life in a... Metro (2007), which won him the Filmfare Award for Best Screenplay and a nomination for Best Director. He received two further Best Director nominations, including for Barfi! (2012).</t>
        </is>
      </c>
      <c r="I173" s="5" t="inlineStr">
        <is>
          <t>His article names the Balaji Motion Pictures horror film Kucch To Hai (2003) as his directorial debut.</t>
        </is>
      </c>
      <c r="J173" s="5" t="inlineStr">
        <is>
          <t>With Kapoor: Kucch To Hai (2003). Elsewhere, Murder, Gangster, Life in a... Metro, Barfi! and Jagga Jasoos.</t>
        </is>
      </c>
      <c r="K173" s="19" t="inlineStr">
        <is>
          <t>The city as a web of intersecting lives; romance complicated by class and circumstance; the outsider protagonist.</t>
        </is>
      </c>
      <c r="L173" s="19" t="inlineStr">
        <is>
          <t>An ensemble storyteller with a strong visual and musical sense, frequently writing his own screenplays.</t>
        </is>
      </c>
      <c r="M173" s="5" t="inlineStr">
        <is>
          <t>Filmfare Award for Best Screenplay for Life in a... Metro, with three Filmfare nominations for Best Director.</t>
        </is>
      </c>
      <c r="N173" s="19" t="inlineStr">
        <is>
          <t>One of the defining directors of 2000s urban Hindi cinema.</t>
        </is>
      </c>
      <c r="O173" s="19" t="inlineStr">
        <is>
          <t>One film: Kucch To Hai (2003), which his article calls his directorial debut and which this workbook credits to him alongside Anil V. Kumar. Kapoor appears in support. The connection has a coda outside this filmography — Basu later directed Barfi! and Jagga Jasoos with Ranbir Kapoor, the actor's son.</t>
        </is>
      </c>
      <c r="P173" s="17" t="n">
        <v>1</v>
      </c>
      <c r="Q173" s="5" t="inlineStr">
        <is>
          <t>FILM-115</t>
        </is>
      </c>
      <c r="R173" s="5" t="inlineStr">
        <is>
          <t>Kucch To Hai (2003)</t>
        </is>
      </c>
      <c r="S173" s="5" t="inlineStr">
        <is>
          <t>Anurag Basu's directorial debut, by his own article's account, was a film in which Rishi Kapoor took a supporting part. Kucch To Hai (2003) was a Balaji Motion Pictures horror-slasher, credited to Basu and Anil V. Kumar, made before the run of films that established him — Murder, Gangster, and Life in a... Metro, which won him the Filmfare Award for Best Screenplay and the first of three Best Director nominations. Kapoor was then between careers, taking whatever supporting work was available. Basu went on to direct Kapoor's son Ranbir twice, in Barfi! and Jagga Jasoos, so the association continued into the next generation even though he never worked with the father again.</t>
        </is>
      </c>
      <c r="T173" s="5" t="inlineStr">
        <is>
          <t>SOURCE-269</t>
        </is>
      </c>
      <c r="U173" s="5" t="inlineStr">
        <is>
          <t>High</t>
        </is>
      </c>
    </row>
    <row r="174" ht="124" customHeight="1">
      <c r="A174" s="15" t="inlineStr">
        <is>
          <t>PERSON-173</t>
        </is>
      </c>
      <c r="B174" s="5" t="inlineStr">
        <is>
          <t>Anurag Saikia</t>
        </is>
      </c>
      <c r="C174" s="5" t="inlineStr">
        <is>
          <t>Song composer</t>
        </is>
      </c>
      <c r="D174" s="17" t="n">
        <v>1988</v>
      </c>
      <c r="E174" s="18" t="n"/>
      <c r="F174" s="5" t="n"/>
      <c r="G174" s="5" t="inlineStr">
        <is>
          <t>Hindi cinema; Assamese cinema</t>
        </is>
      </c>
      <c r="H174" s="5" t="inlineStr">
        <is>
          <t>Anurag Saikia (born December 1988) is an Indian film score composer, music director, producer and instrumentalist from Moran in Assam. He is one of the youngest recipients of the Rajat Kamal for Best Non-Feature Film Music Direction, for Yugadrashta. His mother Dipali Saikia is an All India Radio artist and teacher and his father Dr. Anil Saikia an academician.</t>
        </is>
      </c>
      <c r="I174" s="5" t="inlineStr">
        <is>
          <t>Composing for Assamese and Hindi films from the 2010s.</t>
        </is>
      </c>
      <c r="J174" s="5" t="inlineStr">
        <is>
          <t>With Kapoor: Mulk (2018). Elsewhere, Yugadrashta and Assamese film and independent work.</t>
        </is>
      </c>
      <c r="K174" s="19" t="inlineStr">
        <is>
          <t>Regional and devotional material in a restrained score; music that supports argument rather than spectacle.</t>
        </is>
      </c>
      <c r="L174" s="19" t="inlineStr">
        <is>
          <t>A score-first composer working across Assamese and Hindi cinema, trained in classical and folk forms.</t>
        </is>
      </c>
      <c r="M174" s="5" t="inlineStr">
        <is>
          <t>Rajat Kamal (National Film Award) for Best Non-Feature Film Music Direction for Yugadrashta.</t>
        </is>
      </c>
      <c r="N174" s="19" t="inlineStr">
        <is>
          <t>One of the few composers from the Assamese industry to work regularly in mainstream Hindi cinema.</t>
        </is>
      </c>
      <c r="O174" s="19" t="inlineStr">
        <is>
          <t>One film: Anubhav Sinha's Mulk (2018), in which Kapoor plays the head of a Muslim family in Varanasi defending its loyalty in court. The film's music is deliberately sparse, which suits a picture built on argument — a register that appears almost nowhere else in a filmography otherwise dominated by song.</t>
        </is>
      </c>
      <c r="P174" s="17" t="n">
        <v>1</v>
      </c>
      <c r="Q174" s="5" t="inlineStr">
        <is>
          <t>FILM-155</t>
        </is>
      </c>
      <c r="R174" s="5" t="inlineStr">
        <is>
          <t>Mulk (2018)</t>
        </is>
      </c>
      <c r="S174" s="5" t="inlineStr">
        <is>
          <t>Anurag Saikia scored Mulk (2018), the film that gave Rishi Kapoor his most substantial late role. Born in Moran in Assam in 1988 to an All India Radio artist and an academician, Saikia is among the youngest winners of the Rajat Kamal for non-feature music direction and works across Assamese and Hindi cinema. Mulk, Anubhav Sinha's drama about a Varanasi Muslim family forced to prove its loyalty after a nephew's terrorist act, asks for restraint rather than melody, and Kapoor's performance as Murad Ali Mohammed depends on that quiet. In a filmography where thirty-two films were scored by Laxmikant–Pyarelal and the songs usually carried the picture, a film in which the music stays out of the way is itself notable.</t>
        </is>
      </c>
      <c r="T174" s="5" t="inlineStr">
        <is>
          <t>SOURCE-270</t>
        </is>
      </c>
      <c r="U174" s="5" t="inlineStr">
        <is>
          <t>High</t>
        </is>
      </c>
    </row>
    <row r="175" ht="124" customHeight="1">
      <c r="A175" s="15" t="inlineStr">
        <is>
          <t>PERSON-174</t>
        </is>
      </c>
      <c r="B175" s="5" t="inlineStr">
        <is>
          <t>Anvita Dutt Guptan</t>
        </is>
      </c>
      <c r="C175" s="5" t="inlineStr">
        <is>
          <t>Writer</t>
        </is>
      </c>
      <c r="D175" s="17" t="n">
        <v>1972</v>
      </c>
      <c r="E175" s="18" t="n"/>
      <c r="F175" s="5" t="inlineStr">
        <is>
          <t>2005–present</t>
        </is>
      </c>
      <c r="G175" s="5" t="inlineStr">
        <is>
          <t>Hindi cinema</t>
        </is>
      </c>
      <c r="H175" s="5" t="inlineStr">
        <is>
          <t>Anvita Dutt (born 20 February 1972 in New Delhi), credited on this film as Anvita Dutt Guptan, is an Indian dialogue, screenplay and story writer, lyricist and director of Hindi films.</t>
        </is>
      </c>
      <c r="I175" s="5" t="inlineStr">
        <is>
          <t>Writing for films from 2005, initially as a lyricist and dialogue writer.</t>
        </is>
      </c>
      <c r="J175" s="5" t="inlineStr">
        <is>
          <t>With Kapoor: Patiala House (2011), on which she is credited as both writer and lyricist. Elsewhere, her lyrics for a long run of 2000s Hindi films and her later work as a director.</t>
        </is>
      </c>
      <c r="K175" s="19" t="inlineStr">
        <is>
          <t>The woman's interior life; family authority questioned from within.</t>
        </is>
      </c>
      <c r="L175" s="19" t="inlineStr">
        <is>
          <t>A lyricist-writer with an ear for colloquial dialogue, later a director in her own right.</t>
        </is>
      </c>
      <c r="M175" s="5" t="n"/>
      <c r="N175" s="19" t="inlineStr">
        <is>
          <t>One of the few women writing dialogue and lyrics across mainstream 2000s Hindi cinema, and later a notable director.</t>
        </is>
      </c>
      <c r="O175" s="19" t="inlineStr">
        <is>
          <t>One film: Nikkhil Advani's Patiala House (2011), for which she wrote and also supplied the lyrics. Kapoor plays the Southall patriarch whose bitterness after a racist attack leads him to forbid his son's cricket career — a role built on paternal authority, which is exactly the structure her writing tends to question.</t>
        </is>
      </c>
      <c r="P175" s="17" t="n">
        <v>2</v>
      </c>
      <c r="Q175" s="5" t="inlineStr">
        <is>
          <t>FILM-135; FILM-139</t>
        </is>
      </c>
      <c r="R175" s="5" t="inlineStr">
        <is>
          <t>Patiala House (2011)</t>
        </is>
      </c>
      <c r="S175" s="5" t="inlineStr">
        <is>
          <t>Anvita Dutt wrote and supplied the lyrics for Patiala House (2011), one of the stronger films of Rishi Kapoor's late career. Born in New Delhi in 1972, she worked through the 2000s as a lyricist and dialogue writer on a long list of mainstream Hindi films before becoming a director herself. In Patiala House she wrote the role of Gurtej Singh Kahlon, the London Punjabi father whose experience of racist violence hardens into control over his son's life — the part gave Kapoor something colder than the benign patriarchs he was usually offered, and reunited him on screen with Dimple Kapadia for the fourth time since Bobby. She is one of very few women credited as writers anywhere in this workbook.</t>
        </is>
      </c>
      <c r="T175" s="5" t="inlineStr">
        <is>
          <t>SOURCE-271</t>
        </is>
      </c>
      <c r="U175" s="5" t="inlineStr">
        <is>
          <t>Medium</t>
        </is>
      </c>
    </row>
    <row r="176" ht="94" customHeight="1">
      <c r="A176" s="15" t="inlineStr">
        <is>
          <t>PERSON-175</t>
        </is>
      </c>
      <c r="B176" s="5" t="inlineStr">
        <is>
          <t>Anwar Khan</t>
        </is>
      </c>
      <c r="C176" s="5" t="inlineStr">
        <is>
          <t>Writer</t>
        </is>
      </c>
      <c r="D176" s="18" t="n"/>
      <c r="E176" s="18" t="n"/>
      <c r="F176" s="5" t="n"/>
      <c r="G176" s="5" t="inlineStr">
        <is>
          <t>Hindi cinema</t>
        </is>
      </c>
      <c r="H176" s="5" t="inlineStr">
        <is>
          <t>A writer credited on one film in this filmography. He has no Wikipedia article of his own: the bare name leads to a disambiguation page listing cricketers, politicians and others, none of them this writer.</t>
        </is>
      </c>
      <c r="I176" s="5" t="n"/>
      <c r="J176" s="5" t="inlineStr">
        <is>
          <t>With Kapoor: Azaad Desh Ke Gulam (1990).</t>
        </is>
      </c>
      <c r="K176" s="19" t="inlineStr">
        <is>
          <t>Not documented.</t>
        </is>
      </c>
      <c r="L176" s="19" t="inlineStr">
        <is>
          <t>Not documented.</t>
        </is>
      </c>
      <c r="M176" s="5" t="n"/>
      <c r="N176" s="19" t="inlineStr">
        <is>
          <t>Not independently documented.</t>
        </is>
      </c>
      <c r="O176" s="19" t="inlineStr">
        <is>
          <t>One film: Azaad Desh Ke Gulam (1990), a Laxmikant–Pyarelal-scored film from the densest and least documented stretch of the filmography, when Kapoor was releasing three or four pictures a year to almost no critical attention.</t>
        </is>
      </c>
      <c r="P176" s="17" t="n">
        <v>1</v>
      </c>
      <c r="Q176" s="5" t="inlineStr">
        <is>
          <t>FILM-076</t>
        </is>
      </c>
      <c r="R176" s="5" t="inlineStr">
        <is>
          <t>Azaad Desh Ke Gulam (1990)</t>
        </is>
      </c>
      <c r="S176" s="5" t="inlineStr">
        <is>
          <t>Anwar Khan is credited as a writer on Azaad Desh Ke Gulam (1990) and has no documented biography; his name on Wikipedia resolves only to a disambiguation page of cricketers and politicians. The film comes from the period between 1989 and 1991 in which Kapoor appeared in nine releases, most of them melodramas scored by Laxmikant–Pyarelal and reviewed by nobody, and it is among the least documented entries in this workbook. This row is built from the film's credits alone.</t>
        </is>
      </c>
      <c r="T176" s="5" t="inlineStr">
        <is>
          <t>SOURCE-072</t>
        </is>
      </c>
      <c r="U176" s="5" t="inlineStr">
        <is>
          <t>Low</t>
        </is>
      </c>
    </row>
    <row r="177" ht="109" customHeight="1">
      <c r="A177" s="15" t="inlineStr">
        <is>
          <t>PERSON-176</t>
        </is>
      </c>
      <c r="B177" s="5" t="inlineStr">
        <is>
          <t>Apoorva Mehta</t>
        </is>
      </c>
      <c r="C177" s="5" t="inlineStr">
        <is>
          <t>Producer</t>
        </is>
      </c>
      <c r="D177" s="18" t="n"/>
      <c r="E177" s="18" t="n"/>
      <c r="F177" s="5" t="n"/>
      <c r="G177" s="5" t="inlineStr">
        <is>
          <t>Hindi cinema</t>
        </is>
      </c>
      <c r="H177" s="5" t="inlineStr">
        <is>
          <t>A producer credited on one film in this filmography, with no Wikipedia article of his own; the bare name resolves to an unrelated Canadian-American businessman. His credits here come through Dharma Productions, alongside Hiroo Yash Johar and Karan Johar.</t>
        </is>
      </c>
      <c r="I177" s="5" t="n"/>
      <c r="J177" s="5" t="inlineStr">
        <is>
          <t>With Kapoor: Kapoor &amp; Sons (2016).</t>
        </is>
      </c>
      <c r="K177" s="19" t="inlineStr">
        <is>
          <t>The Dharma Productions slate of family and youth films.</t>
        </is>
      </c>
      <c r="L177" s="19" t="inlineStr">
        <is>
          <t>Not documented.</t>
        </is>
      </c>
      <c r="M177" s="5" t="n"/>
      <c r="N177" s="19" t="inlineStr">
        <is>
          <t>Not independently documented.</t>
        </is>
      </c>
      <c r="O177" s="19" t="inlineStr">
        <is>
          <t>One film: Kapoor &amp; Sons (2016), in which Kapoor plays the ninety-year-old grandfather under heavy prosthetics — the performance that drew the warmest notices of his late career and won him the Filmfare Award for Best Supporting Actor. He is credited as producer with Hiroo Yash Johar and Karan Johar.</t>
        </is>
      </c>
      <c r="P177" s="17" t="n">
        <v>1</v>
      </c>
      <c r="Q177" s="5" t="inlineStr">
        <is>
          <t>FILM-152</t>
        </is>
      </c>
      <c r="R177" s="5" t="inlineStr">
        <is>
          <t>Kapoor &amp; Sons (2016)</t>
        </is>
      </c>
      <c r="S177" s="5" t="inlineStr">
        <is>
          <t>Apoorva Mehta is credited as a producer on Kapoor &amp; Sons (2016), and no biography of him can be sourced here — the name on Wikipedia belongs to an unrelated businessman, which is how an earlier pass of this research briefly attached the wrong article to him. The film itself is among the most important of Rishi Kapoor's second career: a Dharma Productions family drama in which he plays a mischievous ninety-year-old patriarch, buried in prosthetics, whose wish for a single photograph of the whole family frames the story. It won him the Filmfare Award for Best Supporting Actor. This row is built from the film's credits alone.</t>
        </is>
      </c>
      <c r="T177" s="5" t="inlineStr">
        <is>
          <t>SOURCE-144</t>
        </is>
      </c>
      <c r="U177" s="5" t="inlineStr">
        <is>
          <t>Low</t>
        </is>
      </c>
    </row>
    <row r="178" ht="169" customHeight="1">
      <c r="A178" s="15" t="inlineStr">
        <is>
          <t>PERSON-177</t>
        </is>
      </c>
      <c r="B178" s="5" t="inlineStr">
        <is>
          <t>Arindam Chaudhuri</t>
        </is>
      </c>
      <c r="C178" s="5" t="inlineStr">
        <is>
          <t>Producer</t>
        </is>
      </c>
      <c r="D178" s="18" t="n"/>
      <c r="E178" s="18" t="n"/>
      <c r="F178" s="5" t="n"/>
      <c r="G178" s="5" t="inlineStr">
        <is>
          <t>Hindi cinema; Bengali cinema</t>
        </is>
      </c>
      <c r="H178" s="5" t="inlineStr">
        <is>
          <t>Arindam Chaudhuri is an Indian businessman best known for his involvement with the now-defunct Indian Institute of Planning and Management, an unaccredited institute widely criticised for false advertisement and fraudulent practices; he was arrested in August 2020 for tax evasion. Through Planman Motion Pictures he produced Bengali films including Sanjhbatir Rupkathara (2002) and Dosar (2006), the National Film Award-winning Faltu (2006), and The Last Lear, which won the National Film Award for Best Film in English.</t>
        </is>
      </c>
      <c r="I178" s="5" t="inlineStr">
        <is>
          <t>Film production through Planman Motion Pictures from the early 2000s.</t>
        </is>
      </c>
      <c r="J178" s="5" t="inlineStr">
        <is>
          <t>With Kapoor: Do Dooni Chaar (2010). Elsewhere, Faltu, Dosar and The Last Lear.</t>
        </is>
      </c>
      <c r="K178" s="19" t="inlineStr">
        <is>
          <t>Small, award-minded films produced alongside an education business.</t>
        </is>
      </c>
      <c r="L178" s="19" t="inlineStr">
        <is>
          <t>A businessman-producer backing art-house and festival films rather than commercial vehicles.</t>
        </is>
      </c>
      <c r="M178" s="5" t="inlineStr">
        <is>
          <t>His productions won National Film Awards, including for Faltu and The Last Lear.</t>
        </is>
      </c>
      <c r="N178" s="19" t="inlineStr">
        <is>
          <t>Documented mainly for the collapse of his education business; in film, for a short run of award-winning small productions.</t>
        </is>
      </c>
      <c r="O178" s="19" t="inlineStr">
        <is>
          <t>One film, and it is the hinge of Kapoor's late career: Planman Motion Pictures produced Do Dooni Chaar (2010), the modest comedy in which he and Neetu Singh played a Delhi schoolteacher and his wife, and for which he won the Filmfare Critics Award for Best Actor. That the film which restored his critical standing came from a producer now better known for an education scandal is among the odder facts in this filmography.</t>
        </is>
      </c>
      <c r="P178" s="17" t="n">
        <v>1</v>
      </c>
      <c r="Q178" s="5" t="inlineStr">
        <is>
          <t>FILM-134</t>
        </is>
      </c>
      <c r="R178" s="5" t="inlineStr">
        <is>
          <t>Do Dooni Chaar (2010)</t>
        </is>
      </c>
      <c r="S178" s="5" t="inlineStr">
        <is>
          <t>Arindam Chaudhuri produced the film that re-established Rishi Kapoor as a serious actor. Chaudhuri's public reputation rests elsewhere — on the Indian Institute of Planning and Management, an unaccredited business school criticised for false advertising and later wound up, and on his 2020 arrest for tax evasion — but through Planman Motion Pictures he financed a short run of small, well-regarded films, among them the National Film Award winners Faltu and The Last Lear. Do Dooni Chaar (2010) belongs to that run: an unassuming comedy about a Delhi mathematics teacher saving for a car, with Kapoor opposite Neetu Singh, which won him the Filmfare Critics Award for Best Actor and is routinely cited as the start of his character-actor phase.</t>
        </is>
      </c>
      <c r="T178" s="5" t="inlineStr">
        <is>
          <t>SOURCE-272</t>
        </is>
      </c>
      <c r="U178" s="5" t="inlineStr">
        <is>
          <t>Medium</t>
        </is>
      </c>
    </row>
    <row r="179" ht="64" customHeight="1">
      <c r="A179" s="15" t="inlineStr">
        <is>
          <t>PERSON-178</t>
        </is>
      </c>
      <c r="B179" s="5" t="inlineStr">
        <is>
          <t>Arjun Dev Rashk</t>
        </is>
      </c>
      <c r="C179" s="5" t="inlineStr">
        <is>
          <t>Writer</t>
        </is>
      </c>
      <c r="D179" s="18" t="n"/>
      <c r="E179" s="18" t="n"/>
      <c r="F179" s="5" t="n"/>
      <c r="G179" s="5" t="inlineStr">
        <is>
          <t>Hindi cinema</t>
        </is>
      </c>
      <c r="H179" s="5" t="inlineStr">
        <is>
          <t>A writer credited on one film in this filmography, with no Wikipedia article of his own.</t>
        </is>
      </c>
      <c r="I179" s="5" t="n"/>
      <c r="J179" s="5" t="inlineStr">
        <is>
          <t>With Kapoor: Naya Daur (1978).</t>
        </is>
      </c>
      <c r="K179" s="19" t="inlineStr">
        <is>
          <t>Not documented.</t>
        </is>
      </c>
      <c r="L179" s="19" t="inlineStr">
        <is>
          <t>Not documented.</t>
        </is>
      </c>
      <c r="M179" s="5" t="n"/>
      <c r="N179" s="19" t="inlineStr">
        <is>
          <t>Not independently documented.</t>
        </is>
      </c>
      <c r="O179" s="19" t="inlineStr">
        <is>
          <t>One film: Naya Daur (1978), an R. D. Burman-scored picture from Kapoor's early run as a young lead — not to be confused with the 1957 Dilip Kumar film of the same title.</t>
        </is>
      </c>
      <c r="P179" s="17" t="n">
        <v>1</v>
      </c>
      <c r="Q179" s="5" t="inlineStr">
        <is>
          <t>FILM-018</t>
        </is>
      </c>
      <c r="R179" s="5" t="inlineStr">
        <is>
          <t>Naya Daur (1978)</t>
        </is>
      </c>
      <c r="S179" s="5" t="inlineStr">
        <is>
          <t>Arjun Dev Rashk is credited as a writer on Naya Daur (1978) and has no documented biography. The film shares its title with the far better-known 1957 Dilip Kumar film and has left correspondingly little trace; it belongs to the stretch five years after Bobby when Kapoor was releasing several romances a year with an R. D. Burman score attached to most of them. This row is built from the film's credits alone.</t>
        </is>
      </c>
      <c r="T179" s="5" t="inlineStr">
        <is>
          <t>SOURCE-019</t>
        </is>
      </c>
      <c r="U179" s="5" t="inlineStr">
        <is>
          <t>Low</t>
        </is>
      </c>
    </row>
    <row r="180" ht="109" customHeight="1">
      <c r="A180" s="15" t="inlineStr">
        <is>
          <t>PERSON-179</t>
        </is>
      </c>
      <c r="B180" s="5" t="inlineStr">
        <is>
          <t>Arjun Hingorani</t>
        </is>
      </c>
      <c r="C180" s="5" t="inlineStr">
        <is>
          <t>Director; Producer</t>
        </is>
      </c>
      <c r="D180" s="17" t="n">
        <v>1926</v>
      </c>
      <c r="E180" s="17" t="n">
        <v>2018</v>
      </c>
      <c r="F180" s="5" t="n"/>
      <c r="G180" s="5" t="inlineStr">
        <is>
          <t>Hindi cinema; Sindhi cinema</t>
        </is>
      </c>
      <c r="H180" s="5" t="inlineStr">
        <is>
          <t>Arjun Hingorani (15 November 1926 – 5 May 2018) was an Indian director, producer and actor. He launched Dharmendra and Sadhana Shivdasani in Indian cinema, and made Abana (1958), the first Sindhi film. His films include Kab? Kyoon? Aur Kahan?, Kahani Kismat Ki, Khel Khilari Ka and Katilon Ke Kaatil.</t>
        </is>
      </c>
      <c r="I180" s="5" t="inlineStr">
        <is>
          <t>Directing from the 1950s; Abana (1958) was the first Sindhi film.</t>
        </is>
      </c>
      <c r="J180" s="5" t="inlineStr">
        <is>
          <t>With Kapoor: Katilon Ke Kaatil (1981). Elsewhere, Kahani Kismat Ki and Khel Khilari Ka, both with Dharmendra.</t>
        </is>
      </c>
      <c r="K180" s="19" t="inlineStr">
        <is>
          <t>Action melodrama with alliterative titles, built around Dharmendra.</t>
        </is>
      </c>
      <c r="L180" s="19" t="inlineStr">
        <is>
          <t>A commercial director with a long single-star association and a habit of titling films in matched sets.</t>
        </is>
      </c>
      <c r="M180" s="5" t="n"/>
      <c r="N180" s="19" t="inlineStr">
        <is>
          <t>The maker of the first Sindhi film and the filmmaker who gave Dharmendra his debut.</t>
        </is>
      </c>
      <c r="O180" s="19" t="inlineStr">
        <is>
          <t>One film: Katilon Ke Kaatil (1981), an action picture with a Kalyanji–Anandji score in which Kapoor shared the screen with Dharmendra — Hingorani's own discovery and the star of most of his films. It is one of the few outright action vehicles in Kapoor's filmography.</t>
        </is>
      </c>
      <c r="P180" s="17" t="n">
        <v>1</v>
      </c>
      <c r="Q180" s="5" t="inlineStr">
        <is>
          <t>FILM-034</t>
        </is>
      </c>
      <c r="R180" s="5" t="inlineStr">
        <is>
          <t>Katilon Ke Kaatil (1981)</t>
        </is>
      </c>
      <c r="S180" s="5" t="inlineStr">
        <is>
          <t>Arjun Hingorani directed one Rishi Kapoor film, and it is an outlier in the filmography. Hingorani's place in Indian cinema rests on two things: he made Abana in 1958, the first film in Sindhi, and he gave Dharmendra his debut, then built most of his subsequent career around him. Katilon Ke Kaatil (1981) is an action picture in that mould, with Dharmendra alongside Kapoor and a Kalyanji–Anandji score, from a period when Kapoor was being paired with established action stars rather than carrying romances alone. He also launched Sadhana Shivdasani. Hingorani worked into the 1990s and died in May 2018.</t>
        </is>
      </c>
      <c r="T180" s="5" t="inlineStr">
        <is>
          <t>SOURCE-273</t>
        </is>
      </c>
      <c r="U180" s="5" t="inlineStr">
        <is>
          <t>High</t>
        </is>
      </c>
    </row>
    <row r="181" ht="79" customHeight="1">
      <c r="A181" s="15" t="inlineStr">
        <is>
          <t>PERSON-180</t>
        </is>
      </c>
      <c r="B181" s="5" t="inlineStr">
        <is>
          <t>Armaan Shahabi</t>
        </is>
      </c>
      <c r="C181" s="5" t="inlineStr">
        <is>
          <t>Writer</t>
        </is>
      </c>
      <c r="D181" s="18" t="n"/>
      <c r="E181" s="18" t="n"/>
      <c r="F181" s="5" t="n"/>
      <c r="G181" s="5" t="inlineStr">
        <is>
          <t>Hindi cinema</t>
        </is>
      </c>
      <c r="H181" s="5" t="inlineStr">
        <is>
          <t>A writer credited on one film in this filmography, with no Wikipedia article of his own.</t>
        </is>
      </c>
      <c r="I181" s="5" t="n"/>
      <c r="J181" s="5" t="inlineStr">
        <is>
          <t>With Kapoor: Sahibaan (1993).</t>
        </is>
      </c>
      <c r="K181" s="19" t="inlineStr">
        <is>
          <t>Not documented.</t>
        </is>
      </c>
      <c r="L181" s="19" t="inlineStr">
        <is>
          <t>Not documented.</t>
        </is>
      </c>
      <c r="M181" s="5" t="n"/>
      <c r="N181" s="19" t="inlineStr">
        <is>
          <t>Not independently documented.</t>
        </is>
      </c>
      <c r="O181" s="19" t="inlineStr">
        <is>
          <t>One film: Ramesh Talwar's Sahibaan (1993), a Shiv–Hari-scored romance and the last of Talwar's four films with Kapoor, made as his leading career closed.</t>
        </is>
      </c>
      <c r="P181" s="17" t="n">
        <v>1</v>
      </c>
      <c r="Q181" s="5" t="inlineStr">
        <is>
          <t>FILM-094</t>
        </is>
      </c>
      <c r="R181" s="5" t="inlineStr">
        <is>
          <t>Sahibaan (1993)</t>
        </is>
      </c>
      <c r="S181" s="5" t="inlineStr">
        <is>
          <t>Armaan Shahabi is credited as a writer on Sahibaan (1993) and has no documented biography. The film was Ramesh Talwar's fourth and last with Kapoor — sixteen years after Doosra Aadmi, the debut in which Talwar had used the actor's youth against him — and it carries a Shiv–Hari score, the same classical duo who had written Chandni four years earlier. By 1993 Kapoor's romantic vehicles were being made by the same people in diminished circumstances, which is the pattern this row sits inside. It is built from the film's credits alone.</t>
        </is>
      </c>
      <c r="T181" s="5" t="inlineStr">
        <is>
          <t>SOURCE-091</t>
        </is>
      </c>
      <c r="U181" s="5" t="inlineStr">
        <is>
          <t>Low</t>
        </is>
      </c>
    </row>
    <row r="182" ht="139" customHeight="1">
      <c r="A182" s="15" t="inlineStr">
        <is>
          <t>PERSON-181</t>
        </is>
      </c>
      <c r="B182" s="5" t="inlineStr">
        <is>
          <t>Arun Kaul</t>
        </is>
      </c>
      <c r="C182" s="5" t="inlineStr">
        <is>
          <t>Writer</t>
        </is>
      </c>
      <c r="D182" s="17" t="n">
        <v>1933</v>
      </c>
      <c r="E182" s="17" t="n">
        <v>2007</v>
      </c>
      <c r="F182" s="5" t="n"/>
      <c r="G182" s="5" t="inlineStr">
        <is>
          <t>Hindi cinema; Indian parallel cinema</t>
        </is>
      </c>
      <c r="H182" s="5" t="inlineStr">
        <is>
          <t>Arun Kaul (12 August 1933 – 21 July 2007) was a noted Kashmiri filmmaker and screenwriter. His own film Diksha (1991) won the Filmfare Critics Award for Best Movie and the Golden Lotus for Best Hindi Film at the National Film Awards. He worked as screenplay assistant to Gulzar on Ijaazat (1987) and Lekin (1990), and his article records that he wrote the screenplay for Yash Chopra's Chandni (1989).</t>
        </is>
      </c>
      <c r="I182" s="5" t="inlineStr">
        <is>
          <t>Working in film from the 1960s; his directorial work culminated in Diksha (1991).</t>
        </is>
      </c>
      <c r="J182" s="5" t="inlineStr">
        <is>
          <t>With Kapoor: Chandni (1989). Elsewhere, Diksha as director, and screenplay work with Gulzar.</t>
        </is>
      </c>
      <c r="K182" s="19" t="inlineStr">
        <is>
          <t>Caste and social injustice in his own films; romance and longing in his commercial screenwriting.</t>
        </is>
      </c>
      <c r="L182" s="19" t="inlineStr">
        <is>
          <t>A parallel-cinema filmmaker who also wrote for the mainstream, bringing a literary sense of structure to commercial romance.</t>
        </is>
      </c>
      <c r="M182" s="5" t="inlineStr">
        <is>
          <t>Filmfare Critics Award for Best Movie and the Golden Lotus for Best Hindi Film at the National Film Awards, both for Diksha.</t>
        </is>
      </c>
      <c r="N182" s="19" t="inlineStr">
        <is>
          <t>A figure of the Indian parallel cinema — he was among those who called for a new Indian cinema in the 1960s — who also wrote one of Hindi cinema's best-known romances.</t>
        </is>
      </c>
      <c r="O182" s="19" t="inlineStr">
        <is>
          <t>One film, and a crucial one: his article credits him with the screenplay of Yash Chopra's Chandni (1989), the film that restored Kapoor to romantic leading man opposite Sridevi after a decade of melodrama. That a National Award-winning parallel filmmaker wrote it is not what the film's reputation would suggest.</t>
        </is>
      </c>
      <c r="P182" s="17" t="n">
        <v>1</v>
      </c>
      <c r="Q182" s="5" t="inlineStr">
        <is>
          <t>FILM-074</t>
        </is>
      </c>
      <c r="R182" s="5" t="inlineStr">
        <is>
          <t>Chandni (1989)</t>
        </is>
      </c>
      <c r="S182" s="5" t="inlineStr">
        <is>
          <t>Arun Kaul wrote the screenplay of Chandni, the film that gave Rishi Kapoor his second life as a romantic lead. A Kashmiri filmmaker associated with the Indian parallel cinema, Kaul directed Diksha (1991), which won both the Filmfare Critics Award for Best Movie and the Golden Lotus for Best Hindi Film, and worked as screenplay assistant to Gulzar on Ijaazat and Lekin. His article also records the Chandni credit — a Yash Chopra romance built on music, chiffon and longing, in which Kapoor's Rohit is paralysed in an accident and pushes Sridevi's Chandni away. The combination is worth noting: the most commercially glossy film of Kapoor's middle years was written by a man whose own cinema was about caste and rural injustice.</t>
        </is>
      </c>
      <c r="T182" s="5" t="inlineStr">
        <is>
          <t>SOURCE-274</t>
        </is>
      </c>
      <c r="U182" s="5" t="inlineStr">
        <is>
          <t>High</t>
        </is>
      </c>
    </row>
    <row r="183" ht="94" customHeight="1">
      <c r="A183" s="15" t="inlineStr">
        <is>
          <t>PERSON-182</t>
        </is>
      </c>
      <c r="B183" s="5" t="inlineStr">
        <is>
          <t>Arun Rangachari</t>
        </is>
      </c>
      <c r="C183" s="5" t="inlineStr">
        <is>
          <t>Producer</t>
        </is>
      </c>
      <c r="D183" s="18" t="n"/>
      <c r="E183" s="18" t="n"/>
      <c r="F183" s="5" t="n"/>
      <c r="G183" s="5" t="inlineStr">
        <is>
          <t>Hindi cinema</t>
        </is>
      </c>
      <c r="H183" s="5" t="inlineStr">
        <is>
          <t>A producer credited on one film in this filmography, with no Wikipedia article of his own. He is named among the key people of DAR Motion Pictures in that company's article, which is cited on its own row in this sheet.</t>
        </is>
      </c>
      <c r="I183" s="5" t="n"/>
      <c r="J183" s="5" t="inlineStr">
        <is>
          <t>With Kapoor: D-Day (2013).</t>
        </is>
      </c>
      <c r="K183" s="19" t="inlineStr">
        <is>
          <t>Content-driven cinema produced through DAR Motion Pictures.</t>
        </is>
      </c>
      <c r="L183" s="19" t="inlineStr">
        <is>
          <t>Not documented.</t>
        </is>
      </c>
      <c r="M183" s="5" t="n"/>
      <c r="N183" s="19" t="inlineStr">
        <is>
          <t>Not independently documented.</t>
        </is>
      </c>
      <c r="O183" s="19" t="inlineStr">
        <is>
          <t>One film: Nikkhil Advani's D-Day (2013), in which Kapoor plays Iqbal Seth, a Dawood Ibrahim-like crime boss living under protection in Karachi — one of the most unsympathetic roles of his career and part of the late widening of his range.</t>
        </is>
      </c>
      <c r="P183" s="17" t="n">
        <v>1</v>
      </c>
      <c r="Q183" s="5" t="inlineStr">
        <is>
          <t>FILM-143</t>
        </is>
      </c>
      <c r="R183" s="5" t="inlineStr">
        <is>
          <t>D-Day (2013)</t>
        </is>
      </c>
      <c r="S183" s="5" t="inlineStr">
        <is>
          <t>Arun Rangachari produced D-Day (2013) through DAR Motion Pictures, whose article names him among its key people but who has no article of his own. The film is one of the strongest of Rishi Kapoor's late character roles: he plays Iqbal Seth, a fictionalised version of Dawood Ibrahim, hiding in Karachi under state protection while Indian agents plan his extraction. Cast against forty years of romantic goodwill, the performance is genial and chilling at once, and it belongs with Agneepath's Rauf Lala among the villains that redefined what he could be given. DAR Motion Pictures was founded in 2009 with a stated focus on content-driven cinema.</t>
        </is>
      </c>
      <c r="T183" s="5" t="inlineStr">
        <is>
          <t>SOURCE-135</t>
        </is>
      </c>
      <c r="U183" s="5" t="inlineStr">
        <is>
          <t>Low</t>
        </is>
      </c>
    </row>
    <row r="184" ht="94" customHeight="1">
      <c r="A184" s="15" t="inlineStr">
        <is>
          <t>PERSON-183</t>
        </is>
      </c>
      <c r="B184" s="5" t="inlineStr">
        <is>
          <t>Aseem Bajaj</t>
        </is>
      </c>
      <c r="C184" s="5" t="inlineStr">
        <is>
          <t>Producer</t>
        </is>
      </c>
      <c r="D184" s="18" t="n"/>
      <c r="E184" s="18" t="n"/>
      <c r="F184" s="5" t="n"/>
      <c r="G184" s="5" t="inlineStr">
        <is>
          <t>Hindi cinema</t>
        </is>
      </c>
      <c r="H184" s="5" t="inlineStr">
        <is>
          <t>A producer credited on one film in this filmography, with no Wikipedia article of his own.</t>
        </is>
      </c>
      <c r="I184" s="5" t="n"/>
      <c r="J184" s="5" t="inlineStr">
        <is>
          <t>With Kapoor: Rajma Chawal (2018).</t>
        </is>
      </c>
      <c r="K184" s="19" t="inlineStr">
        <is>
          <t>Not documented.</t>
        </is>
      </c>
      <c r="L184" s="19" t="inlineStr">
        <is>
          <t>Not documented.</t>
        </is>
      </c>
      <c r="M184" s="5" t="n"/>
      <c r="N184" s="19" t="inlineStr">
        <is>
          <t>Not independently documented.</t>
        </is>
      </c>
      <c r="O184" s="19" t="inlineStr">
        <is>
          <t>One film: Leena Yadav's Rajma Chawal (2018), in which Kapoor plays a widowed father who creates a fake social-media profile to reach his estranged son — a small, late role built on loneliness rather than authority.</t>
        </is>
      </c>
      <c r="P184" s="17" t="n">
        <v>1</v>
      </c>
      <c r="Q184" s="5" t="inlineStr">
        <is>
          <t>FILM-157</t>
        </is>
      </c>
      <c r="R184" s="5" t="inlineStr">
        <is>
          <t>Rajma Chawal (2018)</t>
        </is>
      </c>
      <c r="S184" s="5" t="inlineStr">
        <is>
          <t>Aseem Bajaj is credited as a producer on Rajma Chawal (2018) and has no documented biography. The film, directed by Leena Yadav and released on Netflix, gave Kapoor one of the gentler parts of his last years: a widower in old Delhi who, unable to talk to his son, poses online as a young woman to reach him. It belongs with Do Dooni Chaar and Sharmaji Namkeen among the late films that cast him as an ordinary, slightly ridiculous older man rather than a patriarch, and it was one of his final completed performances. This row is built from the film's credits alone.</t>
        </is>
      </c>
      <c r="T184" s="5" t="inlineStr">
        <is>
          <t>SOURCE-149</t>
        </is>
      </c>
      <c r="U184" s="5" t="inlineStr">
        <is>
          <t>Low</t>
        </is>
      </c>
    </row>
    <row r="185" ht="94" customHeight="1">
      <c r="A185" s="15" t="inlineStr">
        <is>
          <t>PERSON-184</t>
        </is>
      </c>
      <c r="B185" s="5" t="inlineStr">
        <is>
          <t>Ashish Redij</t>
        </is>
      </c>
      <c r="C185" s="5" t="inlineStr">
        <is>
          <t>Producer</t>
        </is>
      </c>
      <c r="D185" s="18" t="n"/>
      <c r="E185" s="18" t="n"/>
      <c r="F185" s="5" t="n"/>
      <c r="G185" s="5" t="inlineStr">
        <is>
          <t>English-language Indian cinema</t>
        </is>
      </c>
      <c r="H185" s="5" t="inlineStr">
        <is>
          <t>A producer credited on one film in this filmography, with no Wikipedia article of his own.</t>
        </is>
      </c>
      <c r="I185" s="5" t="n"/>
      <c r="J185" s="5" t="inlineStr">
        <is>
          <t>With Kapoor: Sambar Salsa (2007).</t>
        </is>
      </c>
      <c r="K185" s="19" t="inlineStr">
        <is>
          <t>Not documented.</t>
        </is>
      </c>
      <c r="L185" s="19" t="inlineStr">
        <is>
          <t>Not documented.</t>
        </is>
      </c>
      <c r="M185" s="5" t="n"/>
      <c r="N185" s="19" t="inlineStr">
        <is>
          <t>Not independently documented.</t>
        </is>
      </c>
      <c r="O185" s="19" t="inlineStr">
        <is>
          <t>One film: Sambar Salsa (2007), one of the two English-language films in this filmography, both written and directed by Kapoor's cousin Aditya Raj Kapoor and both released that year. They are the least documented entries in the workbook.</t>
        </is>
      </c>
      <c r="P185" s="17" t="n">
        <v>1</v>
      </c>
      <c r="Q185" s="5" t="inlineStr">
        <is>
          <t>FILM-124</t>
        </is>
      </c>
      <c r="R185" s="5" t="inlineStr">
        <is>
          <t>Sambar Salsa (2007)</t>
        </is>
      </c>
      <c r="S185" s="5" t="inlineStr">
        <is>
          <t>Ashish Redij produced Sambar Salsa (2007) and has no documented biography. The film is one of two English-language pictures Kapoor made that year, both written and directed by his cousin Aditya Raj Kapoor and both so slightly distributed that almost nothing about them is recorded — no reviews of substance, no commercial figures, and in this case no documented producer. They fall in the gap between his Yash Raj supporting roles and the Dharma films that followed, when family connections were supplying work. This row is built from the film's credits alone.</t>
        </is>
      </c>
      <c r="T185" s="5" t="inlineStr">
        <is>
          <t>SOURCE-117</t>
        </is>
      </c>
      <c r="U185" s="5" t="inlineStr">
        <is>
          <t>Low</t>
        </is>
      </c>
    </row>
    <row r="186" ht="124" customHeight="1">
      <c r="A186" s="15" t="inlineStr">
        <is>
          <t>PERSON-185</t>
        </is>
      </c>
      <c r="B186" s="5" t="inlineStr">
        <is>
          <t>Atul Sabharwal</t>
        </is>
      </c>
      <c r="C186" s="5" t="inlineStr">
        <is>
          <t>Director; Writer</t>
        </is>
      </c>
      <c r="D186" s="18" t="n"/>
      <c r="E186" s="18" t="n"/>
      <c r="F186" s="5" t="n"/>
      <c r="G186" s="5" t="inlineStr">
        <is>
          <t>Hindi cinema</t>
        </is>
      </c>
      <c r="H186" s="5" t="inlineStr">
        <is>
          <t>An Indian director and writer credited on one film in this filmography. No Wikipedia article was located for him under this name during this research.</t>
        </is>
      </c>
      <c r="I186" s="5" t="n"/>
      <c r="J186" s="5" t="inlineStr">
        <is>
          <t>With Kapoor: Aurangzeb (2013).</t>
        </is>
      </c>
      <c r="K186" s="19" t="inlineStr">
        <is>
          <t>Crime drama built on doubling and family loyalty.</t>
        </is>
      </c>
      <c r="L186" s="19" t="inlineStr">
        <is>
          <t>Not documented here.</t>
        </is>
      </c>
      <c r="M186" s="5" t="n"/>
      <c r="N186" s="19" t="inlineStr">
        <is>
          <t>Not documented here.</t>
        </is>
      </c>
      <c r="O186" s="19" t="inlineStr">
        <is>
          <t>One film: Aurangzeb (2013), a Yash Raj Films crime drama about twin brothers on opposite sides of the law, in which Kapoor plays a police officer. It is one of six Yash Raj films from his character-actor phase, the banner that had also employed him as a young lead in the 1970s and restored him in Chandni.</t>
        </is>
      </c>
      <c r="P186" s="17" t="n">
        <v>1</v>
      </c>
      <c r="Q186" s="5" t="inlineStr">
        <is>
          <t>FILM-142</t>
        </is>
      </c>
      <c r="R186" s="5" t="inlineStr">
        <is>
          <t>Aurangzeb (2013)</t>
        </is>
      </c>
      <c r="S186" s="5" t="inlineStr">
        <is>
          <t>Atul Sabharwal wrote and directed Aurangzeb (2013), and no Wikipedia article for him was located in this research. The film is a Yash Raj crime drama set in Gurgaon's land mafia, built on a pair of separated twins — a device as old as the Manmohan Desai films Kapoor had made in the 1970s, here played straight as noir. Kapoor appears as a policeman, one of the supporting roles the banner gave him across six films after 2004. The absence of a locatable article for a working Yash Raj director is a reminder that the documentation gaps in this workbook are not confined to the 1980s.</t>
        </is>
      </c>
      <c r="T186" s="5" t="inlineStr">
        <is>
          <t>SOURCE-134</t>
        </is>
      </c>
      <c r="U186" s="5" t="inlineStr">
        <is>
          <t>Low</t>
        </is>
      </c>
    </row>
    <row r="187" ht="94" customHeight="1">
      <c r="A187" s="15" t="inlineStr">
        <is>
          <t>PERSON-186</t>
        </is>
      </c>
      <c r="B187" s="5" t="inlineStr">
        <is>
          <t>Aydin Vance</t>
        </is>
      </c>
      <c r="C187" s="5" t="inlineStr">
        <is>
          <t>Song composer</t>
        </is>
      </c>
      <c r="D187" s="18" t="n"/>
      <c r="E187" s="18" t="n"/>
      <c r="F187" s="5" t="n"/>
      <c r="G187" s="5" t="inlineStr">
        <is>
          <t>Hindi cinema</t>
        </is>
      </c>
      <c r="H187" s="5" t="inlineStr">
        <is>
          <t>A composer credited on one film in this filmography, with no Wikipedia article of his own.</t>
        </is>
      </c>
      <c r="I187" s="5" t="n"/>
      <c r="J187" s="5" t="inlineStr">
        <is>
          <t>With Kapoor: Sanam Re (2016).</t>
        </is>
      </c>
      <c r="K187" s="19" t="inlineStr">
        <is>
          <t>Not documented.</t>
        </is>
      </c>
      <c r="L187" s="19" t="inlineStr">
        <is>
          <t>Not documented.</t>
        </is>
      </c>
      <c r="M187" s="5" t="n"/>
      <c r="N187" s="19" t="inlineStr">
        <is>
          <t>Not independently documented.</t>
        </is>
      </c>
      <c r="O187" s="19" t="inlineStr">
        <is>
          <t>One film: Sanam Re (2016), a T-Series production directed by Divya Khosla Kumar in which Kapoor plays the hero's grandfather. The soundtrack is divided among several composers, of whom Mithoon — who wrote the title song — is the best known.</t>
        </is>
      </c>
      <c r="P187" s="17" t="n">
        <v>1</v>
      </c>
      <c r="Q187" s="5" t="inlineStr">
        <is>
          <t>FILM-151</t>
        </is>
      </c>
      <c r="R187" s="5" t="inlineStr">
        <is>
          <t>Sanam Re (2016)</t>
        </is>
      </c>
      <c r="S187" s="5" t="inlineStr">
        <is>
          <t>Aydin Vance is credited among the composers of Sanam Re (2016) and has no documented biography. The film is a T-Series romance in which Kapoor plays the grandfather whose own remembered love frames the younger couple's story, and its soundtrack was assembled from several composers in the manner standard by then — Mithoon's title song became one of the most streamed Hindi recordings of its year, while the other contributors left no trace. The contrast with the single-composer soundtracks of Kapoor's youth is the point worth recording. This row is built from the film's credits alone.</t>
        </is>
      </c>
      <c r="T187" s="5" t="inlineStr">
        <is>
          <t>SOURCE-143</t>
        </is>
      </c>
      <c r="U187" s="5" t="inlineStr">
        <is>
          <t>Low</t>
        </is>
      </c>
    </row>
    <row r="188" ht="109" customHeight="1">
      <c r="A188" s="15" t="inlineStr">
        <is>
          <t>PERSON-187</t>
        </is>
      </c>
      <c r="B188" s="5" t="inlineStr">
        <is>
          <t>Ayesha Devitre Dhillon</t>
        </is>
      </c>
      <c r="C188" s="5" t="inlineStr">
        <is>
          <t>Writer</t>
        </is>
      </c>
      <c r="D188" s="18" t="n"/>
      <c r="E188" s="18" t="n"/>
      <c r="F188" s="5" t="n"/>
      <c r="G188" s="5" t="inlineStr">
        <is>
          <t>Hindi cinema</t>
        </is>
      </c>
      <c r="H188" s="5" t="inlineStr">
        <is>
          <t>A writer credited on one film in this filmography, with no Wikipedia article of her own.</t>
        </is>
      </c>
      <c r="I188" s="5" t="n"/>
      <c r="J188" s="5" t="inlineStr">
        <is>
          <t>With Kapoor: Kapoor &amp; Sons (2016).</t>
        </is>
      </c>
      <c r="K188" s="19" t="inlineStr">
        <is>
          <t>The contemporary family and its unspoken resentments.</t>
        </is>
      </c>
      <c r="L188" s="19" t="inlineStr">
        <is>
          <t>Not documented; she shares the writing credit on a film built on overlapping family dialogue.</t>
        </is>
      </c>
      <c r="M188" s="5" t="n"/>
      <c r="N188" s="19" t="inlineStr">
        <is>
          <t>Not independently documented.</t>
        </is>
      </c>
      <c r="O188" s="19" t="inlineStr">
        <is>
          <t>One film, and a significant one: Kapoor &amp; Sons (2016), the Dharma family drama in which Kapoor plays the ninety-year-old grandfather and which won him the Filmfare Award for Best Supporting Actor. She is one of the small number of women credited as writers anywhere in this workbook.</t>
        </is>
      </c>
      <c r="P188" s="17" t="n">
        <v>1</v>
      </c>
      <c r="Q188" s="5" t="inlineStr">
        <is>
          <t>FILM-152</t>
        </is>
      </c>
      <c r="R188" s="5" t="inlineStr">
        <is>
          <t>Kapoor &amp; Sons (2016)</t>
        </is>
      </c>
      <c r="S188" s="5" t="inlineStr">
        <is>
          <t>Ayesha Devitre Dhillon is credited as a writer on Kapoor &amp; Sons (2016) and has no documented biography. The film is one of the two or three best of Rishi Kapoor's late career: a family drama in which three generations circle their own grievances, and in which Kapoor, under extensive prosthetics, plays a ninety-year-old who wants one photograph of the family together. It won him the Filmfare Award for Best Supporting Actor. Her presence is also worth recording in the aggregate: of 561 credited collaborators in this filmography, very few are women, and most of those appear in the last fifteen years. This row is built from the film's credits alone.</t>
        </is>
      </c>
      <c r="T188" s="5" t="inlineStr">
        <is>
          <t>SOURCE-144</t>
        </is>
      </c>
      <c r="U188" s="5" t="inlineStr">
        <is>
          <t>Low</t>
        </is>
      </c>
    </row>
    <row r="189" ht="94" customHeight="1">
      <c r="A189" s="15" t="inlineStr">
        <is>
          <t>PERSON-188</t>
        </is>
      </c>
      <c r="B189" s="5" t="inlineStr">
        <is>
          <t>Azure Entertainment</t>
        </is>
      </c>
      <c r="C189" s="5" t="inlineStr">
        <is>
          <t>Production banner</t>
        </is>
      </c>
      <c r="D189" s="18" t="n"/>
      <c r="E189" s="18" t="n"/>
      <c r="F189" s="5" t="n"/>
      <c r="G189" s="5" t="inlineStr">
        <is>
          <t>Hindi cinema</t>
        </is>
      </c>
      <c r="H189" s="5" t="inlineStr">
        <is>
          <t>A production banner credited on one film in this filmography, with no Wikipedia article of its own.</t>
        </is>
      </c>
      <c r="I189" s="5" t="n"/>
      <c r="J189" s="5" t="inlineStr">
        <is>
          <t>With Kapoor: The Body (2019).</t>
        </is>
      </c>
      <c r="K189" s="19" t="inlineStr">
        <is>
          <t>Not documented.</t>
        </is>
      </c>
      <c r="L189" s="19" t="inlineStr">
        <is>
          <t>Not documented.</t>
        </is>
      </c>
      <c r="M189" s="5" t="n"/>
      <c r="N189" s="19" t="inlineStr">
        <is>
          <t>Not independently documented.</t>
        </is>
      </c>
      <c r="O189" s="19" t="inlineStr">
        <is>
          <t>One credit, on The Body (2019) with Viacom18 Motion Pictures — the last film released in Kapoor's lifetime, a thriller remade from a Spanish original in which he plays the investigating officer. He died five months after its release.</t>
        </is>
      </c>
      <c r="P189" s="17" t="n">
        <v>1</v>
      </c>
      <c r="Q189" s="5" t="inlineStr">
        <is>
          <t>FILM-159</t>
        </is>
      </c>
      <c r="R189" s="5" t="inlineStr">
        <is>
          <t>The Body (2019)</t>
        </is>
      </c>
      <c r="S189" s="5" t="inlineStr">
        <is>
          <t>Azure Entertainment co-produced The Body (2019), the last film released while Rishi Kapoor was alive, and has no recorded history of its own. Directed by the Malayalam filmmaker Jeethu Joseph and remade from a Spanish thriller, the film cast Kapoor as the police officer investigating a corpse's disappearance — a procedural role, far from the romantic parts that made him, and the final completed performance released in his lifetime. He died in April 2020, with Sharmaji Namkeen unfinished. This row is built from the film's credits alone.</t>
        </is>
      </c>
      <c r="T189" s="5" t="inlineStr">
        <is>
          <t>SOURCE-151</t>
        </is>
      </c>
      <c r="U189" s="5" t="inlineStr">
        <is>
          <t>Low</t>
        </is>
      </c>
    </row>
    <row r="190" ht="124" customHeight="1">
      <c r="A190" s="15" t="inlineStr">
        <is>
          <t>PERSON-189</t>
        </is>
      </c>
      <c r="B190" s="5" t="inlineStr">
        <is>
          <t>B. H. Tharun Kumar</t>
        </is>
      </c>
      <c r="C190" s="5" t="inlineStr">
        <is>
          <t>Director</t>
        </is>
      </c>
      <c r="D190" s="18" t="n"/>
      <c r="E190" s="18" t="n"/>
      <c r="F190" s="5" t="n"/>
      <c r="G190" s="5" t="inlineStr">
        <is>
          <t>Hindi cinema</t>
        </is>
      </c>
      <c r="H190" s="5" t="inlineStr">
        <is>
          <t>A director credited on one film in this filmography, with no Wikipedia article of his own.</t>
        </is>
      </c>
      <c r="I190" s="5" t="n"/>
      <c r="J190" s="5" t="inlineStr">
        <is>
          <t>With Kapoor: Love Ke Chakkar Mein (2006).</t>
        </is>
      </c>
      <c r="K190" s="19" t="inlineStr">
        <is>
          <t>Not documented.</t>
        </is>
      </c>
      <c r="L190" s="19" t="inlineStr">
        <is>
          <t>Not documented.</t>
        </is>
      </c>
      <c r="M190" s="5" t="n"/>
      <c r="N190" s="19" t="inlineStr">
        <is>
          <t>Not independently documented.</t>
        </is>
      </c>
      <c r="O190" s="19" t="inlineStr">
        <is>
          <t>One film: Love Ke Chakkar Mein (2006), a variation on Indecent Proposal in which Kapoor is top-billed but functionally the antagonist, coercing a younger couple — one of the few outright unsympathetic parts of his career and, notably, one he took six years after Karobaar had used the same premise with him on the other side of it.</t>
        </is>
      </c>
      <c r="P190" s="17" t="n">
        <v>1</v>
      </c>
      <c r="Q190" s="5" t="inlineStr">
        <is>
          <t>FILM-121</t>
        </is>
      </c>
      <c r="R190" s="5" t="inlineStr">
        <is>
          <t>Love Ke Chakkar Mein (2006)</t>
        </is>
      </c>
      <c r="S190" s="5" t="inlineStr">
        <is>
          <t>B. H. Tharun Kumar directed Love Ke Chakkar Mein (2006) and has no documented biography. The film is a reworking of the Indecent Proposal situation, with Kapoor as the wealthy older man who buys his way into a young couple's marriage — top-billed but effectively the villain, and playing the position he had been on the receiving end of in Karobaar six years earlier. Films like this one, in the interval before Dharma and Yash Raj reframed him, show him experimenting with unsympathetic roles well before Agneepath made that turn respectable. This row is built from the film's credits alone.</t>
        </is>
      </c>
      <c r="T190" s="5" t="inlineStr">
        <is>
          <t>SOURCE-113</t>
        </is>
      </c>
      <c r="U190" s="5" t="inlineStr">
        <is>
          <t>Low</t>
        </is>
      </c>
    </row>
    <row r="191" ht="109" customHeight="1">
      <c r="A191" s="15" t="inlineStr">
        <is>
          <t>PERSON-190</t>
        </is>
      </c>
      <c r="B191" s="5" t="inlineStr">
        <is>
          <t>B. K. Parivar</t>
        </is>
      </c>
      <c r="C191" s="5" t="inlineStr">
        <is>
          <t>Producer</t>
        </is>
      </c>
      <c r="D191" s="18" t="n"/>
      <c r="E191" s="18" t="n"/>
      <c r="F191" s="5" t="n"/>
      <c r="G191" s="5" t="inlineStr">
        <is>
          <t>Hindi cinema</t>
        </is>
      </c>
      <c r="H191" s="5" t="inlineStr">
        <is>
          <t>The producer credit recorded on Ghar Parivar (1991). The name has no Wikipedia article, and its resemblance to the film's own title invites suspicion of a transcription error; the film's Wikipedia article, however, gives the producer as B. K. Parivar exactly, so the credit is reproduced here as the source states it.</t>
        </is>
      </c>
      <c r="I191" s="5" t="n"/>
      <c r="J191" s="5" t="inlineStr">
        <is>
          <t>With Kapoor: Ghar Parivar (1991).</t>
        </is>
      </c>
      <c r="K191" s="19" t="inlineStr">
        <is>
          <t>Not documented.</t>
        </is>
      </c>
      <c r="L191" s="19" t="inlineStr">
        <is>
          <t>Not documented.</t>
        </is>
      </c>
      <c r="M191" s="5" t="n"/>
      <c r="N191" s="19" t="inlineStr">
        <is>
          <t>Not independently documented.</t>
        </is>
      </c>
      <c r="O191" s="19" t="inlineStr">
        <is>
          <t>One film: Ghar Parivar (1991), directed by Mohanji Prasad with a Kalyanji–Anandji score, in which Kapoor appeared with Rajesh Khanna, Moushumi Chatterjee and Meenakshi Seshadri — a multi-star family melodrama from the end of his lead career.</t>
        </is>
      </c>
      <c r="P191" s="17" t="n">
        <v>1</v>
      </c>
      <c r="Q191" s="5" t="inlineStr">
        <is>
          <t>FILM-079</t>
        </is>
      </c>
      <c r="R191" s="5" t="inlineStr">
        <is>
          <t>Ghar Parivar (1991)</t>
        </is>
      </c>
      <c r="S191" s="5" t="inlineStr">
        <is>
          <t>B. K. Parivar is the producer credit on Ghar Parivar (1991), and the name is as opaque as it looks. Because it echoes the film's title, this research checked the film's own Wikipedia article rather than trusting the extraction, and the article gives the producer as B. K. Parivar in exactly that form; the credit is therefore reproduced as the source has it, with the caveat recorded here. The film itself is a crowded family melodrama directed by Mohanji Prasad, with Rajesh Khanna, Moushumi Chatterjee and Meenakshi Seshadri alongside Kapoor, from the stretch at the turn of the 1990s when his vehicles had become ensembles of declining stars.</t>
        </is>
      </c>
      <c r="T191" s="5" t="inlineStr">
        <is>
          <t>SOURCE-079</t>
        </is>
      </c>
      <c r="U191" s="5" t="inlineStr">
        <is>
          <t>Low</t>
        </is>
      </c>
    </row>
    <row r="192" ht="94" customHeight="1">
      <c r="A192" s="15" t="inlineStr">
        <is>
          <t>PERSON-191</t>
        </is>
      </c>
      <c r="B192" s="5" t="inlineStr">
        <is>
          <t>B.K. Jaiswal</t>
        </is>
      </c>
      <c r="C192" s="5" t="inlineStr">
        <is>
          <t>Producer</t>
        </is>
      </c>
      <c r="D192" s="18" t="n"/>
      <c r="E192" s="18" t="n"/>
      <c r="F192" s="5" t="n"/>
      <c r="G192" s="5" t="inlineStr">
        <is>
          <t>Hindi cinema</t>
        </is>
      </c>
      <c r="H192" s="5" t="inlineStr">
        <is>
          <t>A producer credited on one film in this filmography, with no Wikipedia article of his own.</t>
        </is>
      </c>
      <c r="I192" s="5" t="n"/>
      <c r="J192" s="5" t="inlineStr">
        <is>
          <t>With Kapoor: Bade Ghar Ki Beti (1989).</t>
        </is>
      </c>
      <c r="K192" s="19" t="inlineStr">
        <is>
          <t>The household melodrama of class and marriage.</t>
        </is>
      </c>
      <c r="L192" s="19" t="inlineStr">
        <is>
          <t>Not documented.</t>
        </is>
      </c>
      <c r="M192" s="5" t="n"/>
      <c r="N192" s="19" t="inlineStr">
        <is>
          <t>Not independently documented.</t>
        </is>
      </c>
      <c r="O192" s="19" t="inlineStr">
        <is>
          <t>One film: Bade Ghar Ki Beti (1989), directed by Kalpataru and written with Kader Khan — one of the five domestic melodramas that made up the densest and least documented stretch of Kapoor's lead career.</t>
        </is>
      </c>
      <c r="P192" s="17" t="n">
        <v>1</v>
      </c>
      <c r="Q192" s="5" t="inlineStr">
        <is>
          <t>FILM-070</t>
        </is>
      </c>
      <c r="R192" s="5" t="inlineStr">
        <is>
          <t>Bade Ghar Ki Beti (1989)</t>
        </is>
      </c>
      <c r="S192" s="5" t="inlineStr">
        <is>
          <t>B.K. Jaiswal produced Bade Ghar Ki Beti (1989) and has no documented biography. The film is one of five that Kalpataru directed with Kapoor between 1988 and 1994, all of them titled for the household rather than the romance and most written with Kader Khan: domestic melodramas of dowry, duty and in-law cruelty in which Kapoor plays sons and husbands. Nine of his films were released between 1989 and 1991, and this tier of production — small producers, prolific directors, no critical record — accounts for most of them. This row is built from the film's credits alone.</t>
        </is>
      </c>
      <c r="T192" s="5" t="inlineStr">
        <is>
          <t>SOURCE-064</t>
        </is>
      </c>
      <c r="U192" s="5" t="inlineStr">
        <is>
          <t>Low</t>
        </is>
      </c>
    </row>
    <row r="193" ht="94" customHeight="1">
      <c r="A193" s="15" t="inlineStr">
        <is>
          <t>PERSON-192</t>
        </is>
      </c>
      <c r="B193" s="5" t="inlineStr">
        <is>
          <t>B.L. Saboo</t>
        </is>
      </c>
      <c r="C193" s="5" t="inlineStr">
        <is>
          <t>Producer</t>
        </is>
      </c>
      <c r="D193" s="18" t="n"/>
      <c r="E193" s="18" t="n"/>
      <c r="F193" s="5" t="n"/>
      <c r="G193" s="5" t="inlineStr">
        <is>
          <t>Hindi cinema</t>
        </is>
      </c>
      <c r="H193" s="5" t="inlineStr">
        <is>
          <t>A producer credited on one film in this filmography, with no Wikipedia article of his own.</t>
        </is>
      </c>
      <c r="I193" s="5" t="n"/>
      <c r="J193" s="5" t="inlineStr">
        <is>
          <t>With Kapoor: Kuch Khatti Kuch Meethi (2001).</t>
        </is>
      </c>
      <c r="K193" s="19" t="inlineStr">
        <is>
          <t>Not documented.</t>
        </is>
      </c>
      <c r="L193" s="19" t="inlineStr">
        <is>
          <t>Not documented.</t>
        </is>
      </c>
      <c r="M193" s="5" t="n"/>
      <c r="N193" s="19" t="inlineStr">
        <is>
          <t>Not independently documented.</t>
        </is>
      </c>
      <c r="O193" s="19" t="inlineStr">
        <is>
          <t>One film: Rahul Rawail's Kuch Khatti Kuch Meethi (2001), co-produced with Rita Rawail and the Nandys, in which Kapoor plays the father of twins separated by their parents' divorce — one of the few roles he had in the quiet years before Hum Tum.</t>
        </is>
      </c>
      <c r="P193" s="17" t="n">
        <v>1</v>
      </c>
      <c r="Q193" s="5" t="inlineStr">
        <is>
          <t>FILM-113</t>
        </is>
      </c>
      <c r="R193" s="5" t="inlineStr">
        <is>
          <t>Kuch Khatti Kuch Meethi (2001)</t>
        </is>
      </c>
      <c r="S193" s="5" t="inlineStr">
        <is>
          <t>B.L. Saboo co-produced Kuch Khatti Kuch Meethi (2001) and has no documented biography. The film reunited Kapoor with Rahul Rawail, who had given him his lead in Gunahgaar twenty-one years earlier, and cast him as the father of twin daughters raised apart after a divorce. It belongs to the four-year interval between the end of his leading career and Hum Tum, when his work consisted of a handful of supporting and paternal roles in films that made little impression. This row is built from the film's credits alone.</t>
        </is>
      </c>
      <c r="T193" s="5" t="inlineStr">
        <is>
          <t>SOURCE-105</t>
        </is>
      </c>
      <c r="U193" s="5" t="inlineStr">
        <is>
          <t>Low</t>
        </is>
      </c>
    </row>
    <row r="194" ht="94" customHeight="1">
      <c r="A194" s="15" t="inlineStr">
        <is>
          <t>PERSON-193</t>
        </is>
      </c>
      <c r="B194" s="5" t="inlineStr">
        <is>
          <t>BMB Combines</t>
        </is>
      </c>
      <c r="C194" s="5" t="inlineStr">
        <is>
          <t>Production banner</t>
        </is>
      </c>
      <c r="D194" s="18" t="n"/>
      <c r="E194" s="18" t="n"/>
      <c r="F194" s="5" t="n"/>
      <c r="G194" s="5" t="inlineStr">
        <is>
          <t>Hindi cinema</t>
        </is>
      </c>
      <c r="H194" s="5" t="inlineStr">
        <is>
          <t>A production banner credited on one film in this filmography, with no Wikipedia article of its own.</t>
        </is>
      </c>
      <c r="I194" s="5" t="n"/>
      <c r="J194" s="5" t="inlineStr">
        <is>
          <t>With Kapoor: Naseeb Apna Apna (1986).</t>
        </is>
      </c>
      <c r="K194" s="19" t="inlineStr">
        <is>
          <t>Not documented.</t>
        </is>
      </c>
      <c r="L194" s="19" t="inlineStr">
        <is>
          <t>Not documented.</t>
        </is>
      </c>
      <c r="M194" s="5" t="n"/>
      <c r="N194" s="19" t="inlineStr">
        <is>
          <t>Not independently documented.</t>
        </is>
      </c>
      <c r="O194" s="19" t="inlineStr">
        <is>
          <t>One credit, on Naseeb Apna Apna (1986), which T. Rama Rao directed and K. C. Bokadia produced, with a Laxmikant–Pyarelal score and Kapoor opposite Farha — one of the southern-formula remakes that made up much of his mid-1980s work.</t>
        </is>
      </c>
      <c r="P194" s="17" t="n">
        <v>1</v>
      </c>
      <c r="Q194" s="5" t="inlineStr">
        <is>
          <t>FILM-052</t>
        </is>
      </c>
      <c r="R194" s="5" t="inlineStr">
        <is>
          <t>Naseeb Apna Apna (1986)</t>
        </is>
      </c>
      <c r="S194" s="5" t="inlineStr">
        <is>
          <t>BMB Combines is the banner on Naseeb Apna Apna (1986) and has no recorded history. The film is characteristic of Kapoor's middle period in several ways at once: directed by T. Rama Rao, one of the most prolific importers of Telugu formulas into Hindi; produced by K. C. Bokadia, whose own article is the only reason another film in this workbook has a director credit; scored by Laxmikant–Pyarelal, who wrote for thirty-two of these films; and written in part by Mushtaq Jalili, an Urdu screenwriter whose father was a poet. The banner that financed it left nothing behind. This row is built from the film's credits alone.</t>
        </is>
      </c>
      <c r="T194" s="5" t="inlineStr">
        <is>
          <t>SOURCE-055</t>
        </is>
      </c>
      <c r="U194" s="5" t="inlineStr">
        <is>
          <t>Low</t>
        </is>
      </c>
    </row>
    <row r="195" ht="139" customHeight="1">
      <c r="A195" s="15" t="inlineStr">
        <is>
          <t>PERSON-194</t>
        </is>
      </c>
      <c r="B195" s="5" t="inlineStr">
        <is>
          <t>Badshah</t>
        </is>
      </c>
      <c r="C195" s="5" t="inlineStr">
        <is>
          <t>Song composer</t>
        </is>
      </c>
      <c r="D195" s="18" t="n"/>
      <c r="E195" s="18" t="n"/>
      <c r="F195" s="5" t="inlineStr">
        <is>
          <t>2006–present</t>
        </is>
      </c>
      <c r="G195" s="5" t="inlineStr">
        <is>
          <t>Indian hip-hop; Hindi cinema</t>
        </is>
      </c>
      <c r="H195" s="5" t="inlineStr">
        <is>
          <t>Aditya Prateek Singh, known professionally as Badshah, is an Indian rapper, singer-songwriter, composer, reality-television judge and businessman from Delhi, influential in both Indian hip-hop and Hindi film music and widely credited with helping Indian hip-hop reach mainstream global audiences. His article notes that he is known for high-energy commercial songs and for a series of controversies.</t>
        </is>
      </c>
      <c r="I195" s="5" t="inlineStr">
        <is>
          <t>Recording from 2006; wide recognition followed his 2012 single 'Saturday Saturday', used in the soundtrack of Humpty Sharma Ki Dulhania (2014).</t>
        </is>
      </c>
      <c r="J195" s="5" t="inlineStr">
        <is>
          <t>With Kapoor: Kapoor &amp; Sons (2016). Elsewhere, 'Abhi Toh Party Shuru Hui Hai' from Khoobsurat and a long run of film and non-film singles.</t>
        </is>
      </c>
      <c r="K195" s="19" t="inlineStr">
        <is>
          <t>Party and club records written as standalone singles and then placed in films.</t>
        </is>
      </c>
      <c r="L195" s="19" t="inlineStr">
        <is>
          <t>Hip-hop and dance-pop built for streaming and radio, usually rapped by himself, commissioned a song at a time.</t>
        </is>
      </c>
      <c r="M195" s="5" t="n"/>
      <c r="N195" s="19" t="inlineStr">
        <is>
          <t>One of the central figures in Indian hip-hop's move into the commercial mainstream.</t>
        </is>
      </c>
      <c r="O195" s="19" t="inlineStr">
        <is>
          <t>One film: Kapoor &amp; Sons (2016), where he is one of six credited song composers — the infobox lists Amaal Mallik, Badshah, Arko, Tanishk Bagchi, Benny Dayal and Nucleya under 'Songs' and Sameer Uddin under 'Score'. Kapoor plays the ninety-year-old grandfather in it, under prosthetics, and won the Filmfare Award for Best Supporting Actor.</t>
        </is>
      </c>
      <c r="P195" s="17" t="n">
        <v>2</v>
      </c>
      <c r="Q195" s="5" t="inlineStr">
        <is>
          <t>FILM-151; FILM-152</t>
        </is>
      </c>
      <c r="R195" s="5" t="inlineStr">
        <is>
          <t>Kapoor &amp; Sons (2016)</t>
        </is>
      </c>
      <c r="S195" s="5" t="inlineStr">
        <is>
          <t>Badshah contributed a song to Kapoor &amp; Sons (2016), and the credit is a small marker of how far Hindi film music had travelled during Rishi Kapoor's career. A Delhi rapper who came up outside the film industry and reached a mass audience with 'Saturday Saturday' before Bollywood absorbed him, Badshah is one of six composers on a single soundtrack — an arrangement unimaginable in 1973, when Laxmikant–Pyarelal wrote every song in Bobby. The film itself is among the best of Kapoor's late work: a family drama in which he plays a mischievous nonagenarian who wants one photograph of everyone together, a performance that won him the Filmfare Award for Best Supporting Actor.</t>
        </is>
      </c>
      <c r="T195" s="5" t="inlineStr">
        <is>
          <t>SOURCE-275</t>
        </is>
      </c>
      <c r="U195" s="5" t="inlineStr">
        <is>
          <t>High</t>
        </is>
      </c>
    </row>
    <row r="196" ht="94" customHeight="1">
      <c r="A196" s="15" t="inlineStr">
        <is>
          <t>PERSON-195</t>
        </is>
      </c>
      <c r="B196" s="5" t="inlineStr">
        <is>
          <t>Balaji Films Ltd.</t>
        </is>
      </c>
      <c r="C196" s="5" t="inlineStr">
        <is>
          <t>Production banner</t>
        </is>
      </c>
      <c r="D196" s="18" t="n"/>
      <c r="E196" s="18" t="n"/>
      <c r="F196" s="5" t="n"/>
      <c r="G196" s="5" t="inlineStr">
        <is>
          <t>Hindi cinema; Indian television</t>
        </is>
      </c>
      <c r="H196" s="5" t="inlineStr">
        <is>
          <t>A production banner credited on one film in this filmography, with no Wikipedia article under this name. The credit belongs to the Balaji group founded by Ekta Kapoor, whose own article is cited on her row in this sheet.</t>
        </is>
      </c>
      <c r="I196" s="5" t="n"/>
      <c r="J196" s="5" t="inlineStr">
        <is>
          <t>With Kapoor: Kucch To Hai (2003).</t>
        </is>
      </c>
      <c r="K196" s="19" t="inlineStr">
        <is>
          <t>The transfer of television serial production into film.</t>
        </is>
      </c>
      <c r="L196" s="19" t="inlineStr">
        <is>
          <t>Not documented under this name.</t>
        </is>
      </c>
      <c r="M196" s="5" t="n"/>
      <c r="N196" s="19" t="inlineStr">
        <is>
          <t>Not independently documented under this name; the wider Balaji group is a dominant force in Indian television.</t>
        </is>
      </c>
      <c r="O196" s="19" t="inlineStr">
        <is>
          <t>One credit, on Kucch To Hai (2003), the horror-slasher credited to two directors — Anurag Basu, whose article calls it his debut, and Anil V. Kumar — with Kapoor in support. It falls in the interval between his last leads and Hum Tum.</t>
        </is>
      </c>
      <c r="P196" s="17" t="n">
        <v>1</v>
      </c>
      <c r="Q196" s="5" t="inlineStr">
        <is>
          <t>FILM-115</t>
        </is>
      </c>
      <c r="R196" s="5" t="inlineStr">
        <is>
          <t>Kucch To Hai (2003)</t>
        </is>
      </c>
      <c r="S196" s="5" t="inlineStr">
        <is>
          <t>Balaji Films is the banner on Kucch To Hai (2003), and has no article under that name. The credit places the film inside Ekta Kapoor's Balaji group, which dominated Indian television in the early 2000s and was then moving into cinema; Kucch To Hai was one of its early features, a horror-slasher aimed at a young audience, credited to Anurag Basu and Anil V. Kumar and featuring Rishi Kapoor in a supporting part. For Kapoor it belongs to the quietest stretch of his working life, the four years between the end of his leading roles and the Yash Raj films that restarted him. This row is built from the film's credits alone.</t>
        </is>
      </c>
      <c r="T196" s="5" t="inlineStr">
        <is>
          <t>SOURCE-107</t>
        </is>
      </c>
      <c r="U196" s="5" t="inlineStr">
        <is>
          <t>Low</t>
        </is>
      </c>
    </row>
    <row r="197" ht="94" customHeight="1">
      <c r="A197" s="15" t="inlineStr">
        <is>
          <t>PERSON-196</t>
        </is>
      </c>
      <c r="B197" s="5" t="inlineStr">
        <is>
          <t>Benaras Media Works</t>
        </is>
      </c>
      <c r="C197" s="5" t="inlineStr">
        <is>
          <t>Production banner</t>
        </is>
      </c>
      <c r="D197" s="18" t="n"/>
      <c r="E197" s="18" t="n"/>
      <c r="F197" s="5" t="n"/>
      <c r="G197" s="5" t="inlineStr">
        <is>
          <t>Hindi cinema</t>
        </is>
      </c>
      <c r="H197" s="5" t="inlineStr">
        <is>
          <t>The production banner of the director Anubhav Sinha, credited on Mulk (2018). It has no Wikipedia article of its own — the name redirects to Sinha himself, whose article is cited on his row in this sheet.</t>
        </is>
      </c>
      <c r="I197" s="5" t="n"/>
      <c r="J197" s="5" t="inlineStr">
        <is>
          <t>With Kapoor: Mulk (2018).</t>
        </is>
      </c>
      <c r="K197" s="19" t="inlineStr">
        <is>
          <t>Socially engaged drama; the citizen before the law.</t>
        </is>
      </c>
      <c r="L197" s="19" t="inlineStr">
        <is>
          <t>A director's own banner, used for the run of political films Sinha began in 2018.</t>
        </is>
      </c>
      <c r="M197" s="5" t="n"/>
      <c r="N197" s="19" t="inlineStr">
        <is>
          <t>Not independently documented.</t>
        </is>
      </c>
      <c r="O197" s="19" t="inlineStr">
        <is>
          <t>One credit, on Mulk (2018), in which Kapoor plays Murad Ali Mohammed, the head of a Varanasi Muslim family whose loyalty is put on trial after his nephew joins a terrorist attack. It is the most substantial role of his last years.</t>
        </is>
      </c>
      <c r="P197" s="17" t="n">
        <v>1</v>
      </c>
      <c r="Q197" s="5" t="inlineStr">
        <is>
          <t>FILM-155</t>
        </is>
      </c>
      <c r="R197" s="5" t="inlineStr">
        <is>
          <t>Mulk (2018)</t>
        </is>
      </c>
      <c r="S197" s="5" t="inlineStr">
        <is>
          <t>Benaras Media Works is Anubhav Sinha's own banner, and it produced the film that gave Rishi Kapoor his best late dramatic role. The company has no separate article — its name redirects to Sinha — and it exists to make the socially engaged films he turned to from 2018: Mulk, Article 15, Thappad. In Mulk, Kapoor plays a Varanasi patriarch forced to defend his family's belonging in open court, a performance of stillness from an actor whose fame had rested on charm. The banner's name, invoking Benaras, points at the film's setting. This row is built from the film's credits alone.</t>
        </is>
      </c>
      <c r="T197" s="5" t="inlineStr">
        <is>
          <t>SOURCE-148</t>
        </is>
      </c>
      <c r="U197" s="5" t="inlineStr">
        <is>
          <t>Low</t>
        </is>
      </c>
    </row>
    <row r="198" ht="94" customHeight="1">
      <c r="A198" s="15" t="inlineStr">
        <is>
          <t>PERSON-197</t>
        </is>
      </c>
      <c r="B198" s="5" t="inlineStr">
        <is>
          <t>Benchmark Pictures</t>
        </is>
      </c>
      <c r="C198" s="5" t="inlineStr">
        <is>
          <t>Production banner</t>
        </is>
      </c>
      <c r="D198" s="18" t="n"/>
      <c r="E198" s="18" t="n"/>
      <c r="F198" s="5" t="n"/>
      <c r="G198" s="5" t="inlineStr">
        <is>
          <t>Hindi cinema</t>
        </is>
      </c>
      <c r="H198" s="5" t="inlineStr">
        <is>
          <t>A production banner credited on one film in this filmography, with no Wikipedia article of its own.</t>
        </is>
      </c>
      <c r="I198" s="5" t="n"/>
      <c r="J198" s="5" t="inlineStr">
        <is>
          <t>With Kapoor: 102 Not Out (2018).</t>
        </is>
      </c>
      <c r="K198" s="19" t="inlineStr">
        <is>
          <t>Not documented.</t>
        </is>
      </c>
      <c r="L198" s="19" t="inlineStr">
        <is>
          <t>Not documented.</t>
        </is>
      </c>
      <c r="M198" s="5" t="n"/>
      <c r="N198" s="19" t="inlineStr">
        <is>
          <t>Not independently documented.</t>
        </is>
      </c>
      <c r="O198" s="19" t="inlineStr">
        <is>
          <t>One credit, on 102 Not Out (2018), Umesh Shukla's two-hander in which the 65-year-old Kapoor plays the 75-year-old son of Amitabh Bachchan's 102-year-old father — his last leading role and the ninth film the two men made together.</t>
        </is>
      </c>
      <c r="P198" s="17" t="n">
        <v>1</v>
      </c>
      <c r="Q198" s="5" t="inlineStr">
        <is>
          <t>FILM-154</t>
        </is>
      </c>
      <c r="R198" s="5" t="inlineStr">
        <is>
          <t>102 Not Out (2018)</t>
        </is>
      </c>
      <c r="S198" s="5" t="inlineStr">
        <is>
          <t>Benchmark Pictures co-produced 102 Not Out (2018) and has no recorded history of its own. The film is the last lead role of Rishi Kapoor's career: adapted by Umesh Shukla from his own Gujarati play, it puts Kapoor as a morose seventy-five-year-old against Amitabh Bachchan's irrepressible centenarian father, the two of them alone in a house for most of its length. They had first appeared together in Amar Akbar Anthony forty-one years earlier, and this is the only one of their nine films in which Kapoor plays the younger generation. He died two years after its release. This row is built from the film's credits alone.</t>
        </is>
      </c>
      <c r="T198" s="5" t="inlineStr">
        <is>
          <t>SOURCE-146</t>
        </is>
      </c>
      <c r="U198" s="5" t="inlineStr">
        <is>
          <t>Low</t>
        </is>
      </c>
    </row>
    <row r="199" ht="124" customHeight="1">
      <c r="A199" s="15" t="inlineStr">
        <is>
          <t>PERSON-198</t>
        </is>
      </c>
      <c r="B199" s="5" t="inlineStr">
        <is>
          <t>Benny Dayal</t>
        </is>
      </c>
      <c r="C199" s="5" t="inlineStr">
        <is>
          <t>Song composer</t>
        </is>
      </c>
      <c r="D199" s="17" t="n">
        <v>1979</v>
      </c>
      <c r="E199" s="18" t="n"/>
      <c r="F199" s="5" t="inlineStr">
        <is>
          <t>2002–present</t>
        </is>
      </c>
      <c r="G199" s="5" t="inlineStr">
        <is>
          <t>Hindi cinema; Tamil, Telugu, Malayalam and other Indian cinema</t>
        </is>
      </c>
      <c r="H199" s="5" t="inlineStr">
        <is>
          <t>Benny Dayal (born 13 May 1979 in Abu Dhabi) is an Indian playback singer based in the United Arab Emirates who records in Hindi, Tamil, Telugu, Malayalam, Kannada, Bengali, Gujarati and Marathi. He is a member of the band S5, launched by the SS Music channel, through which A. R. Rahman noticed him, and he made an acting debut in the Malayalam film By the People.</t>
        </is>
      </c>
      <c r="I199" s="5" t="inlineStr">
        <is>
          <t>Recording from 2002; brought into film music by A. R. Rahman.</t>
        </is>
      </c>
      <c r="J199" s="5" t="inlineStr">
        <is>
          <t>With Kapoor: Kapoor &amp; Sons (2016). Elsewhere, a large catalogue of playback work across Indian languages.</t>
        </is>
      </c>
      <c r="K199" s="19" t="inlineStr">
        <is>
          <t>High-energy playback singing across languages; the single-song film commission.</t>
        </is>
      </c>
      <c r="L199" s="19" t="inlineStr">
        <is>
          <t>Primarily a playback singer, credited here among a film's composers in the multi-contributor manner of 2010s soundtracks.</t>
        </is>
      </c>
      <c r="M199" s="5" t="n"/>
      <c r="N199" s="19" t="inlineStr">
        <is>
          <t>One of the most widely recorded multilingual playback singers of his generation.</t>
        </is>
      </c>
      <c r="O199" s="19" t="inlineStr">
        <is>
          <t>One film: Kapoor &amp; Sons (2016), where the infobox lists him among six names under 'Songs'. Kapoor plays the ninety-year-old grandfather in it, the performance that won him the Filmfare Award for Best Supporting Actor.</t>
        </is>
      </c>
      <c r="P199" s="17" t="n">
        <v>1</v>
      </c>
      <c r="Q199" s="5" t="inlineStr">
        <is>
          <t>FILM-152</t>
        </is>
      </c>
      <c r="R199" s="5" t="inlineStr">
        <is>
          <t>Kapoor &amp; Sons (2016)</t>
        </is>
      </c>
      <c r="S199" s="5" t="inlineStr">
        <is>
          <t>Benny Dayal is credited among the song composers of Kapoor &amp; Sons (2016), a film whose soundtrack was divided between six contributors. Born in Abu Dhabi in 1979 and based in the UAE, Dayal is better known as a playback singer — one of the most prolific multilingual voices of his generation, brought into film music by A. R. Rahman after being noticed with the band S5 — and his presence in a composer credit is characteristic of how loosely those credits are assigned in the streaming era. The film itself gave Kapoor his Filmfare Award for Best Supporting Actor, as a nonagenarian patriarch played under heavy prosthetics.</t>
        </is>
      </c>
      <c r="T199" s="5" t="inlineStr">
        <is>
          <t>SOURCE-276</t>
        </is>
      </c>
      <c r="U199" s="5" t="inlineStr">
        <is>
          <t>Medium</t>
        </is>
      </c>
    </row>
    <row r="200" ht="124" customHeight="1">
      <c r="A200" s="15" t="inlineStr">
        <is>
          <t>PERSON-199</t>
        </is>
      </c>
      <c r="B200" s="5" t="inlineStr">
        <is>
          <t>Bhagwan Chitra Mandir</t>
        </is>
      </c>
      <c r="C200" s="5" t="inlineStr">
        <is>
          <t>Production banner</t>
        </is>
      </c>
      <c r="D200" s="18" t="n"/>
      <c r="E200" s="18" t="n"/>
      <c r="F200" s="5" t="n"/>
      <c r="G200" s="5" t="inlineStr">
        <is>
          <t>Hindi cinema</t>
        </is>
      </c>
      <c r="H200" s="5" t="inlineStr">
        <is>
          <t>A production banner credited on one film in this filmography, with no Wikipedia article of its own.</t>
        </is>
      </c>
      <c r="I200" s="5" t="n"/>
      <c r="J200" s="5" t="inlineStr">
        <is>
          <t>With Kapoor: Deewana (1992).</t>
        </is>
      </c>
      <c r="K200" s="19" t="inlineStr">
        <is>
          <t>Not documented.</t>
        </is>
      </c>
      <c r="L200" s="19" t="inlineStr">
        <is>
          <t>Not documented.</t>
        </is>
      </c>
      <c r="M200" s="5" t="n"/>
      <c r="N200" s="19" t="inlineStr">
        <is>
          <t>Not independently documented, though its one credit here is on a film of real consequence.</t>
        </is>
      </c>
      <c r="O200" s="19" t="inlineStr">
        <is>
          <t>One credit, and on the pivotal film of the later career: Deewana (1992), Raj Kanwar's directorial debut, in which Kapoor plays the singer presumed dead whose widow marries the younger man played by a debuting Shah Rukh Khan. The film was a hit and is read as the handover of the romantic lead between generations.</t>
        </is>
      </c>
      <c r="P200" s="17" t="n">
        <v>1</v>
      </c>
      <c r="Q200" s="5" t="inlineStr">
        <is>
          <t>FILM-087</t>
        </is>
      </c>
      <c r="R200" s="5" t="inlineStr">
        <is>
          <t>Deewana (1992)</t>
        </is>
      </c>
      <c r="S200" s="5" t="inlineStr">
        <is>
          <t>Bhagwan Chitra Mandir is the banner on Deewana (1992) and has no recorded history. The film matters more than almost any other in the second half of this filmography: Kapoor plays Ravi, a wealthy singer who marries Divya Bharti's character and is believed killed, and Shah Rukh Khan, in his film debut, plays the man she later marries. It was Raj Kanwar's first film as director, a commercial success, and the moment at which Hindi cinema's romantic lead visibly passed from Kapoor's generation to the next — with Kapoor performing the transfer himself. The company that financed it left nothing else behind. This row is built from the film's credits alone.</t>
        </is>
      </c>
      <c r="T200" s="5" t="inlineStr">
        <is>
          <t>SOURCE-081</t>
        </is>
      </c>
      <c r="U200" s="5" t="inlineStr">
        <is>
          <t>Low</t>
        </is>
      </c>
    </row>
    <row r="201" ht="139" customHeight="1">
      <c r="A201" s="15" t="inlineStr">
        <is>
          <t>PERSON-200</t>
        </is>
      </c>
      <c r="B201" s="5" t="inlineStr">
        <is>
          <t>Bhappi Sonie</t>
        </is>
      </c>
      <c r="C201" s="5" t="inlineStr">
        <is>
          <t>Director; Producer</t>
        </is>
      </c>
      <c r="D201" s="17" t="n">
        <v>1928</v>
      </c>
      <c r="E201" s="17" t="n">
        <v>2001</v>
      </c>
      <c r="F201" s="5" t="n"/>
      <c r="G201" s="5" t="inlineStr">
        <is>
          <t>Hindi cinema</t>
        </is>
      </c>
      <c r="H201" s="5" t="inlineStr">
        <is>
          <t>Bhappi Sonie (31 July 1928 – 5 September 2001) was an Indian director and producer in Hindi cinema. He assisted Raj Khosla on Milap (1955), C.I.D. (1956) and Solva Saal (1958) before making his directorial debut with Ek Phool Char Kaante, starring Sunil Dutt and Waheeda Rehman. He is best known for the Shammi Kapoor and Dharmendra hits Janwar (1965) and Brahmachari (1968), and won the Filmfare Award for Best Film.</t>
        </is>
      </c>
      <c r="I201" s="5" t="inlineStr">
        <is>
          <t>Assistant to Raj Khosla from 1955; directorial debut Ek Phool Char Kaante.</t>
        </is>
      </c>
      <c r="J201" s="5" t="inlineStr">
        <is>
          <t>With Kapoor: Bade Dilwala (1983). Elsewhere, Janwar and Brahmachari.</t>
        </is>
      </c>
      <c r="K201" s="19" t="inlineStr">
        <is>
          <t>Light romantic comedy built around a charismatic male star.</t>
        </is>
      </c>
      <c r="L201" s="19" t="inlineStr">
        <is>
          <t>Breezy star vehicles with strong song placement, in the 1960s Shammi Kapoor idiom.</t>
        </is>
      </c>
      <c r="M201" s="5" t="inlineStr">
        <is>
          <t>Filmfare Award for Best Film, for Brahmachari.</t>
        </is>
      </c>
      <c r="N201" s="19" t="inlineStr">
        <is>
          <t>A significant director of the 1960s star comedy, and the maker of two of Shammi Kapoor's defining films.</t>
        </is>
      </c>
      <c r="O201" s="19" t="inlineStr">
        <is>
          <t>One film: Bade Dilwala (1983), an R. D. Burman-scored melodrama written in part by Rahi Masoom Raza and Gulshan Nanda. The interest lies in the lineage — Sonie had directed Janwar and Brahmachari with Shammi Kapoor, Rishi's uncle, and came to the nephew two decades later for a film neither is remembered for.</t>
        </is>
      </c>
      <c r="P201" s="17" t="n">
        <v>1</v>
      </c>
      <c r="Q201" s="5" t="inlineStr">
        <is>
          <t>FILM-040</t>
        </is>
      </c>
      <c r="R201" s="5" t="inlineStr">
        <is>
          <t>Bade Dilwala (1983)</t>
        </is>
      </c>
      <c r="S201" s="5" t="inlineStr">
        <is>
          <t>Bhappi Sonie directed one Rishi Kapoor film, late in a career built on another Kapoor. Sonie learned the trade assisting Raj Khosla on Milap, C.I.D. and Solva Saal, then made his name with Janwar (1965) and Brahmachari (1968), both starring Shammi Kapoor — Rishi's uncle — and the second winning him the Filmfare Award for Best Film. His one film with the nephew, Bade Dilwala (1983), is a melodrama with an R. D. Burman score and a script shared between Rahi Masoom Raza, Gulshan Nanda and C. J. Pavri, and it made no impression. The pairing is one of several in this workbook where a director associated with the previous generation of Kapoors reached Rishi only after his own best work was behind him.</t>
        </is>
      </c>
      <c r="T201" s="5" t="inlineStr">
        <is>
          <t>SOURCE-277</t>
        </is>
      </c>
      <c r="U201" s="5" t="inlineStr">
        <is>
          <t>High</t>
        </is>
      </c>
    </row>
    <row r="202" ht="109" customHeight="1">
      <c r="A202" s="15" t="inlineStr">
        <is>
          <t>PERSON-201</t>
        </is>
      </c>
      <c r="B202" s="5" t="inlineStr">
        <is>
          <t>Bharat B. Bhalla</t>
        </is>
      </c>
      <c r="C202" s="5" t="inlineStr">
        <is>
          <t>Writer</t>
        </is>
      </c>
      <c r="D202" s="18" t="n"/>
      <c r="E202" s="18" t="n"/>
      <c r="F202" s="5" t="n"/>
      <c r="G202" s="5" t="inlineStr">
        <is>
          <t>Hindi cinema</t>
        </is>
      </c>
      <c r="H202" s="5" t="inlineStr">
        <is>
          <t>A writer credited on one film in this filmography, with no Wikipedia article of his own.</t>
        </is>
      </c>
      <c r="I202" s="5" t="n"/>
      <c r="J202" s="5" t="inlineStr">
        <is>
          <t>With Kapoor: Ajooba (1991).</t>
        </is>
      </c>
      <c r="K202" s="19" t="inlineStr">
        <is>
          <t>Fantasy adventure.</t>
        </is>
      </c>
      <c r="L202" s="19" t="inlineStr">
        <is>
          <t>Not documented; he is credited with Prayag Raj and Brij Katyal, and with two Soviet writers.</t>
        </is>
      </c>
      <c r="M202" s="5" t="n"/>
      <c r="N202" s="19" t="inlineStr">
        <is>
          <t>Not independently documented.</t>
        </is>
      </c>
      <c r="O202" s="19" t="inlineStr">
        <is>
          <t>One film: Ajooba (1991), the Indo-Soviet fantasy Shashi Kapoor directed with Gennady Vasilyev, in which Rishi Kapoor was third-billed behind Amitabh Bachchan and Dimple Kapadia. The writing credit is shared with Prayag Raj, Brij Katyal and the Soviet writers Yu Avetikov and Valentin Ezhov.</t>
        </is>
      </c>
      <c r="P202" s="17" t="n">
        <v>1</v>
      </c>
      <c r="Q202" s="5" t="inlineStr">
        <is>
          <t>FILM-080</t>
        </is>
      </c>
      <c r="R202" s="5" t="inlineStr">
        <is>
          <t>Ajooba (1991)</t>
        </is>
      </c>
      <c r="S202" s="5" t="inlineStr">
        <is>
          <t>Bharat B. Bhalla is one of five writers credited on Ajooba (1991) and has no documented biography. The film is the strangest production in this filmography: an Indo-Soviet co-production shot partly at the Gorky Film Studio with Soviet crew and a Soviet co-director, directed and produced by Shashi Kapoor, with Amitabh Bachchan as a masked avenger and his nephew Rishi third-billed. It cost a great deal and failed. Five writers from two countries are credited, of whom only Prayag Raj and the Soviet screenwriter Valentin Ezhov have any wider record. This row is built from the film's credits alone.</t>
        </is>
      </c>
      <c r="T202" s="5" t="inlineStr">
        <is>
          <t>SOURCE-075</t>
        </is>
      </c>
      <c r="U202" s="5" t="inlineStr">
        <is>
          <t>Low</t>
        </is>
      </c>
    </row>
    <row r="203" ht="94" customHeight="1">
      <c r="A203" s="15" t="inlineStr">
        <is>
          <t>PERSON-202</t>
        </is>
      </c>
      <c r="B203" s="5" t="inlineStr">
        <is>
          <t>Bharat Film Works</t>
        </is>
      </c>
      <c r="C203" s="5" t="inlineStr">
        <is>
          <t>Production banner</t>
        </is>
      </c>
      <c r="D203" s="18" t="n"/>
      <c r="E203" s="18" t="n"/>
      <c r="F203" s="5" t="n"/>
      <c r="G203" s="5" t="inlineStr">
        <is>
          <t>Hindi cinema</t>
        </is>
      </c>
      <c r="H203" s="5" t="inlineStr">
        <is>
          <t>A production banner credited on one film in this filmography, with no Wikipedia article of its own.</t>
        </is>
      </c>
      <c r="I203" s="5" t="n"/>
      <c r="J203" s="5" t="inlineStr">
        <is>
          <t>With Kapoor: Kuch Khatti Kuch Meethi (2001).</t>
        </is>
      </c>
      <c r="K203" s="19" t="inlineStr">
        <is>
          <t>Not documented.</t>
        </is>
      </c>
      <c r="L203" s="19" t="inlineStr">
        <is>
          <t>Not documented.</t>
        </is>
      </c>
      <c r="M203" s="5" t="n"/>
      <c r="N203" s="19" t="inlineStr">
        <is>
          <t>Not independently documented.</t>
        </is>
      </c>
      <c r="O203" s="19" t="inlineStr">
        <is>
          <t>One credit, on Rahul Rawail's Kuch Khatti Kuch Meethi (2001), in which Kapoor plays the father of twin daughters raised apart after a divorce — one of the few roles he had between the end of his leading career and Hum Tum.</t>
        </is>
      </c>
      <c r="P203" s="17" t="n">
        <v>1</v>
      </c>
      <c r="Q203" s="5" t="inlineStr">
        <is>
          <t>FILM-113</t>
        </is>
      </c>
      <c r="R203" s="5" t="inlineStr">
        <is>
          <t>Kuch Khatti Kuch Meethi (2001)</t>
        </is>
      </c>
      <c r="S203" s="5" t="inlineStr">
        <is>
          <t>Bharat Film Works is a banner on Kuch Khatti Kuch Meethi (2001) and has no recorded history. The film reunited Kapoor with Rahul Rawail, who had given him a lead in his own directorial debut Gunahgaar twenty-one years earlier; here Kapoor plays a father and the picture is pitched at family audiences. It belongs to the quiet interval around 2000 when his work was sporadic and largely paternal, before Hum Tum established the character-actor phase. This row is built from the film's credits alone.</t>
        </is>
      </c>
      <c r="T203" s="5" t="inlineStr">
        <is>
          <t>SOURCE-105</t>
        </is>
      </c>
      <c r="U203" s="5" t="inlineStr">
        <is>
          <t>Low</t>
        </is>
      </c>
    </row>
    <row r="204" ht="94" customHeight="1">
      <c r="A204" s="15" t="inlineStr">
        <is>
          <t>PERSON-203</t>
        </is>
      </c>
      <c r="B204" s="5" t="inlineStr">
        <is>
          <t>Bharat Patel</t>
        </is>
      </c>
      <c r="C204" s="5" t="inlineStr">
        <is>
          <t>Producer</t>
        </is>
      </c>
      <c r="D204" s="18" t="n"/>
      <c r="E204" s="18" t="n"/>
      <c r="F204" s="5" t="n"/>
      <c r="G204" s="5" t="inlineStr">
        <is>
          <t>Hindi cinema</t>
        </is>
      </c>
      <c r="H204" s="5" t="inlineStr">
        <is>
          <t>A producer credited on one film in this filmography, with no Wikipedia article of his own; the bare name resolves to an unrelated Zimbabwean judge.</t>
        </is>
      </c>
      <c r="I204" s="5" t="n"/>
      <c r="J204" s="5" t="inlineStr">
        <is>
          <t>With Kapoor: Patel Ki Punjabi Shaadi (2017).</t>
        </is>
      </c>
      <c r="K204" s="19" t="inlineStr">
        <is>
          <t>Not documented.</t>
        </is>
      </c>
      <c r="L204" s="19" t="inlineStr">
        <is>
          <t>Not documented.</t>
        </is>
      </c>
      <c r="M204" s="5" t="n"/>
      <c r="N204" s="19" t="inlineStr">
        <is>
          <t>Not independently documented.</t>
        </is>
      </c>
      <c r="O204" s="19" t="inlineStr">
        <is>
          <t>One film: Patel Ki Punjabi Shaadi (2017), a comedy of a Gujarati-Punjabi marriage in which Kapoor plays the Gujarati father opposite Paresh Rawal — three years before Rawal would complete Kapoor's unfinished last film.</t>
        </is>
      </c>
      <c r="P204" s="17" t="n">
        <v>1</v>
      </c>
      <c r="Q204" s="5" t="inlineStr">
        <is>
          <t>FILM-153</t>
        </is>
      </c>
      <c r="R204" s="5" t="inlineStr">
        <is>
          <t>Patel Ki Punjabi Shaadi (2017)</t>
        </is>
      </c>
      <c r="S204" s="5" t="inlineStr">
        <is>
          <t>Bharat Patel produced Patel Ki Punjabi Shaadi (2017) and has no documented biography; an earlier pass of this research attached to the name the article of a Zimbabwean judge. The film is a culture-clash comedy about a Gujarati family and a Punjabi one, with Kapoor as the Gujarati patriarch and Paresh Rawal opposite him — a pairing that acquired an unexpected significance three years later, when Rawal stepped in to complete Sharmaji Namkeen after Kapoor's death, playing the same character in the unshot scenes. This row is built from the film's credits alone.</t>
        </is>
      </c>
      <c r="T204" s="5" t="inlineStr">
        <is>
          <t>SOURCE-145</t>
        </is>
      </c>
      <c r="U204" s="5" t="inlineStr">
        <is>
          <t>Low</t>
        </is>
      </c>
    </row>
    <row r="205" ht="94" customHeight="1">
      <c r="A205" s="15" t="inlineStr">
        <is>
          <t>PERSON-204</t>
        </is>
      </c>
      <c r="B205" s="5" t="inlineStr">
        <is>
          <t>Bholenath Movies</t>
        </is>
      </c>
      <c r="C205" s="5" t="inlineStr">
        <is>
          <t>Production banner</t>
        </is>
      </c>
      <c r="D205" s="18" t="n"/>
      <c r="E205" s="18" t="n"/>
      <c r="F205" s="5" t="n"/>
      <c r="G205" s="5" t="inlineStr">
        <is>
          <t>Hindi cinema</t>
        </is>
      </c>
      <c r="H205" s="5" t="inlineStr">
        <is>
          <t>A production banner credited on one film in this filmography, with no Wikipedia article of its own.</t>
        </is>
      </c>
      <c r="I205" s="5" t="n"/>
      <c r="J205" s="5" t="inlineStr">
        <is>
          <t>With Kapoor: Patel Ki Punjabi Shaadi (2017).</t>
        </is>
      </c>
      <c r="K205" s="19" t="inlineStr">
        <is>
          <t>Not documented.</t>
        </is>
      </c>
      <c r="L205" s="19" t="inlineStr">
        <is>
          <t>Not documented.</t>
        </is>
      </c>
      <c r="M205" s="5" t="n"/>
      <c r="N205" s="19" t="inlineStr">
        <is>
          <t>Not independently documented.</t>
        </is>
      </c>
      <c r="O205" s="19" t="inlineStr">
        <is>
          <t>One credit, on Patel Ki Punjabi Shaadi (2017), the Gujarati-Punjabi marriage comedy in which Kapoor plays the father of the bride opposite Paresh Rawal, with Lalit Pandit's songs.</t>
        </is>
      </c>
      <c r="P205" s="17" t="n">
        <v>1</v>
      </c>
      <c r="Q205" s="5" t="inlineStr">
        <is>
          <t>FILM-153</t>
        </is>
      </c>
      <c r="R205" s="5" t="inlineStr">
        <is>
          <t>Patel Ki Punjabi Shaadi (2017)</t>
        </is>
      </c>
      <c r="S205" s="5" t="inlineStr">
        <is>
          <t>Bholenath Movies is a banner on Patel Ki Punjabi Shaadi (2017) and has no recorded history. The film belongs to the late run of small comedies in which Kapoor played fathers for producers with no public profile, three years before his death; its music came from Lalit Pandit, working solo after the end of Jatin–Lalit. Several of the companies behind these final films — this one, Bholenath Movies, Allchemy Productions, Azure Entertainment — exist in this workbook only as names on a credit list. This row is built from the film's credits alone.</t>
        </is>
      </c>
      <c r="T205" s="5" t="inlineStr">
        <is>
          <t>SOURCE-145</t>
        </is>
      </c>
      <c r="U205" s="5" t="inlineStr">
        <is>
          <t>Low</t>
        </is>
      </c>
    </row>
    <row r="206" ht="79" customHeight="1">
      <c r="A206" s="15" t="inlineStr">
        <is>
          <t>PERSON-205</t>
        </is>
      </c>
      <c r="B206" s="5" t="inlineStr">
        <is>
          <t>Bholu Khan</t>
        </is>
      </c>
      <c r="C206" s="5" t="inlineStr">
        <is>
          <t>Writer</t>
        </is>
      </c>
      <c r="D206" s="18" t="n"/>
      <c r="E206" s="18" t="n"/>
      <c r="F206" s="5" t="n"/>
      <c r="G206" s="5" t="inlineStr">
        <is>
          <t>Hindi cinema</t>
        </is>
      </c>
      <c r="H206" s="5" t="inlineStr">
        <is>
          <t>A writer credited on one film in this filmography, with no Wikipedia article of his own.</t>
        </is>
      </c>
      <c r="I206" s="5" t="n"/>
      <c r="J206" s="5" t="inlineStr">
        <is>
          <t>With Kapoor: Kuch Khatti Kuch Meethi (2001).</t>
        </is>
      </c>
      <c r="K206" s="19" t="inlineStr">
        <is>
          <t>Not documented.</t>
        </is>
      </c>
      <c r="L206" s="19" t="inlineStr">
        <is>
          <t>Not documented.</t>
        </is>
      </c>
      <c r="M206" s="5" t="n"/>
      <c r="N206" s="19" t="inlineStr">
        <is>
          <t>Not independently documented.</t>
        </is>
      </c>
      <c r="O206" s="19" t="inlineStr">
        <is>
          <t>One film: Kuch Khatti Kuch Meethi (2001), Rahul Rawail's family comedy of separated twins, with Kapoor as their father.</t>
        </is>
      </c>
      <c r="P206" s="17" t="n">
        <v>1</v>
      </c>
      <c r="Q206" s="5" t="inlineStr">
        <is>
          <t>FILM-113</t>
        </is>
      </c>
      <c r="R206" s="5" t="inlineStr">
        <is>
          <t>Kuch Khatti Kuch Meethi (2001)</t>
        </is>
      </c>
      <c r="S206" s="5" t="inlineStr">
        <is>
          <t>Bholu Khan is credited as a writer on Kuch Khatti Kuch Meethi (2001) and has no documented biography. The film is one of four collaborators' worth of writing credits on a modest family comedy, directed by Rahul Rawail twenty-one years after his own debut with Kapoor, and released in the quiet patch before Hum Tum reopened the actor's career. As with most single-credit writers in this workbook, the film's cast list is the only evidence of his working life. This row is built from the film's credits alone.</t>
        </is>
      </c>
      <c r="T206" s="5" t="inlineStr">
        <is>
          <t>SOURCE-105</t>
        </is>
      </c>
      <c r="U206" s="5" t="inlineStr">
        <is>
          <t>Low</t>
        </is>
      </c>
    </row>
    <row r="207" ht="109" customHeight="1">
      <c r="A207" s="15" t="inlineStr">
        <is>
          <t>PERSON-206</t>
        </is>
      </c>
      <c r="B207" s="5" t="inlineStr">
        <is>
          <t>Binod Pradhan</t>
        </is>
      </c>
      <c r="C207" s="5" t="inlineStr">
        <is>
          <t>Director</t>
        </is>
      </c>
      <c r="D207" s="18" t="n"/>
      <c r="E207" s="18" t="n"/>
      <c r="F207" s="5" t="n"/>
      <c r="G207" s="5" t="inlineStr">
        <is>
          <t>Hindi cinema</t>
        </is>
      </c>
      <c r="H207" s="5" t="inlineStr">
        <is>
          <t>Binod Pradhan, from Kalimpong, is an Indian cinematographer, director and actor. His award-winning work as a cinematographer includes 1942: A Love Story, Devdas, Rang De Basanti, Mission Kashmir and Munna Bhai M.B.B.S.</t>
        </is>
      </c>
      <c r="I207" s="5" t="inlineStr">
        <is>
          <t>A cinematographer first; he has directed occasionally.</t>
        </is>
      </c>
      <c r="J207" s="5" t="inlineStr">
        <is>
          <t>With Kapoor: Wedding Pullav (2015). Elsewhere, as cinematographer, Devdas and Rang De Basanti.</t>
        </is>
      </c>
      <c r="K207" s="19" t="inlineStr">
        <is>
          <t>Visual scale and colour; the romantic melodrama photographed as spectacle.</t>
        </is>
      </c>
      <c r="L207" s="19" t="inlineStr">
        <is>
          <t>One of Hindi cinema's foremost cinematographers, whose direction is a sideline to that career.</t>
        </is>
      </c>
      <c r="M207" s="5" t="inlineStr">
        <is>
          <t>Multiple awards and nominations for cinematography, including Filmfare and IIFA recognition.</t>
        </is>
      </c>
      <c r="N207" s="19" t="inlineStr">
        <is>
          <t>A leading Indian cinematographer of the 1990s and 2000s.</t>
        </is>
      </c>
      <c r="O207" s="19" t="inlineStr">
        <is>
          <t>One film: Wedding Pullav (2015), which Pradhan directed and in which Kapoor appears in support — a slight picture by any measure, and an odd item in the filmography of a cinematographer of his standing. Salim–Sulaiman wrote the songs.</t>
        </is>
      </c>
      <c r="P207" s="17" t="n">
        <v>1</v>
      </c>
      <c r="Q207" s="5" t="inlineStr">
        <is>
          <t>FILM-149</t>
        </is>
      </c>
      <c r="R207" s="5" t="inlineStr">
        <is>
          <t>Wedding Pullav (2015)</t>
        </is>
      </c>
      <c r="S207" s="5" t="inlineStr">
        <is>
          <t>Binod Pradhan, one of Hindi cinema's most distinguished cinematographers, directed one film in this filmography. His reputation rests on his camerawork — 1942: A Love Story, Mission Kashmir, Devdas, Munna Bhai M.B.B.S., Rang De Basanti — a body of work that defined the look of mainstream Hindi cinema across two decades. Wedding Pullav (2015), which he directed, is a small romantic comedy with Kapoor in a supporting role and songs by Salim–Sulaiman, and it made no impression. It sits among the late ensemble films in which Kapoor's presence was a reassurance to financiers rather than a part worth writing. Pradhan returned to cinematography afterwards.</t>
        </is>
      </c>
      <c r="T207" s="5" t="inlineStr">
        <is>
          <t>SOURCE-278</t>
        </is>
      </c>
      <c r="U207" s="5" t="inlineStr">
        <is>
          <t>Medium</t>
        </is>
      </c>
    </row>
    <row r="208" ht="124" customHeight="1">
      <c r="A208" s="15" t="inlineStr">
        <is>
          <t>PERSON-207</t>
        </is>
      </c>
      <c r="B208" s="5" t="inlineStr">
        <is>
          <t>Bobby Bedi</t>
        </is>
      </c>
      <c r="C208" s="5" t="inlineStr">
        <is>
          <t>Producer</t>
        </is>
      </c>
      <c r="D208" s="18" t="n"/>
      <c r="E208" s="18" t="n"/>
      <c r="F208" s="5" t="n"/>
      <c r="G208" s="5" t="inlineStr">
        <is>
          <t>Hindi cinema</t>
        </is>
      </c>
      <c r="H208" s="5" t="inlineStr">
        <is>
          <t>A producer credited on one film in this filmography, with no Wikipedia article of his own. He is named as managing director of Kaleidoscope Entertainment in that company's article, which is cited on its own row in this sheet; Kaleidoscope's productions include Bandit Queen, Fire, Maqbool and Mangal Pandey: The Rising.</t>
        </is>
      </c>
      <c r="I208" s="5" t="n"/>
      <c r="J208" s="5" t="inlineStr">
        <is>
          <t>With Kapoor: Chintu Ji (2009). Elsewhere, through Kaleidoscope, Bandit Queen and Maqbool.</t>
        </is>
      </c>
      <c r="K208" s="19" t="inlineStr">
        <is>
          <t>Independent and art-house Indian cinema produced for an international as well as a domestic audience.</t>
        </is>
      </c>
      <c r="L208" s="19" t="inlineStr">
        <is>
          <t>A producer associated with directors outside the commercial mainstream.</t>
        </is>
      </c>
      <c r="M208" s="5" t="n"/>
      <c r="N208" s="19" t="inlineStr">
        <is>
          <t>Not documented in his own right, though the company he runs is among India's significant independent production houses.</t>
        </is>
      </c>
      <c r="O208" s="19" t="inlineStr">
        <is>
          <t>One film: Chintu Ji (2009), in which Kapoor plays a fictionalised version of himself — a star named Chintu Ji, his own childhood nickname — who returns to the village of his birth. That a producer identified with Bandit Queen and Maqbool made it suggests the film was conceived as something more than a vehicle.</t>
        </is>
      </c>
      <c r="P208" s="17" t="n">
        <v>1</v>
      </c>
      <c r="Q208" s="5" t="inlineStr">
        <is>
          <t>FILM-132</t>
        </is>
      </c>
      <c r="R208" s="5" t="inlineStr">
        <is>
          <t>Chintu Ji (2009)</t>
        </is>
      </c>
      <c r="S208" s="5" t="inlineStr">
        <is>
          <t>Bobby Bedi produced Chintu Ji (2009), the most self-referential film in this filmography, and has no Wikipedia article of his own. He is named as managing director of Kaleidoscope Entertainment, the company behind Bandit Queen, Fire, Maqbool and Mangal Pandey: The Rising — a body of work squarely outside the commercial mainstream. Chintu Ji casts Kapoor as a film star called Chintu Ji, which was his own nickname from childhood and the name the industry used for him, returning to the village where he was born to be received as a celebrity and a disappointment. It is an unusual piece of work for a 1970s romantic lead to take, and the producer's background helps explain why it exists.</t>
        </is>
      </c>
      <c r="T208" s="5" t="inlineStr">
        <is>
          <t>SOURCE-124</t>
        </is>
      </c>
      <c r="U208" s="5" t="inlineStr">
        <is>
          <t>Low</t>
        </is>
      </c>
    </row>
    <row r="209" ht="94" customHeight="1">
      <c r="A209" s="15" t="inlineStr">
        <is>
          <t>PERSON-208</t>
        </is>
      </c>
      <c r="B209" s="5" t="inlineStr">
        <is>
          <t>Brar Productions</t>
        </is>
      </c>
      <c r="C209" s="5" t="inlineStr">
        <is>
          <t>Production banner</t>
        </is>
      </c>
      <c r="D209" s="18" t="n"/>
      <c r="E209" s="18" t="n"/>
      <c r="F209" s="5" t="n"/>
      <c r="G209" s="5" t="inlineStr">
        <is>
          <t>Hindi cinema</t>
        </is>
      </c>
      <c r="H209" s="5" t="inlineStr">
        <is>
          <t>A production banner credited on one film in this filmography, with no Wikipedia article of its own.</t>
        </is>
      </c>
      <c r="I209" s="5" t="n"/>
      <c r="J209" s="5" t="inlineStr">
        <is>
          <t>With Kapoor: Pehla Pehla Pyar (1994).</t>
        </is>
      </c>
      <c r="K209" s="19" t="inlineStr">
        <is>
          <t>Not documented.</t>
        </is>
      </c>
      <c r="L209" s="19" t="inlineStr">
        <is>
          <t>Not documented.</t>
        </is>
      </c>
      <c r="M209" s="5" t="n"/>
      <c r="N209" s="19" t="inlineStr">
        <is>
          <t>Not independently documented.</t>
        </is>
      </c>
      <c r="O209" s="19" t="inlineStr">
        <is>
          <t>One credit, on Pehla Pehla Pyar (1994), a romance written by Rumi Jaffery and Honey Irani with music by Anand–Milind — one of four films Kapoor released that year, all of them pitched at a romantic persona that had stopped selling.</t>
        </is>
      </c>
      <c r="P209" s="17" t="n">
        <v>1</v>
      </c>
      <c r="Q209" s="5" t="inlineStr">
        <is>
          <t>FILM-101</t>
        </is>
      </c>
      <c r="R209" s="5" t="inlineStr">
        <is>
          <t>Pehla Pehla Pyar (1994)</t>
        </is>
      </c>
      <c r="S209" s="5" t="inlineStr">
        <is>
          <t>Brar Productions is a banner on Pehla Pehla Pyar (1994) and has no recorded history. The film is one of the clearest examples of the problem Kapoor faced in the mid-1990s: a romance written to his established image by Rumi Jaffery and Honey Irani, scored by Anand–Milind, released at a point when audiences had transferred their affections to Shah Rukh Khan, Aamir Khan and Salman Khan. Four of his films came out that year and none registered. This row is built from the film's credits alone.</t>
        </is>
      </c>
      <c r="T209" s="5" t="inlineStr">
        <is>
          <t>SOURCE-093</t>
        </is>
      </c>
      <c r="U209" s="5" t="inlineStr">
        <is>
          <t>Low</t>
        </is>
      </c>
    </row>
    <row r="210" ht="94" customHeight="1">
      <c r="A210" s="15" t="inlineStr">
        <is>
          <t>PERSON-209</t>
        </is>
      </c>
      <c r="B210" s="5" t="inlineStr">
        <is>
          <t>Brij Katyal</t>
        </is>
      </c>
      <c r="C210" s="5" t="inlineStr">
        <is>
          <t>Writer</t>
        </is>
      </c>
      <c r="D210" s="18" t="n"/>
      <c r="E210" s="18" t="n"/>
      <c r="F210" s="5" t="n"/>
      <c r="G210" s="5" t="inlineStr">
        <is>
          <t>Hindi cinema</t>
        </is>
      </c>
      <c r="H210" s="5" t="inlineStr">
        <is>
          <t>A writer credited on one film in this filmography, with no Wikipedia article of his own.</t>
        </is>
      </c>
      <c r="I210" s="5" t="n"/>
      <c r="J210" s="5" t="inlineStr">
        <is>
          <t>With Kapoor: Ajooba (1991).</t>
        </is>
      </c>
      <c r="K210" s="19" t="inlineStr">
        <is>
          <t>Fantasy adventure.</t>
        </is>
      </c>
      <c r="L210" s="19" t="inlineStr">
        <is>
          <t>Not documented; credited with Prayag Raj, Bharat B. Bhalla and two Soviet writers.</t>
        </is>
      </c>
      <c r="M210" s="5" t="n"/>
      <c r="N210" s="19" t="inlineStr">
        <is>
          <t>Not independently documented.</t>
        </is>
      </c>
      <c r="O210" s="19" t="inlineStr">
        <is>
          <t>One film: Ajooba (1991), the Indo-Soviet fantasy co-directed by Shashi Kapoor and Gennady Vasilyev and shot partly at the Gorky Film Studio, in which Rishi Kapoor was third-billed behind Amitabh Bachchan and Dimple Kapadia.</t>
        </is>
      </c>
      <c r="P210" s="17" t="n">
        <v>1</v>
      </c>
      <c r="Q210" s="5" t="inlineStr">
        <is>
          <t>FILM-080</t>
        </is>
      </c>
      <c r="R210" s="5" t="inlineStr">
        <is>
          <t>Ajooba (1991)</t>
        </is>
      </c>
      <c r="S210" s="5" t="inlineStr">
        <is>
          <t>Brij Katyal is one of five writers credited on Ajooba (1991) and has no documented biography. The film was an Indo-Soviet co-production — Shashi Kapoor directing with the Russian Gennady Vasilyev, Soviet cinematographers, the Gorky Film Studio as co-producer — built as a swashbuckling fantasy around Amitabh Bachchan, with Rishi Kapoor third-billed. It is the only international co-production in this filmography and one of its most expensive failures. The writing was divided between three Indian and two Soviet credits, of which this is the least documented. This row is built from the film's credits alone.</t>
        </is>
      </c>
      <c r="T210" s="5" t="inlineStr">
        <is>
          <t>SOURCE-075</t>
        </is>
      </c>
      <c r="U210" s="5" t="inlineStr">
        <is>
          <t>Low</t>
        </is>
      </c>
    </row>
    <row r="211" ht="109" customHeight="1">
      <c r="A211" s="15" t="inlineStr">
        <is>
          <t>PERSON-210</t>
        </is>
      </c>
      <c r="B211" s="5" t="inlineStr">
        <is>
          <t>Bunty Soorma</t>
        </is>
      </c>
      <c r="C211" s="5" t="inlineStr">
        <is>
          <t>Producer</t>
        </is>
      </c>
      <c r="D211" s="18" t="n"/>
      <c r="E211" s="18" t="n"/>
      <c r="F211" s="5" t="n"/>
      <c r="G211" s="5" t="inlineStr">
        <is>
          <t>Hindi cinema</t>
        </is>
      </c>
      <c r="H211" s="5" t="inlineStr">
        <is>
          <t>A producer credited on one film in this filmography, with no Wikipedia article of his own.</t>
        </is>
      </c>
      <c r="I211" s="5" t="n"/>
      <c r="J211" s="5" t="inlineStr">
        <is>
          <t>With Kapoor: Damini (1993).</t>
        </is>
      </c>
      <c r="K211" s="19" t="inlineStr">
        <is>
          <t>Not documented.</t>
        </is>
      </c>
      <c r="L211" s="19" t="inlineStr">
        <is>
          <t>Not documented.</t>
        </is>
      </c>
      <c r="M211" s="5" t="n"/>
      <c r="N211" s="19" t="inlineStr">
        <is>
          <t>Not independently documented.</t>
        </is>
      </c>
      <c r="O211" s="19" t="inlineStr">
        <is>
          <t>One film: Rajkumar Santoshi's Damini (1993), the blockbuster in which Kapoor plays the husband of a woman who witnesses a rape in his family's house and is disbelieved — one of the few films of his later career in which he is deliberately not the moral centre.</t>
        </is>
      </c>
      <c r="P211" s="17" t="n">
        <v>1</v>
      </c>
      <c r="Q211" s="5" t="inlineStr">
        <is>
          <t>FILM-093</t>
        </is>
      </c>
      <c r="R211" s="5" t="inlineStr">
        <is>
          <t>Damini (1993)</t>
        </is>
      </c>
      <c r="S211" s="5" t="inlineStr">
        <is>
          <t>Bunty Soorma is credited as a producer on Damini (1993) and has no documented biography. The film is among the most substantial of Rishi Kapoor's later career and among the least flattering to him: Meenakshi Seshadri's Damini sees a servant raped by her brother-in-law and is systematically disbelieved, Sunny Deol's alcoholic lawyer takes her case, and Kapoor plays the husband whose loyalty to his family makes him complicit. It won Rajkumar Santoshi his second consecutive Filmfare Award for Best Director. This row is built from the film's credits alone.</t>
        </is>
      </c>
      <c r="T211" s="5" t="inlineStr">
        <is>
          <t>SOURCE-086</t>
        </is>
      </c>
      <c r="U211" s="5" t="inlineStr">
        <is>
          <t>Low</t>
        </is>
      </c>
    </row>
    <row r="212" ht="109" customHeight="1">
      <c r="A212" s="15" t="inlineStr">
        <is>
          <t>PERSON-211</t>
        </is>
      </c>
      <c r="B212" s="5" t="inlineStr">
        <is>
          <t>Cineyug</t>
        </is>
      </c>
      <c r="C212" s="5" t="inlineStr">
        <is>
          <t>Production banner</t>
        </is>
      </c>
      <c r="D212" s="18" t="n"/>
      <c r="E212" s="18" t="n"/>
      <c r="F212" s="5" t="n"/>
      <c r="G212" s="5" t="inlineStr">
        <is>
          <t>Hindi cinema; live events</t>
        </is>
      </c>
      <c r="H212" s="5" t="inlineStr">
        <is>
          <t>A production and event company owned by the brothers Aly Morani and Karim Morani, as recorded in Aly Morani's Wikipedia article, which is cited on his row in this sheet. The company has no article of its own.</t>
        </is>
      </c>
      <c r="I212" s="5" t="n"/>
      <c r="J212" s="5" t="inlineStr">
        <is>
          <t>With Kapoor: Damini (1993). Elsewhere, Raja Hindustani and Arjun.</t>
        </is>
      </c>
      <c r="K212" s="19" t="inlineStr">
        <is>
          <t>Mainstream star vehicles produced alongside a live-events business.</t>
        </is>
      </c>
      <c r="L212" s="19" t="inlineStr">
        <is>
          <t>Not documented.</t>
        </is>
      </c>
      <c r="M212" s="5" t="n"/>
      <c r="N212" s="19" t="inlineStr">
        <is>
          <t>One of India's significant film and live-event companies, though not independently documented.</t>
        </is>
      </c>
      <c r="O212" s="19" t="inlineStr">
        <is>
          <t>One credit, on Damini (1993), in which Kapoor plays the weak husband in a film whose moral weight belongs to Meenakshi Seshadri and Sunny Deol. It is among the strongest films of his later career and among the least concerned with his charm.</t>
        </is>
      </c>
      <c r="P212" s="17" t="n">
        <v>1</v>
      </c>
      <c r="Q212" s="5" t="inlineStr">
        <is>
          <t>FILM-093</t>
        </is>
      </c>
      <c r="R212" s="5" t="inlineStr">
        <is>
          <t>Damini (1993)</t>
        </is>
      </c>
      <c r="S212" s="5" t="inlineStr">
        <is>
          <t>Cineyug produced Damini (1993) and has no article of its own; what is documented appears in the article on Aly Morani, who owns the company with his brother Karim Morani and whose own row in this sheet carries that source. The company's slate ran from Damini to Raja Hindustani while also building a live-events business. Damini is the significant credit here: a courtroom melodrama about a woman disbelieved after witnessing a rape, in which Kapoor's husband is complicit through family loyalty — a part that uses his accumulated likeability as a liability rather than an asset, and one of the clearest signs before 2010 that he could be cast against type.</t>
        </is>
      </c>
      <c r="T212" s="5" t="inlineStr">
        <is>
          <t>SOURCE-086</t>
        </is>
      </c>
      <c r="U212" s="5" t="inlineStr">
        <is>
          <t>Low</t>
        </is>
      </c>
    </row>
    <row r="213" ht="124" customHeight="1">
      <c r="A213" s="15" t="inlineStr">
        <is>
          <t>PERSON-212</t>
        </is>
      </c>
      <c r="B213" s="5" t="inlineStr">
        <is>
          <t>Clinton Cerejo</t>
        </is>
      </c>
      <c r="C213" s="5" t="inlineStr">
        <is>
          <t>Background-score composer</t>
        </is>
      </c>
      <c r="D213" s="18" t="n"/>
      <c r="E213" s="18" t="n"/>
      <c r="F213" s="5" t="inlineStr">
        <is>
          <t>1999–present</t>
        </is>
      </c>
      <c r="G213" s="5" t="inlineStr">
        <is>
          <t>Hindi cinema</t>
        </is>
      </c>
      <c r="H213" s="5" t="inlineStr">
        <is>
          <t>Clinton Cerejo is an Indian singer and composer from Mumbai, active since 1999, who has worked extensively as a music producer for other composers as well as composing and singing in his own right. He is married to the singer Dominique Cerejo.</t>
        </is>
      </c>
      <c r="I213" s="5" t="inlineStr">
        <is>
          <t>Working in film music from 1999, initially as a producer and arranger.</t>
        </is>
      </c>
      <c r="J213" s="5" t="inlineStr">
        <is>
          <t>With Kapoor: The Body (2019). Elsewhere, his production work for other composers and his non-film recordings.</t>
        </is>
      </c>
      <c r="K213" s="19" t="inlineStr">
        <is>
          <t>Background score and arrangement rather than songs; fusion of Indian and Western idioms.</t>
        </is>
      </c>
      <c r="L213" s="19" t="inlineStr">
        <is>
          <t>A producer-composer best known for arranging and realising other composers' work, with a parallel career as a singer.</t>
        </is>
      </c>
      <c r="M213" s="5" t="n"/>
      <c r="N213" s="19" t="inlineStr">
        <is>
          <t>One of the most employed music producers in Hindi cinema of his period.</t>
        </is>
      </c>
      <c r="O213" s="19" t="inlineStr">
        <is>
          <t>One film: The Body (2019), the last film released in Kapoor's lifetime — a thriller remade from a Spanish original, directed by the Malayalam filmmaker Jeethu Joseph, in which Kapoor plays the investigating police officer. Cerejo wrote the score; the songs were by Shamir Tandon, Arko and Tanishk Bagchi.</t>
        </is>
      </c>
      <c r="P213" s="17" t="n">
        <v>1</v>
      </c>
      <c r="Q213" s="5" t="inlineStr">
        <is>
          <t>FILM-159</t>
        </is>
      </c>
      <c r="R213" s="5" t="inlineStr">
        <is>
          <t>The Body (2019)</t>
        </is>
      </c>
      <c r="S213" s="5" t="inlineStr">
        <is>
          <t>Clinton Cerejo wrote the background score for the last Rishi Kapoor film released while he was alive. A Mumbai singer and composer working since 1999, Cerejo built his career largely as a music producer realising other composers' soundtracks, with his own composing and singing alongside it. The Body (2019) is a remake of a Spanish thriller about a corpse that vanishes from a morgue, directed by Jeethu Joseph, with Kapoor as the police officer running the investigation — a procedural part, a long way from the romances that made him. Its songs came from three other composers while Cerejo supplied the score, the standard division of labour in the period. Kapoor died five months after its release.</t>
        </is>
      </c>
      <c r="T213" s="5" t="inlineStr">
        <is>
          <t>SOURCE-279</t>
        </is>
      </c>
      <c r="U213" s="5" t="inlineStr">
        <is>
          <t>Medium</t>
        </is>
      </c>
    </row>
    <row r="214" ht="79" customHeight="1">
      <c r="A214" s="15" t="inlineStr">
        <is>
          <t>PERSON-213</t>
        </is>
      </c>
      <c r="B214" s="5" t="inlineStr">
        <is>
          <t>Crystal Films</t>
        </is>
      </c>
      <c r="C214" s="5" t="inlineStr">
        <is>
          <t>Production banner</t>
        </is>
      </c>
      <c r="D214" s="18" t="n"/>
      <c r="E214" s="18" t="n"/>
      <c r="F214" s="5" t="n"/>
      <c r="G214" s="5" t="inlineStr">
        <is>
          <t>Hindi cinema</t>
        </is>
      </c>
      <c r="H214" s="5" t="inlineStr">
        <is>
          <t>A production banner credited on one film in this filmography, with no Wikipedia article of its own.</t>
        </is>
      </c>
      <c r="I214" s="5" t="n"/>
      <c r="J214" s="5" t="inlineStr">
        <is>
          <t>With Kapoor: Azaad Desh Ke Gulam (1990).</t>
        </is>
      </c>
      <c r="K214" s="19" t="inlineStr">
        <is>
          <t>Not documented.</t>
        </is>
      </c>
      <c r="L214" s="19" t="inlineStr">
        <is>
          <t>Not documented.</t>
        </is>
      </c>
      <c r="M214" s="5" t="n"/>
      <c r="N214" s="19" t="inlineStr">
        <is>
          <t>Not independently documented.</t>
        </is>
      </c>
      <c r="O214" s="19" t="inlineStr">
        <is>
          <t>One credit, on Azaad Desh Ke Gulam (1990), a Laxmikant–Pyarelal-scored film from the stretch between 1989 and 1991 in which Kapoor released nine pictures, most of them unreviewed.</t>
        </is>
      </c>
      <c r="P214" s="17" t="n">
        <v>1</v>
      </c>
      <c r="Q214" s="5" t="inlineStr">
        <is>
          <t>FILM-076</t>
        </is>
      </c>
      <c r="R214" s="5" t="inlineStr">
        <is>
          <t>Azaad Desh Ke Gulam (1990)</t>
        </is>
      </c>
      <c r="S214" s="5" t="inlineStr">
        <is>
          <t>Crystal Films is the banner on Azaad Desh Ke Gulam (1990) and has no recorded history. The film belongs to the densest and least documented period of the filmography: between 1989 and 1991 Kapoor appeared in nine releases, most of them melodramas scored by Laxmikant–Pyarelal, produced by companies with no public profile and reviewed by nobody. This row exists because the workbook records every credited collaborator, and it is built from the film's credits alone.</t>
        </is>
      </c>
      <c r="T214" s="5" t="inlineStr">
        <is>
          <t>SOURCE-072</t>
        </is>
      </c>
      <c r="U214" s="5" t="inlineStr">
        <is>
          <t>Low</t>
        </is>
      </c>
    </row>
    <row r="215" ht="79" customHeight="1">
      <c r="A215" s="15" t="inlineStr">
        <is>
          <t>PERSON-214</t>
        </is>
      </c>
      <c r="B215" s="5" t="inlineStr">
        <is>
          <t>D.K. Chawla</t>
        </is>
      </c>
      <c r="C215" s="5" t="inlineStr">
        <is>
          <t>Producer</t>
        </is>
      </c>
      <c r="D215" s="18" t="n"/>
      <c r="E215" s="18" t="n"/>
      <c r="F215" s="5" t="n"/>
      <c r="G215" s="5" t="inlineStr">
        <is>
          <t>Hindi cinema</t>
        </is>
      </c>
      <c r="H215" s="5" t="inlineStr">
        <is>
          <t>A producer credited on one film in this filmography, with no Wikipedia article of his own.</t>
        </is>
      </c>
      <c r="I215" s="5" t="n"/>
      <c r="J215" s="5" t="inlineStr">
        <is>
          <t>With Kapoor: Sahibaan (1993).</t>
        </is>
      </c>
      <c r="K215" s="19" t="inlineStr">
        <is>
          <t>Not documented.</t>
        </is>
      </c>
      <c r="L215" s="19" t="inlineStr">
        <is>
          <t>Not documented.</t>
        </is>
      </c>
      <c r="M215" s="5" t="n"/>
      <c r="N215" s="19" t="inlineStr">
        <is>
          <t>Not independently documented.</t>
        </is>
      </c>
      <c r="O215" s="19" t="inlineStr">
        <is>
          <t>One film: Ramesh Talwar's Sahibaan (1993), a Shiv–Hari-scored romance and the last of Talwar's four films with Kapoor, made as his leading career closed.</t>
        </is>
      </c>
      <c r="P215" s="17" t="n">
        <v>1</v>
      </c>
      <c r="Q215" s="5" t="inlineStr">
        <is>
          <t>FILM-094</t>
        </is>
      </c>
      <c r="R215" s="5" t="inlineStr">
        <is>
          <t>Sahibaan (1993)</t>
        </is>
      </c>
      <c r="S215" s="5" t="inlineStr">
        <is>
          <t>D.K. Chawla produced Sahibaan (1993) and has no documented biography. The film was Ramesh Talwar's fourth and final collaboration with Kapoor, sixteen years after Doosra Aadmi had cast the young star as the object of an older woman's grief, and it carries a score by Shiv–Hari, the classical duo who had written Chandni four years earlier. By 1993 the same directors and composers were making Kapoor's romances in markedly reduced circumstances. This row is built from the film's credits alone.</t>
        </is>
      </c>
      <c r="T215" s="5" t="inlineStr">
        <is>
          <t>SOURCE-091</t>
        </is>
      </c>
      <c r="U215" s="5" t="inlineStr">
        <is>
          <t>Low</t>
        </is>
      </c>
    </row>
    <row r="216" ht="79" customHeight="1">
      <c r="A216" s="15" t="inlineStr">
        <is>
          <t>PERSON-215</t>
        </is>
      </c>
      <c r="B216" s="5" t="inlineStr">
        <is>
          <t>D.R. Kaushal</t>
        </is>
      </c>
      <c r="C216" s="5" t="inlineStr">
        <is>
          <t>Writer</t>
        </is>
      </c>
      <c r="D216" s="18" t="n"/>
      <c r="E216" s="18" t="n"/>
      <c r="F216" s="5" t="n"/>
      <c r="G216" s="5" t="inlineStr">
        <is>
          <t>Hindi cinema</t>
        </is>
      </c>
      <c r="H216" s="5" t="inlineStr">
        <is>
          <t>A writer credited on one film in this filmography, with no Wikipedia article of his own.</t>
        </is>
      </c>
      <c r="I216" s="5" t="n"/>
      <c r="J216" s="5" t="inlineStr">
        <is>
          <t>With Kapoor: Honeymoon (1992).</t>
        </is>
      </c>
      <c r="K216" s="19" t="inlineStr">
        <is>
          <t>Not documented.</t>
        </is>
      </c>
      <c r="L216" s="19" t="inlineStr">
        <is>
          <t>Not documented.</t>
        </is>
      </c>
      <c r="M216" s="5" t="n"/>
      <c r="N216" s="19" t="inlineStr">
        <is>
          <t>Not independently documented.</t>
        </is>
      </c>
      <c r="O216" s="19" t="inlineStr">
        <is>
          <t>One film: Honeymoon (1992), directed and produced by Surendra Mohan with songs by Anand–Milind, from the year of Deewana and Bol Radha Bol — the point at which Kapoor's lead career was ending.</t>
        </is>
      </c>
      <c r="P216" s="17" t="n">
        <v>1</v>
      </c>
      <c r="Q216" s="5" t="inlineStr">
        <is>
          <t>FILM-088</t>
        </is>
      </c>
      <c r="R216" s="5" t="inlineStr">
        <is>
          <t>Honeymoon (1992)</t>
        </is>
      </c>
      <c r="S216" s="5" t="inlineStr">
        <is>
          <t>D.R. Kaushal is credited as a writer on Honeymoon (1992) and has no documented biography. The film came out in the same year as Deewana and Bol Radha Bol, the two pictures that between them closed Kapoor's run as a romantic lead — one by handing the part to Shah Rukh Khan on screen, the other by giving him a last solo hit. Honeymoon, by contrast, left no trace; it was the third and last of Surendra Mohan's films with the actor. This row is built from the film's credits alone.</t>
        </is>
      </c>
      <c r="T216" s="5" t="inlineStr">
        <is>
          <t>SOURCE-083</t>
        </is>
      </c>
      <c r="U216" s="5" t="inlineStr">
        <is>
          <t>Low</t>
        </is>
      </c>
    </row>
    <row r="217" ht="154" customHeight="1">
      <c r="A217" s="15" t="inlineStr">
        <is>
          <t>PERSON-216</t>
        </is>
      </c>
      <c r="B217" s="5" t="inlineStr">
        <is>
          <t>DAR Motion Pictures</t>
        </is>
      </c>
      <c r="C217" s="5" t="inlineStr">
        <is>
          <t>Production banner</t>
        </is>
      </c>
      <c r="D217" s="18" t="n"/>
      <c r="E217" s="18" t="n"/>
      <c r="F217" s="5" t="inlineStr">
        <is>
          <t>2009–present</t>
        </is>
      </c>
      <c r="G217" s="5" t="inlineStr">
        <is>
          <t>Hindi cinema; Marathi cinema</t>
        </is>
      </c>
      <c r="H217" s="5" t="inlineStr">
        <is>
          <t>DAR Motion Pictures, founded in 2009, is an Indian film production and distribution company based in Mumbai and wholly owned by the DAR Capital Group. Its article describes a focus on content-driven cinema and names Arun Rangachari, Vivek Rangachari and Sethumadhavan Napan among its key people; it has worked with directors including Ritesh Batra, Nikhil Advani and Anurag Kashyap, and its films include City of Gold, D-Day and The Lunchbox.</t>
        </is>
      </c>
      <c r="I217" s="5" t="inlineStr">
        <is>
          <t>Opened with Lalbaug Parel (Marathi) and City of Gold (2010).</t>
        </is>
      </c>
      <c r="J217" s="5" t="inlineStr">
        <is>
          <t>With Kapoor: D-Day (2013). Elsewhere, The Lunchbox and City of Gold.</t>
        </is>
      </c>
      <c r="K217" s="19" t="inlineStr">
        <is>
          <t>Content-driven cinema: urban realism, the thriller with a political edge, and festival-facing drama.</t>
        </is>
      </c>
      <c r="L217" s="19" t="inlineStr">
        <is>
          <t>A corporate production and distribution house that backs directors rather than imposing a house style.</t>
        </is>
      </c>
      <c r="M217" s="5" t="n"/>
      <c r="N217" s="19" t="inlineStr">
        <is>
          <t>One of the production companies behind the critically successful independent Hindi cinema of the 2010s, including The Lunchbox.</t>
        </is>
      </c>
      <c r="O217" s="19" t="inlineStr">
        <is>
          <t>One film: Nikkhil Advani's D-Day (2013), in which Kapoor plays Iqbal Seth, a Dawood Ibrahim-like crime boss hiding in Karachi — among the most unsympathetic parts of his career, and part of the late widening of his range that began with Agneepath the year before.</t>
        </is>
      </c>
      <c r="P217" s="17" t="n">
        <v>1</v>
      </c>
      <c r="Q217" s="5" t="inlineStr">
        <is>
          <t>FILM-143</t>
        </is>
      </c>
      <c r="R217" s="5" t="inlineStr">
        <is>
          <t>D-Day (2013)</t>
        </is>
      </c>
      <c r="S217" s="5" t="inlineStr">
        <is>
          <t>DAR Motion Pictures produced D-Day (2013), one of the films that redefined what Rishi Kapoor could be cast as. Founded in 2009 as part of the DAR Capital Group and run by Arun and Vivek Rangachari, the company made its name on content-driven cinema — City of Gold, and then The Lunchbox, one of the most internationally successful Indian films of the decade. In D-Day, Nikkhil Advani's thriller about an operation to extract a fugitive gangster from Karachi, Kapoor plays the gangster: genial, paternal and entirely without conscience. Coming a year after Agneepath's Rauf Lala, it confirmed that the actor's late career would not be confined to indulgent fathers.</t>
        </is>
      </c>
      <c r="T217" s="5" t="inlineStr">
        <is>
          <t>SOURCE-280</t>
        </is>
      </c>
      <c r="U217" s="5" t="inlineStr">
        <is>
          <t>High</t>
        </is>
      </c>
    </row>
    <row r="218" ht="124" customHeight="1">
      <c r="A218" s="15" t="inlineStr">
        <is>
          <t>PERSON-217</t>
        </is>
      </c>
      <c r="B218" s="5" t="inlineStr">
        <is>
          <t>Daboo Malik</t>
        </is>
      </c>
      <c r="C218" s="5" t="inlineStr">
        <is>
          <t>Song composer</t>
        </is>
      </c>
      <c r="D218" s="18" t="n"/>
      <c r="E218" s="18" t="n"/>
      <c r="F218" s="5" t="n"/>
      <c r="G218" s="5" t="inlineStr">
        <is>
          <t>Hindi cinema</t>
        </is>
      </c>
      <c r="H218" s="5" t="inlineStr">
        <is>
          <t>Israr Sardar Malik, known as Daboo Malik, is an Indian music director, composer, singer, actor and scriptwriter, born in Mumbai to the composer Sardar Malik. He is known for Tumko Na Bhool Paayenge and I Proud to Be an Indian. His brothers are the composers Anu Malik and Abu Malik, his sons are Amaal Mallik and Armaan Malik, and the lyricist Hasrat Jaipuri was his maternal uncle.</t>
        </is>
      </c>
      <c r="I218" s="5" t="inlineStr">
        <is>
          <t>Acting in the 1980s and 1990s before composing from the 2000s.</t>
        </is>
      </c>
      <c r="J218" s="5" t="inlineStr">
        <is>
          <t>With Kapoor: Love Ke Chakkar Mein (2006). Elsewhere, Tumko Na Bhool Paayenge and I Proud to Be an Indian.</t>
        </is>
      </c>
      <c r="K218" s="19" t="inlineStr">
        <is>
          <t>Mainstream commercial songs for action and romance.</t>
        </is>
      </c>
      <c r="L218" s="19" t="inlineStr">
        <is>
          <t>A family composer working in the Malik idiom, with a parallel career as an actor and writer.</t>
        </is>
      </c>
      <c r="M218" s="5" t="n"/>
      <c r="N218" s="19" t="inlineStr">
        <is>
          <t>Not independently prominent, but a member of one of Hindi film music's most persistent dynasties — four Maliks and two Mallik sons hold credits across this workbook's period.</t>
        </is>
      </c>
      <c r="O218" s="19" t="inlineStr">
        <is>
          <t>One film: Love Ke Chakkar Mein (2006), in which Kapoor is top-billed but functionally the antagonist, coercing a younger couple. The family pattern is notable: his brother Anu Malik scored seven Kapoor films and his son Amaal Mallik three, so the Maliks appear across eleven films in this filmography.</t>
        </is>
      </c>
      <c r="P218" s="17" t="n">
        <v>1</v>
      </c>
      <c r="Q218" s="5" t="inlineStr">
        <is>
          <t>FILM-121</t>
        </is>
      </c>
      <c r="R218" s="5" t="inlineStr">
        <is>
          <t>Love Ke Chakkar Mein (2006)</t>
        </is>
      </c>
      <c r="S218" s="5" t="inlineStr">
        <is>
          <t>Daboo Malik scored one Rishi Kapoor film, and his row is most useful as a record of a musical dynasty. The son of the composer Sardar Malik and nephew of the lyricist Hasrat Jaipuri, he acted before composing and is remembered chiefly for Tumko Na Bhool Paayenge; his brothers Anu and Abu Malik are composers, and his sons Amaal Mallik and Armaan Malik became a composer and a singer in the next generation. Love Ke Chakkar Mein (2006) gave Kapoor one of his very few unsympathetic leads, a wealthy man buying his way into a young marriage. Between Daboo, Anu and Amaal, the Malik family accounts for eleven credits in this filmography across four decades.</t>
        </is>
      </c>
      <c r="T218" s="5" t="inlineStr">
        <is>
          <t>SOURCE-281</t>
        </is>
      </c>
      <c r="U218" s="5" t="inlineStr">
        <is>
          <t>High</t>
        </is>
      </c>
    </row>
    <row r="219" ht="79" customHeight="1">
      <c r="A219" s="15" t="inlineStr">
        <is>
          <t>PERSON-218</t>
        </is>
      </c>
      <c r="B219" s="5" t="inlineStr">
        <is>
          <t>Deepak Adhiya</t>
        </is>
      </c>
      <c r="C219" s="5" t="inlineStr">
        <is>
          <t>Producer</t>
        </is>
      </c>
      <c r="D219" s="18" t="n"/>
      <c r="E219" s="18" t="n"/>
      <c r="F219" s="5" t="n"/>
      <c r="G219" s="5" t="inlineStr">
        <is>
          <t>Hindi cinema</t>
        </is>
      </c>
      <c r="H219" s="5" t="inlineStr">
        <is>
          <t>A producer credited on one film in this filmography, with no Wikipedia article of his own.</t>
        </is>
      </c>
      <c r="I219" s="5" t="n"/>
      <c r="J219" s="5" t="inlineStr">
        <is>
          <t>With Kapoor: Sheshnaag (1990).</t>
        </is>
      </c>
      <c r="K219" s="19" t="inlineStr">
        <is>
          <t>Not documented.</t>
        </is>
      </c>
      <c r="L219" s="19" t="inlineStr">
        <is>
          <t>Not documented.</t>
        </is>
      </c>
      <c r="M219" s="5" t="n"/>
      <c r="N219" s="19" t="inlineStr">
        <is>
          <t>Not independently documented.</t>
        </is>
      </c>
      <c r="O219" s="19" t="inlineStr">
        <is>
          <t>One film: Sheshnaag (1990), Iqbal Durrani's snake-deity fantasy made in the wake of Nagina's success, with a Laxmikant–Pyarelal score — one of the genre pictures that filled the end of Kapoor's lead career.</t>
        </is>
      </c>
      <c r="P219" s="17" t="n">
        <v>1</v>
      </c>
      <c r="Q219" s="5" t="inlineStr">
        <is>
          <t>FILM-077</t>
        </is>
      </c>
      <c r="R219" s="5" t="inlineStr">
        <is>
          <t>Sheshnaag (1990)</t>
        </is>
      </c>
      <c r="S219" s="5" t="inlineStr">
        <is>
          <t>Deepak Adhiya is one of three producers credited on Sheshnaag (1990) and has no documented biography. The film belongs to the folk-fantasy cycle that followed Nagina's success in 1986, in which Kapoor's romantic function was subordinated to curses, serpent deities and transformation plots. Nine of his films were released between 1989 and 1991, most of them in this register, scored by Laxmikant–Pyarelal and financed by producers who left no record. This row is built from the film's credits alone.</t>
        </is>
      </c>
      <c r="T219" s="5" t="inlineStr">
        <is>
          <t>SOURCE-074</t>
        </is>
      </c>
      <c r="U219" s="5" t="inlineStr">
        <is>
          <t>Low</t>
        </is>
      </c>
    </row>
    <row r="220" ht="94" customHeight="1">
      <c r="A220" s="15" t="inlineStr">
        <is>
          <t>PERSON-219</t>
        </is>
      </c>
      <c r="B220" s="5" t="inlineStr">
        <is>
          <t>Deepak Anand</t>
        </is>
      </c>
      <c r="C220" s="5" t="inlineStr">
        <is>
          <t>Director</t>
        </is>
      </c>
      <c r="D220" s="18" t="n"/>
      <c r="E220" s="18" t="n"/>
      <c r="F220" s="5" t="n"/>
      <c r="G220" s="5" t="inlineStr">
        <is>
          <t>Hindi cinema</t>
        </is>
      </c>
      <c r="H220" s="5" t="inlineStr">
        <is>
          <t>A director credited on one film in this filmography, with no Wikipedia article of his own; the bare name resolves to an unrelated Canadian politician.</t>
        </is>
      </c>
      <c r="I220" s="5" t="n"/>
      <c r="J220" s="5" t="inlineStr">
        <is>
          <t>With Kapoor: Shreemaan Aashique (1993).</t>
        </is>
      </c>
      <c r="K220" s="19" t="inlineStr">
        <is>
          <t>Romantic comedy.</t>
        </is>
      </c>
      <c r="L220" s="19" t="inlineStr">
        <is>
          <t>Not documented.</t>
        </is>
      </c>
      <c r="M220" s="5" t="n"/>
      <c r="N220" s="19" t="inlineStr">
        <is>
          <t>Not independently documented.</t>
        </is>
      </c>
      <c r="O220" s="19" t="inlineStr">
        <is>
          <t>One film: Shreemaan Aashique (1993), a romantic comedy written by Rumi Jaffery and Kamlesh Pandey with Nadeem–Shravan's songs, and one of the last films written squarely to Kapoor's lover-boy persona before it stopped selling.</t>
        </is>
      </c>
      <c r="P220" s="17" t="n">
        <v>1</v>
      </c>
      <c r="Q220" s="5" t="inlineStr">
        <is>
          <t>FILM-092</t>
        </is>
      </c>
      <c r="R220" s="5" t="inlineStr">
        <is>
          <t>Shreemaan Aashique (1993)</t>
        </is>
      </c>
      <c r="S220" s="5" t="inlineStr">
        <is>
          <t>Deepak Anand directed Shreemaan Aashique (1993) and has no documented biography; an earlier pass of this research briefly attached to the name the article of a Canadian politician. The film is a late example of the formula Kapoor had carried since the 1970s — a romantic comedy built on his charm, written by Rumi Jaffery and Kamlesh Pandey with a Nadeem–Shravan soundtrack — released a year after Deewana had publicly handed the romantic lead to Shah Rukh Khan. This row is built from the film's credits alone.</t>
        </is>
      </c>
      <c r="T220" s="5" t="inlineStr">
        <is>
          <t>SOURCE-085</t>
        </is>
      </c>
      <c r="U220" s="5" t="inlineStr">
        <is>
          <t>Low</t>
        </is>
      </c>
    </row>
    <row r="221" ht="124" customHeight="1">
      <c r="A221" s="15" t="inlineStr">
        <is>
          <t>PERSON-220</t>
        </is>
      </c>
      <c r="B221" s="5" t="inlineStr">
        <is>
          <t>Deepak Sareen</t>
        </is>
      </c>
      <c r="C221" s="5" t="inlineStr">
        <is>
          <t>Director</t>
        </is>
      </c>
      <c r="D221" s="18" t="n"/>
      <c r="E221" s="18" t="n"/>
      <c r="F221" s="5" t="n"/>
      <c r="G221" s="5" t="inlineStr">
        <is>
          <t>Hindi cinema</t>
        </is>
      </c>
      <c r="H221" s="5" t="inlineStr">
        <is>
          <t>An Indian film director and assistant director whose Wikipedia article is a stub recording only that his first film as director was Ranbhoomi and his last was Albela.</t>
        </is>
      </c>
      <c r="I221" s="5" t="inlineStr">
        <is>
          <t>Ranbhoomi (1991), his first film as director.</t>
        </is>
      </c>
      <c r="J221" s="5" t="inlineStr">
        <is>
          <t>With Kapoor: Ranbhoomi (1991). Elsewhere, Albela.</t>
        </is>
      </c>
      <c r="K221" s="19" t="inlineStr">
        <is>
          <t>Multi-star action melodrama.</t>
        </is>
      </c>
      <c r="L221" s="19" t="inlineStr">
        <is>
          <t>Not documented.</t>
        </is>
      </c>
      <c r="M221" s="5" t="n"/>
      <c r="N221" s="19" t="inlineStr">
        <is>
          <t>Not substantially documented.</t>
        </is>
      </c>
      <c r="O221" s="19" t="inlineStr">
        <is>
          <t>One film, and it was this director's debut: Ranbhoomi (1991), a multi-star melodrama with a Laxmikant–Pyarelal score, written in part by K. K. Singh, who had begun his own career as an assistant director on Raj Kapoor's Prem Rog. It belongs to the crowded stretch at the turn of the 1990s when Kapoor appeared in nine films in three years.</t>
        </is>
      </c>
      <c r="P221" s="17" t="n">
        <v>1</v>
      </c>
      <c r="Q221" s="5" t="inlineStr">
        <is>
          <t>FILM-082</t>
        </is>
      </c>
      <c r="R221" s="5" t="inlineStr">
        <is>
          <t>Ranbhoomi (1991)</t>
        </is>
      </c>
      <c r="S221" s="5" t="inlineStr">
        <is>
          <t>Deepak Sareen made his directorial debut with a Rishi Kapoor film, and his Wikipedia article records almost nothing else: that Ranbhoomi was his first film as director and Albela his last. Ranbhoomi (1991) is a multi-star melodrama with Laxmikant–Pyarelal's music, written in part by K. K. Singh, who had entered films as an assistant director on Raj Kapoor's Prem Rog and would win Filmfare awards for Krantiveer four years later. The film sits in the densest and least documented patch of this filmography, and its director is among several who left only a one-line record.</t>
        </is>
      </c>
      <c r="T221" s="5" t="inlineStr">
        <is>
          <t>SOURCE-282</t>
        </is>
      </c>
      <c r="U221" s="5" t="inlineStr">
        <is>
          <t>Medium</t>
        </is>
      </c>
    </row>
    <row r="222" ht="139" customHeight="1">
      <c r="A222" s="15" t="inlineStr">
        <is>
          <t>PERSON-221</t>
        </is>
      </c>
      <c r="B222" s="5" t="inlineStr">
        <is>
          <t>Dev Anand</t>
        </is>
      </c>
      <c r="C222" s="5" t="inlineStr">
        <is>
          <t>Director; Producer; Writer</t>
        </is>
      </c>
      <c r="D222" s="17" t="n">
        <v>1923</v>
      </c>
      <c r="E222" s="17" t="n">
        <v>2011</v>
      </c>
      <c r="F222" s="5" t="inlineStr">
        <is>
          <t>1946–2011</t>
        </is>
      </c>
      <c r="G222" s="5" t="inlineStr">
        <is>
          <t>Hindi cinema</t>
        </is>
      </c>
      <c r="H222" s="5" t="inlineStr">
        <is>
          <t>Dev Anand, born Dharamdev Pishorimal Anand (26 September 1923 – 3 December 2011), was an Indian actor, writer, director and producer, considered one of the greatest and most successful actors in Indian cinema. Across more than six decades he worked in over 100 films. He received four Filmfare Awards, including two for Best Actor, the Padma Bhushan in 2001 and the Dadasaheb Phalke Award in 2002, and died in London.</t>
        </is>
      </c>
      <c r="I222" s="5" t="inlineStr">
        <is>
          <t>On screen from 1946; directing from the 1970s.</t>
        </is>
      </c>
      <c r="J222" s="5" t="inlineStr">
        <is>
          <t>With Kapoor: Love at Times Square (2003), which he wrote, produced and directed. Elsewhere, as actor, Kala Pani, Guide, Jewel Thief and Hare Rama Hare Krishna.</t>
        </is>
      </c>
      <c r="K222" s="19" t="inlineStr">
        <is>
          <t>The restless modern hero; the romance staged against travel, youth culture and the city.</t>
        </is>
      </c>
      <c r="L222" s="19" t="inlineStr">
        <is>
          <t>A star-director whose later films were written, produced and directed by himself, often to launch new performers, and marked by an insistence on contemporaneity.</t>
        </is>
      </c>
      <c r="M222" s="5" t="inlineStr">
        <is>
          <t>Four Filmfare Awards including two for Best Actor; Padma Bhushan (2001); Dadasaheb Phalke Award (2002).</t>
        </is>
      </c>
      <c r="N222" s="19" t="inlineStr">
        <is>
          <t>One of the three defining male stars of post-independence Hindi cinema, alongside Raj Kapoor and Dilip Kumar, and later a prolific independent filmmaker.</t>
        </is>
      </c>
      <c r="O222" s="19" t="inlineStr">
        <is>
          <t>One film: Love at Times Square (2003), which Dev Anand wrote, produced and directed at the age of seventy-nine, with Kapoor in support. The pairing is of some historical interest — Dev Anand was the contemporary and rival of Raj Kapoor, Rishi's father, and he directed the son in a film made four decades after that rivalry defined Hindi stardom.</t>
        </is>
      </c>
      <c r="P222" s="17" t="n">
        <v>1</v>
      </c>
      <c r="Q222" s="5" t="inlineStr">
        <is>
          <t>FILM-116</t>
        </is>
      </c>
      <c r="R222" s="5" t="inlineStr">
        <is>
          <t>Love at Times Square (2003)</t>
        </is>
      </c>
      <c r="S222" s="5" t="inlineStr">
        <is>
          <t>Dev Anand directed one Rishi Kapoor film, and the fact of it closes a long circle in Hindi cinema. One of the three great male stars of the post-independence era — with Raj Kapoor and Dilip Kumar — Anand appeared in more than a hundred films, won four Filmfare Awards and received the Padma Bhushan and the Dadasaheb Phalke Award, and spent his later decades writing, producing and directing his own pictures, usually to launch unknown performers. Love at Times Square (2003) is one of those late films, made when he was seventy-nine, with Kapoor in a supporting role and songs by Bappi Lahiri, Rajesh Roshan and Lucky Ali. That Raj Kapoor's great rival should direct Raj Kapoor's son is the kind of detail this filmography turns up repeatedly.</t>
        </is>
      </c>
      <c r="T222" s="5" t="inlineStr">
        <is>
          <t>SOURCE-283</t>
        </is>
      </c>
      <c r="U222" s="5" t="inlineStr">
        <is>
          <t>High</t>
        </is>
      </c>
    </row>
    <row r="223" ht="94" customHeight="1">
      <c r="A223" s="15" t="inlineStr">
        <is>
          <t>PERSON-222</t>
        </is>
      </c>
      <c r="B223" s="5" t="inlineStr">
        <is>
          <t>Dev Goradia</t>
        </is>
      </c>
      <c r="C223" s="5" t="inlineStr">
        <is>
          <t>Producer</t>
        </is>
      </c>
      <c r="D223" s="18" t="n"/>
      <c r="E223" s="18" t="n"/>
      <c r="F223" s="5" t="n"/>
      <c r="G223" s="5" t="inlineStr">
        <is>
          <t>Hindi cinema</t>
        </is>
      </c>
      <c r="H223" s="5" t="inlineStr">
        <is>
          <t>A producer credited on one film in this filmography, with no Wikipedia article of his own.</t>
        </is>
      </c>
      <c r="I223" s="5" t="n"/>
      <c r="J223" s="5" t="inlineStr">
        <is>
          <t>With Kapoor: Love Ke Chakkar Mein (2006).</t>
        </is>
      </c>
      <c r="K223" s="19" t="inlineStr">
        <is>
          <t>Not documented.</t>
        </is>
      </c>
      <c r="L223" s="19" t="inlineStr">
        <is>
          <t>Not documented.</t>
        </is>
      </c>
      <c r="M223" s="5" t="n"/>
      <c r="N223" s="19" t="inlineStr">
        <is>
          <t>Not independently documented.</t>
        </is>
      </c>
      <c r="O223" s="19" t="inlineStr">
        <is>
          <t>One film: Love Ke Chakkar Mein (2006), in which Kapoor is top-billed but effectively the antagonist, coercing a younger couple in a variation on Indecent Proposal — one of the few outright unsympathetic leads of his career.</t>
        </is>
      </c>
      <c r="P223" s="17" t="n">
        <v>1</v>
      </c>
      <c r="Q223" s="5" t="inlineStr">
        <is>
          <t>FILM-121</t>
        </is>
      </c>
      <c r="R223" s="5" t="inlineStr">
        <is>
          <t>Love Ke Chakkar Mein (2006)</t>
        </is>
      </c>
      <c r="S223" s="5" t="inlineStr">
        <is>
          <t>Dev Goradia produced Love Ke Chakkar Mein (2006) and has no documented biography. The film is one of the odder entries in this filmography: Kapoor takes top billing as a rich man who buys his way into a young couple's marriage, playing the coercer rather than the lover, six years after Karobaar had used the same premise with him on the other side of it. Films like this one, made in the thin years before Dharma and Yash Raj reframed him, show him testing unsympathetic roles well before Agneepath made that turn visible. This row is built from the film's credits alone.</t>
        </is>
      </c>
      <c r="T223" s="5" t="inlineStr">
        <is>
          <t>SOURCE-113</t>
        </is>
      </c>
      <c r="U223" s="5" t="inlineStr">
        <is>
          <t>Low</t>
        </is>
      </c>
    </row>
    <row r="224" ht="94" customHeight="1">
      <c r="A224" s="15" t="inlineStr">
        <is>
          <t>PERSON-223</t>
        </is>
      </c>
      <c r="B224" s="5" t="inlineStr">
        <is>
          <t>Devgans Films</t>
        </is>
      </c>
      <c r="C224" s="5" t="inlineStr">
        <is>
          <t>Production banner</t>
        </is>
      </c>
      <c r="D224" s="18" t="n"/>
      <c r="E224" s="18" t="n"/>
      <c r="F224" s="5" t="n"/>
      <c r="G224" s="5" t="inlineStr">
        <is>
          <t>Hindi cinema</t>
        </is>
      </c>
      <c r="H224" s="5" t="inlineStr">
        <is>
          <t>A production banner credited on one film in this filmography, with no Wikipedia article of its own. The name indicates the Devgan family company behind Raju Chacha.</t>
        </is>
      </c>
      <c r="I224" s="5" t="n"/>
      <c r="J224" s="5" t="inlineStr">
        <is>
          <t>With Kapoor: Raju Chacha (2000).</t>
        </is>
      </c>
      <c r="K224" s="19" t="inlineStr">
        <is>
          <t>Not documented.</t>
        </is>
      </c>
      <c r="L224" s="19" t="inlineStr">
        <is>
          <t>Not documented.</t>
        </is>
      </c>
      <c r="M224" s="5" t="n"/>
      <c r="N224" s="19" t="inlineStr">
        <is>
          <t>Not independently documented.</t>
        </is>
      </c>
      <c r="O224" s="19" t="inlineStr">
        <is>
          <t>One credit, on Raju Chacha (2000), produced by and starring Ajay Devgn and directed by his cousin Anil Devgan, with Kapoor in support. The film was an expensive failure, and it falls in the four-year gap between Kapoor's last leads and Hum Tum.</t>
        </is>
      </c>
      <c r="P224" s="17" t="n">
        <v>1</v>
      </c>
      <c r="Q224" s="5" t="inlineStr">
        <is>
          <t>FILM-112</t>
        </is>
      </c>
      <c r="R224" s="5" t="inlineStr">
        <is>
          <t>Raju Chacha (2000)</t>
        </is>
      </c>
      <c r="S224" s="5" t="inlineStr">
        <is>
          <t>Devgans Films is the banner on Raju Chacha (2000) and has no recorded history. The film was a Devgan family enterprise — produced by and starring Ajay Devgn, directed by his cousin Anil Devgan — and a costly children's fantasy that failed badly. Kapoor appears in support. Its place in this filmography is as a marker of the interval around 2000, when his leading career had ended, the character-actor phase had not begun, and his work consisted of supporting parts in other stars' vehicles. This row is built from the film's credits alone.</t>
        </is>
      </c>
      <c r="T224" s="5" t="inlineStr">
        <is>
          <t>SOURCE-104</t>
        </is>
      </c>
      <c r="U224" s="5" t="inlineStr">
        <is>
          <t>Low</t>
        </is>
      </c>
    </row>
    <row r="225" ht="94" customHeight="1">
      <c r="A225" s="15" t="inlineStr">
        <is>
          <t>PERSON-224</t>
        </is>
      </c>
      <c r="B225" s="5" t="inlineStr">
        <is>
          <t>Devika Bhagat</t>
        </is>
      </c>
      <c r="C225" s="5" t="inlineStr">
        <is>
          <t>Writer</t>
        </is>
      </c>
      <c r="D225" s="17" t="n">
        <v>1979</v>
      </c>
      <c r="E225" s="18" t="n"/>
      <c r="F225" s="5" t="inlineStr">
        <is>
          <t>2000–present</t>
        </is>
      </c>
      <c r="G225" s="5" t="inlineStr">
        <is>
          <t>Hindi cinema</t>
        </is>
      </c>
      <c r="H225" s="5" t="inlineStr">
        <is>
          <t>Devika Bhagat (born 25 October 1979) is an Indian screenwriter working in Hindi films. She has written Manorama Six Feet Under (2007), Bachna Ae Haseeno (2008) and Ladies vs Ricky Bahl (2011) among others.</t>
        </is>
      </c>
      <c r="I225" s="5" t="inlineStr">
        <is>
          <t>Writing from the 2000s; Manorama Six Feet Under (2007) brought her notice.</t>
        </is>
      </c>
      <c r="J225" s="5" t="inlineStr">
        <is>
          <t>With Kapoor: Jab Tak Hai Jaan (2012). Elsewhere, Manorama Six Feet Under, Bachna Ae Haseeno and Ladies vs Ricky Bahl.</t>
        </is>
      </c>
      <c r="K225" s="19" t="inlineStr">
        <is>
          <t>Contemporary urban relationships; the noir reworked for small-town India.</t>
        </is>
      </c>
      <c r="L225" s="19" t="inlineStr">
        <is>
          <t>A screenwriter of modern romance and genre material, mostly for Yash Raj Films.</t>
        </is>
      </c>
      <c r="M225" s="5" t="n"/>
      <c r="N225" s="19" t="inlineStr">
        <is>
          <t>One of the small number of women writing mainstream Hindi screenplays in the 2000s and 2010s.</t>
        </is>
      </c>
      <c r="O225" s="19" t="inlineStr">
        <is>
          <t>One film: Yash Chopra's Jab Tak Hai Jaan (2012), the director's last film, released after his death during its production, with Kapoor in a supporting role. It is the final entry in the long Kapoor–Yash Raj association that began with Kabhie Kabhie in 1976.</t>
        </is>
      </c>
      <c r="P225" s="17" t="n">
        <v>1</v>
      </c>
      <c r="Q225" s="5" t="inlineStr">
        <is>
          <t>FILM-140</t>
        </is>
      </c>
      <c r="R225" s="5" t="inlineStr">
        <is>
          <t>Jab Tak Hai Jaan (2012)</t>
        </is>
      </c>
      <c r="S225" s="5" t="inlineStr">
        <is>
          <t>Devika Bhagat wrote Jab Tak Hai Jaan (2012), the last film Yash Chopra directed and the end of a thirty-six-year association between that filmmaker and Rishi Kapoor. Born in 1979, Bhagat came to notice with Manorama Six Feet Under and then wrote for Yash Raj — Bachna Ae Haseeno, Ladies vs Ricky Bahl — becoming one of the few women writing mainstream Hindi screenplays in the period. Chopra died of dengue fever during the production of Jab Tak Hai Jaan; Kapoor, whom he had first cast in Kabhie Kabhie in 1976 and restored to romantic leading man in Chandni in 1989, appears in support. Both careers end in the same film.</t>
        </is>
      </c>
      <c r="T225" s="5" t="inlineStr">
        <is>
          <t>SOURCE-284</t>
        </is>
      </c>
      <c r="U225" s="5" t="inlineStr">
        <is>
          <t>Medium</t>
        </is>
      </c>
    </row>
    <row r="226" ht="79" customHeight="1">
      <c r="A226" s="15" t="inlineStr">
        <is>
          <t>PERSON-225</t>
        </is>
      </c>
      <c r="B226" s="5" t="inlineStr">
        <is>
          <t>Dhirendra Bohra</t>
        </is>
      </c>
      <c r="C226" s="5" t="inlineStr">
        <is>
          <t>Writer</t>
        </is>
      </c>
      <c r="D226" s="18" t="n"/>
      <c r="E226" s="18" t="n"/>
      <c r="F226" s="5" t="n"/>
      <c r="G226" s="5" t="inlineStr">
        <is>
          <t>Hindi cinema</t>
        </is>
      </c>
      <c r="H226" s="5" t="inlineStr">
        <is>
          <t>A writer credited on one film in this filmography, with no Wikipedia article of his own. He shares a surname with Surendra Bohra, the director and co-producer of the same film.</t>
        </is>
      </c>
      <c r="I226" s="5" t="n"/>
      <c r="J226" s="5" t="inlineStr">
        <is>
          <t>With Kapoor: Saajan Ka Ghar (1994).</t>
        </is>
      </c>
      <c r="K226" s="19" t="inlineStr">
        <is>
          <t>Household melodrama.</t>
        </is>
      </c>
      <c r="L226" s="19" t="inlineStr">
        <is>
          <t>Not documented.</t>
        </is>
      </c>
      <c r="M226" s="5" t="n"/>
      <c r="N226" s="19" t="inlineStr">
        <is>
          <t>Not independently documented.</t>
        </is>
      </c>
      <c r="O226" s="19" t="inlineStr">
        <is>
          <t>One film: Saajan Ka Ghar (1994), directed by Surendra Bohra with a Nadeem–Shravan score and Nutan among its producers, from the last year in which Kapoor was routinely cast as a lead.</t>
        </is>
      </c>
      <c r="P226" s="17" t="n">
        <v>1</v>
      </c>
      <c r="Q226" s="5" t="inlineStr">
        <is>
          <t>FILM-100</t>
        </is>
      </c>
      <c r="R226" s="5" t="inlineStr">
        <is>
          <t>Saajan Ka Ghar (1994)</t>
        </is>
      </c>
      <c r="S226" s="5" t="inlineStr">
        <is>
          <t>Dhirendra Bohra is credited as a writer on Saajan Ka Ghar (1994) and has no documented biography; he shares a surname with the film's director and co-producer Surendra Bohra, which suggests a family production. The film is one of four Kapoor released in 1994, all modest, all pitched at a romantic persona that the market had stopped buying, and all remembered — where they are remembered at all — for their Nadeem–Shravan soundtracks. This row is built from the film's credits alone.</t>
        </is>
      </c>
      <c r="T226" s="5" t="inlineStr">
        <is>
          <t>SOURCE-092</t>
        </is>
      </c>
      <c r="U226" s="5" t="inlineStr">
        <is>
          <t>Low</t>
        </is>
      </c>
    </row>
    <row r="227" ht="124" customHeight="1">
      <c r="A227" s="15" t="inlineStr">
        <is>
          <t>PERSON-226</t>
        </is>
      </c>
      <c r="B227" s="5" t="inlineStr">
        <is>
          <t>Dinesh B. Patel</t>
        </is>
      </c>
      <c r="C227" s="5" t="inlineStr">
        <is>
          <t>Producer</t>
        </is>
      </c>
      <c r="D227" s="18" t="n"/>
      <c r="E227" s="18" t="n"/>
      <c r="F227" s="5" t="n"/>
      <c r="G227" s="5" t="inlineStr">
        <is>
          <t>Hindi cinema</t>
        </is>
      </c>
      <c r="H227" s="5" t="inlineStr">
        <is>
          <t>A producer credited on one film in this filmography, with no Wikipedia article of his own. He may be the same person as Dinesh Patel, credited as producer on Dhartiputra (1993), two years earlier; the names differ only by an initial and no source distinguishes them, so this workbook keeps the two credits in separate rows rather than merging a collaboration count on inference.</t>
        </is>
      </c>
      <c r="I227" s="5" t="n"/>
      <c r="J227" s="5" t="inlineStr">
        <is>
          <t>With Kapoor: Saajan Ki Baahon Mein (1995).</t>
        </is>
      </c>
      <c r="K227" s="19" t="inlineStr">
        <is>
          <t>Romantic melodrama.</t>
        </is>
      </c>
      <c r="L227" s="19" t="inlineStr">
        <is>
          <t>Not documented.</t>
        </is>
      </c>
      <c r="M227" s="5" t="n"/>
      <c r="N227" s="19" t="inlineStr">
        <is>
          <t>Not independently documented.</t>
        </is>
      </c>
      <c r="O227" s="19" t="inlineStr">
        <is>
          <t>One film: Saajan Ki Baahon Mein (1995), written by Sachin Bhowmick and Rumi Jaffery with a Nadeem–Shravan score, from the final stretch of Kapoor's lead career.</t>
        </is>
      </c>
      <c r="P227" s="17" t="n">
        <v>1</v>
      </c>
      <c r="Q227" s="5" t="inlineStr">
        <is>
          <t>FILM-104</t>
        </is>
      </c>
      <c r="R227" s="5" t="inlineStr">
        <is>
          <t>Saajan Ki Baahon Mein (1995)</t>
        </is>
      </c>
      <c r="S227" s="5" t="inlineStr">
        <is>
          <t>Dinesh B. Patel produced Saajan Ki Baahon Mein (1995) and has no documented biography. The film belongs to the last cluster of Kapoor's romantic vehicles — written by Sachin Bhowmick, who had supplied the plots of his 1970s successes, with songs by Nadeem–Shravan, the composers of Deewana — made at a point when the formula no longer worked commercially. A producer named Dinesh Patel is credited on Dhartiputra two years earlier, and the two may well be the same man; this workbook records the possibility in both rows without merging them.</t>
        </is>
      </c>
      <c r="T227" s="5" t="inlineStr">
        <is>
          <t>SOURCE-097</t>
        </is>
      </c>
      <c r="U227" s="5" t="inlineStr">
        <is>
          <t>Low</t>
        </is>
      </c>
    </row>
    <row r="228" ht="109" customHeight="1">
      <c r="A228" s="15" t="inlineStr">
        <is>
          <t>PERSON-227</t>
        </is>
      </c>
      <c r="B228" s="5" t="inlineStr">
        <is>
          <t>Dinesh Patel</t>
        </is>
      </c>
      <c r="C228" s="5" t="inlineStr">
        <is>
          <t>Producer</t>
        </is>
      </c>
      <c r="D228" s="18" t="n"/>
      <c r="E228" s="18" t="n"/>
      <c r="F228" s="5" t="n"/>
      <c r="G228" s="5" t="inlineStr">
        <is>
          <t>Hindi cinema</t>
        </is>
      </c>
      <c r="H228" s="5" t="inlineStr">
        <is>
          <t>A producer credited on one film in this filmography, with no Wikipedia article of his own; the bare name resolves to an unrelated baseball player. He may be the same person as Dinesh B. Patel, credited on Saajan Ki Baahon Mein (1995), but no source distinguishes or connects them, and the two credits are kept as separate rows.</t>
        </is>
      </c>
      <c r="I228" s="5" t="n"/>
      <c r="J228" s="5" t="inlineStr">
        <is>
          <t>With Kapoor: Dhartiputra (1993).</t>
        </is>
      </c>
      <c r="K228" s="19" t="inlineStr">
        <is>
          <t>Melodrama and folk-mythological material.</t>
        </is>
      </c>
      <c r="L228" s="19" t="inlineStr">
        <is>
          <t>Not documented.</t>
        </is>
      </c>
      <c r="M228" s="5" t="n"/>
      <c r="N228" s="19" t="inlineStr">
        <is>
          <t>Not independently documented.</t>
        </is>
      </c>
      <c r="O228" s="19" t="inlineStr">
        <is>
          <t>One film: Dhartiputra (1993), written and directed by Iqbal Durrani with a Nadeem–Shravan score — one of the genre pictures that filled the close of Kapoor's leading career.</t>
        </is>
      </c>
      <c r="P228" s="17" t="n">
        <v>1</v>
      </c>
      <c r="Q228" s="5" t="inlineStr">
        <is>
          <t>FILM-090</t>
        </is>
      </c>
      <c r="R228" s="5" t="inlineStr">
        <is>
          <t>Dhartiputra (1993)</t>
        </is>
      </c>
      <c r="S228" s="5" t="inlineStr">
        <is>
          <t>Dinesh Patel produced Dhartiputra (1993) and has no documented biography; an earlier pass of this research attached to the name the article of an Indian-born baseball pitcher. The film, written and directed by Iqbal Durrani, belongs to the folk and mythological strand of Kapoor's late lead work, scored by Nadeem–Shravan at the height of their dominance. A producer credited as Dinesh B. Patel appears on another Kapoor film two years later and may be the same man; this workbook notes the possibility in both rows rather than asserting it.</t>
        </is>
      </c>
      <c r="T228" s="5" t="inlineStr">
        <is>
          <t>SOURCE-088</t>
        </is>
      </c>
      <c r="U228" s="5" t="inlineStr">
        <is>
          <t>Low</t>
        </is>
      </c>
    </row>
    <row r="229" ht="124" customHeight="1">
      <c r="A229" s="15" t="inlineStr">
        <is>
          <t>PERSON-228</t>
        </is>
      </c>
      <c r="B229" s="5" t="inlineStr">
        <is>
          <t>Dinesh Vijan</t>
        </is>
      </c>
      <c r="C229" s="5" t="inlineStr">
        <is>
          <t>Producer</t>
        </is>
      </c>
      <c r="D229" s="18" t="n"/>
      <c r="E229" s="18" t="n"/>
      <c r="F229" s="5" t="inlineStr">
        <is>
          <t>2005–present</t>
        </is>
      </c>
      <c r="G229" s="5" t="inlineStr">
        <is>
          <t>Hindi cinema</t>
        </is>
      </c>
      <c r="H229" s="5" t="inlineStr">
        <is>
          <t>Dinesh Vijan is an Indian film producer and director from Mumbai, the founder of Maddock Films, under which he has produced more than 35 films including Love Aaj Kal (2009), Cocktail (2012), Badlapur (2015), Hindi Medium (2017), Stree (2018), Luka Chuppi (2019), Bala (2019), Angrezi Medium (2020) and Mimi (2021).</t>
        </is>
      </c>
      <c r="I229" s="5" t="inlineStr">
        <is>
          <t>Producing from 2005; Love Aaj Kal (2009) was among his early successes.</t>
        </is>
      </c>
      <c r="J229" s="5" t="inlineStr">
        <is>
          <t>With Kapoor: Love Aaj Kal (2009). Elsewhere, Cocktail, Hindi Medium, Stree and the horror-comedy universe built from it.</t>
        </is>
      </c>
      <c r="K229" s="19" t="inlineStr">
        <is>
          <t>Contemporary urban romance; the small-town comedy; and from 2018 a connected horror-comedy franchise.</t>
        </is>
      </c>
      <c r="L229" s="19" t="inlineStr">
        <is>
          <t>A producer with a strong instinct for commercial trends, backing writer-directors and building franchises.</t>
        </is>
      </c>
      <c r="M229" s="5" t="n"/>
      <c r="N229" s="19" t="inlineStr">
        <is>
          <t>One of the most commercially successful independent producers in contemporary Hindi cinema.</t>
        </is>
      </c>
      <c r="O229" s="19" t="inlineStr">
        <is>
          <t>One film: Imtiaz Ali's Love Aaj Kal (2009), in which Kapoor plays the elderly Veer Singh, whose remembered courtship in 1960s Delhi forms the film's period strand against the contemporary one. The role uses his own screen past as the content of the film's nostalgia, which is unusual even among his late parts.</t>
        </is>
      </c>
      <c r="P229" s="17" t="n">
        <v>1</v>
      </c>
      <c r="Q229" s="5" t="inlineStr">
        <is>
          <t>FILM-131</t>
        </is>
      </c>
      <c r="R229" s="5" t="inlineStr">
        <is>
          <t>Love Aaj Kal (2009)</t>
        </is>
      </c>
      <c r="S229" s="5" t="inlineStr">
        <is>
          <t>Dinesh Vijan produced Love Aaj Kal (2009), the film that put Rishi Kapoor's own romantic history on screen as history. The founder of Maddock Films and one of the most commercially astute producers of his generation — Cocktail, Badlapur, Hindi Medium, Stree — Vijan backed Imtiaz Ali's double narrative, in which a modern couple's casual romance is set against the patient, decades-long courtship of an older man, Veer Singh, played by Kapoor in the present and by a younger actor in flashback. Casting the 1970s' definitive lover-boy as the embodiment of a slower, more devoted idea of love is the film's most pointed decision, and it belongs to the period when Kapoor's past had become usable material.</t>
        </is>
      </c>
      <c r="T229" s="5" t="inlineStr">
        <is>
          <t>SOURCE-285</t>
        </is>
      </c>
      <c r="U229" s="5" t="inlineStr">
        <is>
          <t>High</t>
        </is>
      </c>
    </row>
    <row r="230" ht="124" customHeight="1">
      <c r="A230" s="15" t="inlineStr">
        <is>
          <t>PERSON-229</t>
        </is>
      </c>
      <c r="B230" s="5" t="inlineStr">
        <is>
          <t>Divya Khosla Kumar</t>
        </is>
      </c>
      <c r="C230" s="5" t="inlineStr">
        <is>
          <t>Director</t>
        </is>
      </c>
      <c r="D230" s="18" t="n"/>
      <c r="E230" s="18" t="n"/>
      <c r="F230" s="5" t="inlineStr">
        <is>
          <t>2000–present</t>
        </is>
      </c>
      <c r="G230" s="5" t="inlineStr">
        <is>
          <t>Hindi cinema</t>
        </is>
      </c>
      <c r="H230" s="5" t="inlineStr">
        <is>
          <t>Divya Khosla Kumar, née Khosla, is an Indian model, actress, producer and director working mainly in Hindi cinema. She began as a model and appeared in music videos, studied cinematography and editing, and directed music videos before making her directorial debut with Yaariyan (2014), followed by Sanam Re (2016). She is married to the T-Series head Bhushan Kumar.</t>
        </is>
      </c>
      <c r="I230" s="5" t="inlineStr">
        <is>
          <t>Directorial debut Yaariyan (2014).</t>
        </is>
      </c>
      <c r="J230" s="5" t="inlineStr">
        <is>
          <t>With Kapoor: Sanam Re (2016). Elsewhere, Yaariyan as director and a number of T-Series productions.</t>
        </is>
      </c>
      <c r="K230" s="19" t="inlineStr">
        <is>
          <t>Youth romance built around music, in the T-Series house style.</t>
        </is>
      </c>
      <c r="L230" s="19" t="inlineStr">
        <is>
          <t>A director from a music-video background, with songs placed at the centre of the storytelling.</t>
        </is>
      </c>
      <c r="M230" s="5" t="n"/>
      <c r="N230" s="19" t="inlineStr">
        <is>
          <t>One of the few women directing mainstream commercial Hindi romances in the 2010s.</t>
        </is>
      </c>
      <c r="O230" s="19" t="inlineStr">
        <is>
          <t>One film: Sanam Re (2016), her second feature, a T-Series romance in which Kapoor plays the hero's grandfather and whose title song, by Mithoon, became one of the most streamed Hindi recordings of its year. Kapoor's late work for T-Series — this film, All Is Well, Patiala House — came through the company her husband runs.</t>
        </is>
      </c>
      <c r="P230" s="17" t="n">
        <v>1</v>
      </c>
      <c r="Q230" s="5" t="inlineStr">
        <is>
          <t>FILM-151</t>
        </is>
      </c>
      <c r="R230" s="5" t="inlineStr">
        <is>
          <t>Sanam Re (2016)</t>
        </is>
      </c>
      <c r="S230" s="5" t="inlineStr">
        <is>
          <t>Divya Khosla Kumar directed Sanam Re (2016), one of Rishi Kapoor's last supporting roles. A model and music-video director who studied cinematography and editing before making Yaariyan in 2014, she is among the very few women to have directed mainstream commercial Hindi romances in the period, and her films are built around their soundtracks in the T-Series manner — the company her husband Bhushan Kumar runs and which produced three of Kapoor's late films. In Sanam Re he plays the grandfather whose own remembered love frames the younger couple's story, a role that, like several of his last parts, trades on the audience's memory of him as a lover rather than asking him to be one.</t>
        </is>
      </c>
      <c r="T230" s="5" t="inlineStr">
        <is>
          <t>SOURCE-286</t>
        </is>
      </c>
      <c r="U230" s="5" t="inlineStr">
        <is>
          <t>High</t>
        </is>
      </c>
    </row>
    <row r="231" ht="124" customHeight="1">
      <c r="A231" s="15" t="inlineStr">
        <is>
          <t>PERSON-230</t>
        </is>
      </c>
      <c r="B231" s="5" t="inlineStr">
        <is>
          <t>Ekta Kapoor</t>
        </is>
      </c>
      <c r="C231" s="5" t="inlineStr">
        <is>
          <t>Producer</t>
        </is>
      </c>
      <c r="D231" s="17" t="n">
        <v>1975</v>
      </c>
      <c r="E231" s="18" t="n"/>
      <c r="F231" s="5" t="inlineStr">
        <is>
          <t>1995–present</t>
        </is>
      </c>
      <c r="G231" s="5" t="inlineStr">
        <is>
          <t>Indian television; Hindi cinema</t>
        </is>
      </c>
      <c r="H231" s="5" t="inlineStr">
        <is>
          <t>Ekta R. Kapoor (born 7 June 1975) is an Indian television and film producer, the founder of Balaji Telefilms, where she is joint managing director and creative head. She began at seventeen and became known for producing a large number of Hindi soap operas. She received the Padma Shri in 2020 and the International Emmy Directorate Award in 2023.</t>
        </is>
      </c>
      <c r="I231" s="5" t="inlineStr">
        <is>
          <t>Producing television from 1995; her company moved into film production in the early 2000s.</t>
        </is>
      </c>
      <c r="J231" s="5" t="inlineStr">
        <is>
          <t>With Kapoor: Kucch To Hai (2003). Elsewhere, the Balaji television output and films including The Dirty Picture and Udta Punjab.</t>
        </is>
      </c>
      <c r="K231" s="19" t="inlineStr">
        <is>
          <t>Family melodrama for television; genre cinema aimed at young audiences.</t>
        </is>
      </c>
      <c r="L231" s="19" t="inlineStr">
        <is>
          <t>A high-volume producer who industrialised Hindi serial drama and carried its methods into film.</t>
        </is>
      </c>
      <c r="M231" s="5" t="inlineStr">
        <is>
          <t>Padma Shri (2020); International Emmy Directorate Award (2023); Best Entrepreneur of the Year (2001).</t>
        </is>
      </c>
      <c r="N231" s="19" t="inlineStr">
        <is>
          <t>The dominant figure in Indian television drama from the late 1990s, and a significant film producer thereafter.</t>
        </is>
      </c>
      <c r="O231" s="19" t="inlineStr">
        <is>
          <t>One film: Kucch To Hai (2003), an early Balaji Motion Pictures feature credited to two directors — Anurag Basu, whose article calls it his debut, and Anil V. Kumar — with Kapoor in support during the quietest years of his career.</t>
        </is>
      </c>
      <c r="P231" s="17" t="n">
        <v>1</v>
      </c>
      <c r="Q231" s="5" t="inlineStr">
        <is>
          <t>FILM-115</t>
        </is>
      </c>
      <c r="R231" s="5" t="inlineStr">
        <is>
          <t>Kucch To Hai (2003)</t>
        </is>
      </c>
      <c r="S231" s="5" t="inlineStr">
        <is>
          <t>Ekta Kapoor produced one film in this filmography, early in her company's move from television into cinema. The founder of Balaji Telefilms, she reshaped Indian television from the late 1990s with a vast output of family serials, and was later honoured with the Padma Shri and an International Emmy Directorate Award. Kucch To Hai (2003) was among Balaji Motion Pictures' first features — a horror-slasher aimed at a young audience, credited to Anurag Basu and Anil V. Kumar — and gave Rishi Kapoor a supporting part at a point when little else was on offer. The credit is a useful reminder that his lean years coincided exactly with the arrival of television money in Hindi film production.</t>
        </is>
      </c>
      <c r="T231" s="5" t="inlineStr">
        <is>
          <t>SOURCE-287</t>
        </is>
      </c>
      <c r="U231" s="5" t="inlineStr">
        <is>
          <t>High</t>
        </is>
      </c>
    </row>
    <row r="232" ht="109" customHeight="1">
      <c r="A232" s="15" t="inlineStr">
        <is>
          <t>PERSON-231</t>
        </is>
      </c>
      <c r="B232" s="5" t="inlineStr">
        <is>
          <t>Emmay Entertainment</t>
        </is>
      </c>
      <c r="C232" s="5" t="inlineStr">
        <is>
          <t>Production banner</t>
        </is>
      </c>
      <c r="D232" s="18" t="n"/>
      <c r="E232" s="18" t="n"/>
      <c r="F232" s="5" t="inlineStr">
        <is>
          <t>2011–present</t>
        </is>
      </c>
      <c r="G232" s="5" t="inlineStr">
        <is>
          <t>Hindi cinema</t>
        </is>
      </c>
      <c r="H232" s="5" t="inlineStr">
        <is>
          <t>Emmay Entertainment and Motion Pictures LLP is an Indian content production company based in Mumbai, founded in 2011 by Nikkhil Advani, Monisha Advani and Madhu Bhojwani. It began with feature films and expanded into television, short films, telefilms and digital content. Its first feature production was D-Day.</t>
        </is>
      </c>
      <c r="I232" s="5" t="inlineStr">
        <is>
          <t>D-Day (2013), the company's first feature.</t>
        </is>
      </c>
      <c r="J232" s="5" t="inlineStr">
        <is>
          <t>With Kapoor: D-Day (2013). Elsewhere, Airlift, Katti Batti and Hero.</t>
        </is>
      </c>
      <c r="K232" s="19" t="inlineStr">
        <is>
          <t>The ensemble thriller and the issue-driven commercial film.</t>
        </is>
      </c>
      <c r="L232" s="19" t="inlineStr">
        <is>
          <t>A director-founded company producing Advani's own films alongside others' work.</t>
        </is>
      </c>
      <c r="M232" s="5" t="n"/>
      <c r="N232" s="19" t="inlineStr">
        <is>
          <t>Not independently prominent, but a notable example of the director-owned production companies that proliferated in 2010s Hindi cinema.</t>
        </is>
      </c>
      <c r="O232" s="19" t="inlineStr">
        <is>
          <t>One credit, and it is the company's own first film: D-Day (2013), in which Kapoor plays Iqbal Seth, a Dawood Ibrahim-like crime boss living under protection in Karachi. The role is among the most unsympathetic of his career and part of the late widening of his range.</t>
        </is>
      </c>
      <c r="P232" s="17" t="n">
        <v>1</v>
      </c>
      <c r="Q232" s="5" t="inlineStr">
        <is>
          <t>FILM-143</t>
        </is>
      </c>
      <c r="R232" s="5" t="inlineStr">
        <is>
          <t>D-Day (2013)</t>
        </is>
      </c>
      <c r="S232" s="5" t="inlineStr">
        <is>
          <t>Emmay Entertainment's first film gave Rishi Kapoor one of his best late roles. Founded in 2011 by Nikkhil Advani with his sister Monisha Advani and Madhu Bhojwani, the company opened with D-Day in 2013 — Advani's thriller about an Indian intelligence operation to extract a fugitive gangster from Karachi — and cast Kapoor as the gangster. Coming a year after Agneepath's Rauf Lala, the performance confirmed that his second career would include genuine menace as well as benign fathers. The company went on to produce Airlift, Katti Batti and Hero, and to expand into television and digital work.</t>
        </is>
      </c>
      <c r="T232" s="5" t="inlineStr">
        <is>
          <t>SOURCE-288</t>
        </is>
      </c>
      <c r="U232" s="5" t="inlineStr">
        <is>
          <t>High</t>
        </is>
      </c>
    </row>
    <row r="233" ht="94" customHeight="1">
      <c r="A233" s="15" t="inlineStr">
        <is>
          <t>PERSON-232</t>
        </is>
      </c>
      <c r="B233" s="5" t="inlineStr">
        <is>
          <t>Epic Bhangra</t>
        </is>
      </c>
      <c r="C233" s="5" t="inlineStr">
        <is>
          <t>Song composer</t>
        </is>
      </c>
      <c r="D233" s="18" t="n"/>
      <c r="E233" s="18" t="n"/>
      <c r="F233" s="5" t="n"/>
      <c r="G233" s="5" t="inlineStr">
        <is>
          <t>Hindi cinema; British Asian music</t>
        </is>
      </c>
      <c r="H233" s="5" t="inlineStr">
        <is>
          <t>A music act credited on one film in this filmography, with no Wikipedia article under this name.</t>
        </is>
      </c>
      <c r="I233" s="5" t="n"/>
      <c r="J233" s="5" t="inlineStr">
        <is>
          <t>With Kapoor: Sanam Re (2016).</t>
        </is>
      </c>
      <c r="K233" s="19" t="inlineStr">
        <is>
          <t>Bhangra-inflected dance music.</t>
        </is>
      </c>
      <c r="L233" s="19" t="inlineStr">
        <is>
          <t>Not documented.</t>
        </is>
      </c>
      <c r="M233" s="5" t="n"/>
      <c r="N233" s="19" t="inlineStr">
        <is>
          <t>Not independently documented.</t>
        </is>
      </c>
      <c r="O233" s="19" t="inlineStr">
        <is>
          <t>One film: Sanam Re (2016), a T-Series romance directed by Divya Khosla Kumar in which Kapoor plays the hero's grandfather. The soundtrack is divided among several composers, of whom Mithoon is the best known.</t>
        </is>
      </c>
      <c r="P233" s="17" t="n">
        <v>1</v>
      </c>
      <c r="Q233" s="5" t="inlineStr">
        <is>
          <t>FILM-151</t>
        </is>
      </c>
      <c r="R233" s="5" t="inlineStr">
        <is>
          <t>Sanam Re (2016)</t>
        </is>
      </c>
      <c r="S233" s="5" t="inlineStr">
        <is>
          <t>Epic Bhangra is credited among the composers of Sanam Re (2016) and has no documented history. The film is a T-Series production whose soundtrack was assembled from several contributors in the manner standard by the mid-2010s, with Mithoon's title song becoming one of the most streamed Hindi recordings of its year while the remaining credits left no trace. Kapoor appears as the grandfather whose remembered love frames the story. The contrast with the single-composer soundtracks of his youth is the point worth recording. This row is built from the film's credits alone.</t>
        </is>
      </c>
      <c r="T233" s="5" t="inlineStr">
        <is>
          <t>SOURCE-143</t>
        </is>
      </c>
      <c r="U233" s="5" t="inlineStr">
        <is>
          <t>Low</t>
        </is>
      </c>
    </row>
    <row r="234" ht="109" customHeight="1">
      <c r="A234" s="15" t="inlineStr">
        <is>
          <t>PERSON-233</t>
        </is>
      </c>
      <c r="B234" s="5" t="inlineStr">
        <is>
          <t>Eros International</t>
        </is>
      </c>
      <c r="C234" s="5" t="inlineStr">
        <is>
          <t>Production banner</t>
        </is>
      </c>
      <c r="D234" s="18" t="n"/>
      <c r="E234" s="18" t="n"/>
      <c r="F234" s="5" t="inlineStr">
        <is>
          <t>1977–present</t>
        </is>
      </c>
      <c r="G234" s="5" t="inlineStr">
        <is>
          <t>Hindi cinema</t>
        </is>
      </c>
      <c r="H234" s="5" t="inlineStr">
        <is>
          <t>Eros International is an Indian motion-picture production and distribution company founded in Mumbai by Arjan Lulla in 1977 and managed by his sons Kishore and Sunil Lulla. It is a subsidiary of Eros Media World, formed in 2020 and formerly known as Eros International Plc.</t>
        </is>
      </c>
      <c r="I234" s="5" t="inlineStr">
        <is>
          <t>Operating as a distributor from 1977 and later as a producer.</t>
        </is>
      </c>
      <c r="J234" s="5" t="inlineStr">
        <is>
          <t>With Kapoor: Wedding Pullav (2015). Elsewhere, a very large distribution catalogue of Hindi films.</t>
        </is>
      </c>
      <c r="K234" s="19" t="inlineStr">
        <is>
          <t>Distribution and co-production across the commercial Hindi slate.</t>
        </is>
      </c>
      <c r="L234" s="19" t="inlineStr">
        <is>
          <t>A distributor-producer rather than a house with a creative signature.</t>
        </is>
      </c>
      <c r="M234" s="5" t="n"/>
      <c r="N234" s="19" t="inlineStr">
        <is>
          <t>One of the longest-established and most internationally active Indian film distributors.</t>
        </is>
      </c>
      <c r="O234" s="19" t="inlineStr">
        <is>
          <t>One credit, on Wedding Pullav (2015), the small romantic comedy the cinematographer Binod Pradhan directed, with Kapoor in support and songs by Salim–Sulaiman. It is among the slightest films of his last decade.</t>
        </is>
      </c>
      <c r="P234" s="17" t="n">
        <v>1</v>
      </c>
      <c r="Q234" s="5" t="inlineStr">
        <is>
          <t>FILM-149</t>
        </is>
      </c>
      <c r="R234" s="5" t="inlineStr">
        <is>
          <t>Wedding Pullav (2015)</t>
        </is>
      </c>
      <c r="S234" s="5" t="inlineStr">
        <is>
          <t>Eros International appears once in this filmography, on Wedding Pullav (2015). Founded by Arjan Lulla in 1977 and run by his sons, the company became one of India's largest film distributors and a significant international presence, later reorganised as Eros Media World. Its one Kapoor credit is a minor romantic comedy directed by the cinematographer Binod Pradhan, with Salim–Sulaiman's songs and Kapoor in a supporting role — one of the several late films in which his participation was a mark of respectability rather than a part worth writing. The company's distribution catalogue, by contrast, includes a substantial share of the Hindi cinema of his lifetime.</t>
        </is>
      </c>
      <c r="T234" s="5" t="inlineStr">
        <is>
          <t>SOURCE-289</t>
        </is>
      </c>
      <c r="U234" s="5" t="inlineStr">
        <is>
          <t>High</t>
        </is>
      </c>
    </row>
    <row r="235" ht="94" customHeight="1">
      <c r="A235" s="15" t="inlineStr">
        <is>
          <t>PERSON-234</t>
        </is>
      </c>
      <c r="B235" s="5" t="inlineStr">
        <is>
          <t>F. A. Nadiadwala</t>
        </is>
      </c>
      <c r="C235" s="5" t="inlineStr">
        <is>
          <t>Producer</t>
        </is>
      </c>
      <c r="D235" s="18" t="n"/>
      <c r="E235" s="18" t="n"/>
      <c r="F235" s="5" t="n"/>
      <c r="G235" s="5" t="inlineStr">
        <is>
          <t>Hindi cinema</t>
        </is>
      </c>
      <c r="H235" s="5" t="inlineStr">
        <is>
          <t>A producer credited on one film in this filmography, with no Wikipedia article of his own. The Nadiadwala name recurs in this workbook — I. A. Nadiadwala and Sajid Nadiadwala also hold credits — indicating the long-running Bombay production family of that name.</t>
        </is>
      </c>
      <c r="I235" s="5" t="n"/>
      <c r="J235" s="5" t="inlineStr">
        <is>
          <t>With Kapoor: Hathyar (1989).</t>
        </is>
      </c>
      <c r="K235" s="19" t="inlineStr">
        <is>
          <t>Not documented.</t>
        </is>
      </c>
      <c r="L235" s="19" t="inlineStr">
        <is>
          <t>Not documented.</t>
        </is>
      </c>
      <c r="M235" s="5" t="n"/>
      <c r="N235" s="19" t="inlineStr">
        <is>
          <t>Not independently documented.</t>
        </is>
      </c>
      <c r="O235" s="19" t="inlineStr">
        <is>
          <t>One film: Hathyar (1989), a Laxmikant–Pyarelal-scored film from the crowded stretch at the turn of the 1990s when Kapoor released nine pictures in three years, most of them unreviewed.</t>
        </is>
      </c>
      <c r="P235" s="17" t="n">
        <v>1</v>
      </c>
      <c r="Q235" s="5" t="inlineStr">
        <is>
          <t>FILM-069</t>
        </is>
      </c>
      <c r="R235" s="5" t="inlineStr">
        <is>
          <t>Hathyar (1989)</t>
        </is>
      </c>
      <c r="S235" s="5" t="inlineStr">
        <is>
          <t>F. A. Nadiadwala produced Hathyar (1989) and has no documented biography. The name belongs to one of Bombay cinema's production families — I. A. Nadiadwala is credited elsewhere in this filmography, and Sajid Nadiadwala produced Housefull 2 two decades later — but the individual leaves no record. The film itself comes from the densest and least documented period of Kapoor's lead career, between 1989 and 1991, when his vehicles were mid-budget melodramas financed by small producers and scored, almost invariably, by Laxmikant–Pyarelal. This row is built from the film's credits alone.</t>
        </is>
      </c>
      <c r="T235" s="5" t="inlineStr">
        <is>
          <t>SOURCE-068</t>
        </is>
      </c>
      <c r="U235" s="5" t="inlineStr">
        <is>
          <t>Low</t>
        </is>
      </c>
    </row>
    <row r="236" ht="154" customHeight="1">
      <c r="A236" s="15" t="inlineStr">
        <is>
          <t>PERSON-235</t>
        </is>
      </c>
      <c r="B236" s="5" t="inlineStr">
        <is>
          <t>Farah Khan</t>
        </is>
      </c>
      <c r="C236" s="5" t="inlineStr">
        <is>
          <t>Director; Writer</t>
        </is>
      </c>
      <c r="D236" s="17" t="n">
        <v>1965</v>
      </c>
      <c r="E236" s="18" t="n"/>
      <c r="F236" s="5" t="inlineStr">
        <is>
          <t>1987–present</t>
        </is>
      </c>
      <c r="G236" s="5" t="inlineStr">
        <is>
          <t>Hindi cinema</t>
        </is>
      </c>
      <c r="H236" s="5" t="inlineStr">
        <is>
          <t>Farah Khan Kunder (born 9 January 1965) is an Indian film director, choreographer, dancer, writer, producer and actress. She has choreographed more than a hundred songs in over eighty films, winning the National Film Award for Best Choreography and seven Filmfare Awards for Best Choreography. Her directorial debut Main Hoon Na (2004) and Om Shanti Om (2007) both earned her Filmfare nominations for Best Director, making her the second woman nominated in that category.</t>
        </is>
      </c>
      <c r="I236" s="5" t="inlineStr">
        <is>
          <t>Choreographing from 1987; directorial debut Main Hoon Na (2004).</t>
        </is>
      </c>
      <c r="J236" s="5" t="inlineStr">
        <is>
          <t>With Kapoor: Om Shanti Om (2007). Elsewhere, Main Hoon Na, Tees Maar Khan and Happy New Year.</t>
        </is>
      </c>
      <c r="K236" s="19" t="inlineStr">
        <is>
          <t>Hindi cinema's own history as subject and joke; the reincarnation plot; the song as spectacle.</t>
        </is>
      </c>
      <c r="L236" s="19" t="inlineStr">
        <is>
          <t>A choreographer's cinema — set pieces first, built on affectionate pastiche of earlier Hindi film styles.</t>
        </is>
      </c>
      <c r="M236" s="5" t="inlineStr">
        <is>
          <t>National Film Award for Best Choreography and seven Filmfare Awards for Best Choreography; two Filmfare nominations for Best Director.</t>
        </is>
      </c>
      <c r="N236" s="19" t="inlineStr">
        <is>
          <t>The most prominent choreographer-turned-director in Hindi cinema, and only the second woman nominated for the Filmfare Best Director award.</t>
        </is>
      </c>
      <c r="O236" s="19" t="inlineStr">
        <is>
          <t>One film: Om Shanti Om (2007), in which Kapoor appears as himself. The film is a pastiche of the 1970s industry in which he had been a young star, and its reincarnation plot borrows directly from Karz (1980), one of his own defining films — so he appears in a film that is partly a tribute to his own period and partly a remake of its structure.</t>
        </is>
      </c>
      <c r="P236" s="17" t="n">
        <v>1</v>
      </c>
      <c r="Q236" s="5" t="inlineStr">
        <is>
          <t>FILM-125</t>
        </is>
      </c>
      <c r="R236" s="5" t="inlineStr">
        <is>
          <t>Om Shanti Om (2007)</t>
        </is>
      </c>
      <c r="S236" s="5" t="inlineStr">
        <is>
          <t>Farah Khan directed the film that turned the cinema of Rishi Kapoor's youth into a subject. A choreographer of more than a hundred songs who won the National Film Award and seven Filmfare Awards in that craft before directing, Khan made Om Shanti Om in 2007: a reincarnation story set half in the 1970s Hindi film industry and half in the present, whose plot openly echoes Karz, the Subhash Ghai film that had given Kapoor his most durable role in 1980. Kapoor appears as himself, one of dozens of stars in a sequence of industry self-reference. It was his first film with Shah Rukh Khan's company, fifteen years after Deewana, and it marks the point at which his own past had become material for other people's films.</t>
        </is>
      </c>
      <c r="T236" s="5" t="inlineStr">
        <is>
          <t>SOURCE-290</t>
        </is>
      </c>
      <c r="U236" s="5" t="inlineStr">
        <is>
          <t>High</t>
        </is>
      </c>
    </row>
    <row r="237" ht="79" customHeight="1">
      <c r="A237" s="15" t="inlineStr">
        <is>
          <t>PERSON-236</t>
        </is>
      </c>
      <c r="B237" s="5" t="inlineStr">
        <is>
          <t>Farooq</t>
        </is>
      </c>
      <c r="C237" s="5" t="inlineStr">
        <is>
          <t>Producer</t>
        </is>
      </c>
      <c r="D237" s="18" t="n"/>
      <c r="E237" s="18" t="n"/>
      <c r="F237" s="5" t="n"/>
      <c r="G237" s="5" t="inlineStr">
        <is>
          <t>Hindi cinema</t>
        </is>
      </c>
      <c r="H237" s="5" t="inlineStr">
        <is>
          <t>A producer credited on one film in this filmography under a single name, with no Wikipedia article identifiable to him; the bare name resolves to a disambiguation of unrelated figures.</t>
        </is>
      </c>
      <c r="I237" s="5" t="n"/>
      <c r="J237" s="5" t="inlineStr">
        <is>
          <t>With Kapoor: Saajan Ka Ghar (1994).</t>
        </is>
      </c>
      <c r="K237" s="19" t="inlineStr">
        <is>
          <t>Not documented.</t>
        </is>
      </c>
      <c r="L237" s="19" t="inlineStr">
        <is>
          <t>Not documented.</t>
        </is>
      </c>
      <c r="M237" s="5" t="n"/>
      <c r="N237" s="19" t="inlineStr">
        <is>
          <t>Not independently documented.</t>
        </is>
      </c>
      <c r="O237" s="19" t="inlineStr">
        <is>
          <t>One film: Saajan Ka Ghar (1994), co-produced with the actress Nutan and Surendra Bohra, who also directed — one of four Kapoor films released that year, all of them modest.</t>
        </is>
      </c>
      <c r="P237" s="17" t="n">
        <v>1</v>
      </c>
      <c r="Q237" s="5" t="inlineStr">
        <is>
          <t>FILM-100</t>
        </is>
      </c>
      <c r="R237" s="5" t="inlineStr">
        <is>
          <t>Saajan Ka Ghar (1994)</t>
        </is>
      </c>
      <c r="S237" s="5" t="inlineStr">
        <is>
          <t>Farooq is credited as one of three producers on Saajan Ka Ghar (1994) and cannot be identified further; the single-name credit resolves to nothing. The film is notable for a different name on the same list: the actress Nutan, one of the great leading ladies of the 1950s and 1960s, is credited as a co-producer. It was directed by Surendra Bohra with a Nadeem–Shravan score and belongs to the last year in which Kapoor was routinely cast as a lead. This row is built from the film's credits alone.</t>
        </is>
      </c>
      <c r="T237" s="5" t="inlineStr">
        <is>
          <t>SOURCE-092</t>
        </is>
      </c>
      <c r="U237" s="5" t="inlineStr">
        <is>
          <t>Low</t>
        </is>
      </c>
    </row>
    <row r="238" ht="94" customHeight="1">
      <c r="A238" s="15" t="inlineStr">
        <is>
          <t>PERSON-237</t>
        </is>
      </c>
      <c r="B238" s="5" t="inlineStr">
        <is>
          <t>FilmStoc</t>
        </is>
      </c>
      <c r="C238" s="5" t="inlineStr">
        <is>
          <t>Production banner</t>
        </is>
      </c>
      <c r="D238" s="18" t="n"/>
      <c r="E238" s="18" t="n"/>
      <c r="F238" s="5" t="n"/>
      <c r="G238" s="5" t="inlineStr">
        <is>
          <t>Hindi cinema</t>
        </is>
      </c>
      <c r="H238" s="5" t="inlineStr">
        <is>
          <t>A production banner credited on one film in this filmography, with no Wikipedia article of its own.</t>
        </is>
      </c>
      <c r="I238" s="5" t="n"/>
      <c r="J238" s="5" t="inlineStr">
        <is>
          <t>With Kapoor: Manto (2018).</t>
        </is>
      </c>
      <c r="K238" s="19" t="inlineStr">
        <is>
          <t>Not documented.</t>
        </is>
      </c>
      <c r="L238" s="19" t="inlineStr">
        <is>
          <t>Not documented.</t>
        </is>
      </c>
      <c r="M238" s="5" t="n"/>
      <c r="N238" s="19" t="inlineStr">
        <is>
          <t>Not independently documented.</t>
        </is>
      </c>
      <c r="O238" s="19" t="inlineStr">
        <is>
          <t>One credit, on Nandita Das's Manto (2018), a biographical film about the Urdu writer Saadat Hasan Manto in which Kapoor has a small role — a festival-facing production quite unlike anything in his lead career.</t>
        </is>
      </c>
      <c r="P238" s="17" t="n">
        <v>1</v>
      </c>
      <c r="Q238" s="5" t="inlineStr">
        <is>
          <t>FILM-156</t>
        </is>
      </c>
      <c r="R238" s="5" t="inlineStr">
        <is>
          <t>Manto (2018)</t>
        </is>
      </c>
      <c r="S238" s="5" t="inlineStr">
        <is>
          <t>FilmStoc is one of four banners credited on Manto (2018) and has no recorded history. The film, directed by Nandita Das, follows the Urdu short-story writer Saadat Hasan Manto through his obscenity trials and his migration to Pakistan, and Kapoor appears briefly in it. Its music credits were mislabelled in the source data this workbook drew on — the infobox groups composers under 'Songs' and 'Background Score', which an earlier pass read as names — and its producer list runs to six people across four companies, of which this is the least documented. This row is built from the film's credits alone.</t>
        </is>
      </c>
      <c r="T238" s="5" t="inlineStr">
        <is>
          <t>SOURCE-147</t>
        </is>
      </c>
      <c r="U238" s="5" t="inlineStr">
        <is>
          <t>Low</t>
        </is>
      </c>
    </row>
    <row r="239" ht="154" customHeight="1">
      <c r="A239" s="15" t="inlineStr">
        <is>
          <t>PERSON-238</t>
        </is>
      </c>
      <c r="B239" s="5" t="inlineStr">
        <is>
          <t>G. P. Sippy</t>
        </is>
      </c>
      <c r="C239" s="5" t="inlineStr">
        <is>
          <t>Producer</t>
        </is>
      </c>
      <c r="D239" s="17" t="n">
        <v>1914</v>
      </c>
      <c r="E239" s="17" t="n">
        <v>2007</v>
      </c>
      <c r="F239" s="5" t="n"/>
      <c r="G239" s="5" t="inlineStr">
        <is>
          <t>Hindi cinema</t>
        </is>
      </c>
      <c r="H239" s="5" t="inlineStr">
        <is>
          <t>Gopaldas Parmanand Sipahimalani (14 September 1914 – 25 December 2007), known as G. P. Sippy, was an Indian film producer and director. He produced Seeta Aur Geeta (1972), Shaan (1980), Saagar (1985) and Raju Ban Gaya Gentleman (1992), and his magnum opus Sholay. He chaired the Film and Television Producers Guild of India for several years and won Filmfare Awards in 1968 and 1982. His son is the director Ramesh Sippy and his grandson the director Rohan Sippy.</t>
        </is>
      </c>
      <c r="I239" s="5" t="inlineStr">
        <is>
          <t>Producing from the 1950s; Sholay (1975) was his greatest success.</t>
        </is>
      </c>
      <c r="J239" s="5" t="inlineStr">
        <is>
          <t>With Kapoor: Saagar (1985). Elsewhere, Sholay, Seeta Aur Geeta and Shaan.</t>
        </is>
      </c>
      <c r="K239" s="19" t="inlineStr">
        <is>
          <t>The large-scale commercial entertainment, made with the biggest stars available.</t>
        </is>
      </c>
      <c r="L239" s="19" t="inlineStr">
        <is>
          <t>A producer of scale who worked almost exclusively with his son Ramesh Sippy as director in his most successful years.</t>
        </is>
      </c>
      <c r="M239" s="5" t="inlineStr">
        <is>
          <t>Filmfare Awards in 1968 and 1982; long-serving chairman of the Film and Television Producers Guild of India.</t>
        </is>
      </c>
      <c r="N239" s="19" t="inlineStr">
        <is>
          <t>The producer of Sholay, the most commercially and culturally significant Hindi film of its era.</t>
        </is>
      </c>
      <c r="O239" s="19" t="inlineStr">
        <is>
          <t>One film: Saagar (1985), directed by his son Ramesh Sippy, in which Kapoor plays Raja, the fisherman who loves Dimple Kapadia's Mona and loses her to Kamal Haasan's character. It is among the finest performances of his career and earned R. D. Burman a Filmfare nomination for one of the decade's best-selling soundtracks — a rare high point in an otherwise weak decade for him.</t>
        </is>
      </c>
      <c r="P239" s="17" t="n">
        <v>1</v>
      </c>
      <c r="Q239" s="5" t="inlineStr">
        <is>
          <t>FILM-049</t>
        </is>
      </c>
      <c r="R239" s="5" t="inlineStr">
        <is>
          <t>Saagar (1985)</t>
        </is>
      </c>
      <c r="S239" s="5" t="inlineStr">
        <is>
          <t>G. P. Sippy produced Saagar, the best film Rishi Kapoor appeared in during his thinnest decade. The producer of Sholay and of Seeta Aur Geeta, Shaan and Raju Ban Gaya Gentleman, Sippy worked at the largest scale Hindi cinema offered and for years chaired its producers' guild. Saagar (1985), directed by his son Ramesh Sippy, reunited Kapoor with Dimple Kapadia twelve years after Bobby — her return to films after marriage — and cast him as the fisherman who loves her and loses. The performance is among his most admired, the R. D. Burman soundtrack among the decade's best-selling, and the film a reminder that when a major producer and director were behind him, his range was never the limitation.</t>
        </is>
      </c>
      <c r="T239" s="5" t="inlineStr">
        <is>
          <t>SOURCE-291</t>
        </is>
      </c>
      <c r="U239" s="5" t="inlineStr">
        <is>
          <t>High</t>
        </is>
      </c>
    </row>
    <row r="240" ht="109" customHeight="1">
      <c r="A240" s="15" t="inlineStr">
        <is>
          <t>PERSON-239</t>
        </is>
      </c>
      <c r="B240" s="5" t="inlineStr">
        <is>
          <t>G.M. Singh Nindrajog</t>
        </is>
      </c>
      <c r="C240" s="5" t="inlineStr">
        <is>
          <t>Producer</t>
        </is>
      </c>
      <c r="D240" s="18" t="n"/>
      <c r="E240" s="18" t="n"/>
      <c r="F240" s="5" t="n"/>
      <c r="G240" s="5" t="inlineStr">
        <is>
          <t>Hindi cinema</t>
        </is>
      </c>
      <c r="H240" s="5" t="inlineStr">
        <is>
          <t>A producer credited on one film in this filmography, with no Wikipedia article of his own.</t>
        </is>
      </c>
      <c r="I240" s="5" t="n"/>
      <c r="J240" s="5" t="inlineStr">
        <is>
          <t>With Kapoor: Ek Chadar Maili Si (1986).</t>
        </is>
      </c>
      <c r="K240" s="19" t="inlineStr">
        <is>
          <t>Not documented.</t>
        </is>
      </c>
      <c r="L240" s="19" t="inlineStr">
        <is>
          <t>Not documented.</t>
        </is>
      </c>
      <c r="M240" s="5" t="n"/>
      <c r="N240" s="19" t="inlineStr">
        <is>
          <t>Not independently documented.</t>
        </is>
      </c>
      <c r="O240" s="19" t="inlineStr">
        <is>
          <t>One film, and a serious one: Ek Chadar Maili Si (1986), adapted from Rajinder Singh Bedi's Urdu novel, in which Kapoor plays a man made to marry his dead brother's widow. It is among the few genuinely literary projects of his middle period, with Phani Majumdar and Madan Joshi credited as writers.</t>
        </is>
      </c>
      <c r="P240" s="17" t="n">
        <v>1</v>
      </c>
      <c r="Q240" s="5" t="inlineStr">
        <is>
          <t>FILM-054</t>
        </is>
      </c>
      <c r="R240" s="5" t="inlineStr">
        <is>
          <t>Ek Chadar Maili Si (1986)</t>
        </is>
      </c>
      <c r="S240" s="5" t="inlineStr">
        <is>
          <t>G.M. Singh Nindrajog produced Ek Chadar Maili Si (1986) and has no documented biography. The film is one of the most substantial Rishi Kapoor made in his weakest decade: an adaptation of Rajinder Singh Bedi's Sahitya Akademi-winning Urdu novel about a widow compelled by custom to marry her late husband's younger brother, with Kapoor as the brother and Hema Malini as the widow. Phani Majumdar, a director working since 1938, was among its writers. That the producer of such a film left no record is characteristic of this workbook's lower tiers. This row is built from the film's credits alone.</t>
        </is>
      </c>
      <c r="T240" s="5" t="inlineStr">
        <is>
          <t>SOURCE-052</t>
        </is>
      </c>
      <c r="U240" s="5" t="inlineStr">
        <is>
          <t>Low</t>
        </is>
      </c>
    </row>
    <row r="241" ht="79" customHeight="1">
      <c r="A241" s="15" t="inlineStr">
        <is>
          <t>PERSON-240</t>
        </is>
      </c>
      <c r="B241" s="5" t="inlineStr">
        <is>
          <t>GR8 Entertainment</t>
        </is>
      </c>
      <c r="C241" s="5" t="inlineStr">
        <is>
          <t>Production banner</t>
        </is>
      </c>
      <c r="D241" s="18" t="n"/>
      <c r="E241" s="18" t="n"/>
      <c r="F241" s="5" t="n"/>
      <c r="G241" s="5" t="inlineStr">
        <is>
          <t>Hindi cinema</t>
        </is>
      </c>
      <c r="H241" s="5" t="inlineStr">
        <is>
          <t>A production banner credited on one film in this filmography, with no Wikipedia article of its own.</t>
        </is>
      </c>
      <c r="I241" s="5" t="n"/>
      <c r="J241" s="5" t="inlineStr">
        <is>
          <t>With Kapoor: Wedding Pullav (2015).</t>
        </is>
      </c>
      <c r="K241" s="19" t="inlineStr">
        <is>
          <t>Not documented.</t>
        </is>
      </c>
      <c r="L241" s="19" t="inlineStr">
        <is>
          <t>Not documented.</t>
        </is>
      </c>
      <c r="M241" s="5" t="n"/>
      <c r="N241" s="19" t="inlineStr">
        <is>
          <t>Not independently documented.</t>
        </is>
      </c>
      <c r="O241" s="19" t="inlineStr">
        <is>
          <t>One credit, on Wedding Pullav (2015), the romantic comedy directed by the cinematographer Binod Pradhan with songs by Salim–Sulaiman and Kapoor in support — among the slightest films of his last decade.</t>
        </is>
      </c>
      <c r="P241" s="17" t="n">
        <v>1</v>
      </c>
      <c r="Q241" s="5" t="inlineStr">
        <is>
          <t>FILM-149</t>
        </is>
      </c>
      <c r="R241" s="5" t="inlineStr">
        <is>
          <t>Wedding Pullav (2015)</t>
        </is>
      </c>
      <c r="S241" s="5" t="inlineStr">
        <is>
          <t>GR8 Entertainment is one of the banners on Wedding Pullav (2015) and has no recorded history. The film is a minor romantic comedy, notable only for having been directed by Binod Pradhan, one of Hindi cinema's most distinguished cinematographers, and for Kapoor's supporting presence. It belongs to the group of late films — Chalk N Duster, Wedding Pullav, All Is Well — in which his name lent respectability to productions that asked little of him. This row is built from the film's credits alone.</t>
        </is>
      </c>
      <c r="T241" s="5" t="inlineStr">
        <is>
          <t>SOURCE-141</t>
        </is>
      </c>
      <c r="U241" s="5" t="inlineStr">
        <is>
          <t>Low</t>
        </is>
      </c>
    </row>
    <row r="242" ht="109" customHeight="1">
      <c r="A242" s="15" t="inlineStr">
        <is>
          <t>PERSON-241</t>
        </is>
      </c>
      <c r="B242" s="5" t="inlineStr">
        <is>
          <t>Gautam Talwar</t>
        </is>
      </c>
      <c r="C242" s="5" t="inlineStr">
        <is>
          <t>Producer</t>
        </is>
      </c>
      <c r="D242" s="18" t="n"/>
      <c r="E242" s="18" t="n"/>
      <c r="F242" s="5" t="n"/>
      <c r="G242" s="5" t="inlineStr">
        <is>
          <t>Hindi cinema</t>
        </is>
      </c>
      <c r="H242" s="5" t="inlineStr">
        <is>
          <t>A producer credited on one film in this filmography, with no Wikipedia article of his own.</t>
        </is>
      </c>
      <c r="I242" s="5" t="n"/>
      <c r="J242" s="5" t="inlineStr">
        <is>
          <t>With Kapoor: Chintu Ji (2009).</t>
        </is>
      </c>
      <c r="K242" s="19" t="inlineStr">
        <is>
          <t>Not documented.</t>
        </is>
      </c>
      <c r="L242" s="19" t="inlineStr">
        <is>
          <t>Not documented.</t>
        </is>
      </c>
      <c r="M242" s="5" t="n"/>
      <c r="N242" s="19" t="inlineStr">
        <is>
          <t>Not independently documented.</t>
        </is>
      </c>
      <c r="O242" s="19" t="inlineStr">
        <is>
          <t>One film: Chintu Ji (2009), co-produced with Bobby Bedi of Kaleidoscope Entertainment, in which Kapoor plays a film star called Chintu Ji — his own childhood nickname — who returns to the village of his birth. It is the most directly self-referential film in the filmography.</t>
        </is>
      </c>
      <c r="P242" s="17" t="n">
        <v>1</v>
      </c>
      <c r="Q242" s="5" t="inlineStr">
        <is>
          <t>FILM-132</t>
        </is>
      </c>
      <c r="R242" s="5" t="inlineStr">
        <is>
          <t>Chintu Ji (2009)</t>
        </is>
      </c>
      <c r="S242" s="5" t="inlineStr">
        <is>
          <t>Gautam Talwar co-produced Chintu Ji (2009) and has no documented biography. The film is an oddity worth its place in this workbook: Kapoor plays a fictionalised version of himself, a star named Chintu Ji — the nickname he had carried since childhood and by which the industry knew him — who returns to his birthplace and is received as both celebrity and disappointment. His co-producer was Bobby Bedi, whose Kaleidoscope Entertainment had made Bandit Queen and Maqbool, which suggests the film was conceived as something more ambitious than a vehicle. This row is built from the film's credits alone.</t>
        </is>
      </c>
      <c r="T242" s="5" t="inlineStr">
        <is>
          <t>SOURCE-124</t>
        </is>
      </c>
      <c r="U242" s="5" t="inlineStr">
        <is>
          <t>Low</t>
        </is>
      </c>
    </row>
    <row r="243" ht="109" customHeight="1">
      <c r="A243" s="15" t="inlineStr">
        <is>
          <t>PERSON-242</t>
        </is>
      </c>
      <c r="B243" s="5" t="inlineStr">
        <is>
          <t>Gava</t>
        </is>
      </c>
      <c r="C243" s="5" t="inlineStr">
        <is>
          <t>Producer</t>
        </is>
      </c>
      <c r="D243" s="18" t="n"/>
      <c r="E243" s="18" t="n"/>
      <c r="F243" s="5" t="n"/>
      <c r="G243" s="5" t="inlineStr">
        <is>
          <t>Hindi cinema</t>
        </is>
      </c>
      <c r="H243" s="5" t="inlineStr">
        <is>
          <t>A producer credited on one film in this filmography under a single name, with no Wikipedia article identifiable to him; the bare name resolves to a list of unrelated places.</t>
        </is>
      </c>
      <c r="I243" s="5" t="n"/>
      <c r="J243" s="5" t="inlineStr">
        <is>
          <t>With Kapoor: Karobaar (2000).</t>
        </is>
      </c>
      <c r="K243" s="19" t="inlineStr">
        <is>
          <t>Not documented.</t>
        </is>
      </c>
      <c r="L243" s="19" t="inlineStr">
        <is>
          <t>Not documented.</t>
        </is>
      </c>
      <c r="M243" s="5" t="n"/>
      <c r="N243" s="19" t="inlineStr">
        <is>
          <t>Not independently documented.</t>
        </is>
      </c>
      <c r="O243" s="19" t="inlineStr">
        <is>
          <t>One film: Karobaar: The Business of Love (2000), directed and produced by Rakesh Roshan with a Rajesh Roshan score, in which Kapoor's character is on the receiving end of a bargain over his wife — a premise he would play from the other side six years later in Love Ke Chakkar Mein.</t>
        </is>
      </c>
      <c r="P243" s="17" t="n">
        <v>1</v>
      </c>
      <c r="Q243" s="5" t="inlineStr">
        <is>
          <t>FILM-111</t>
        </is>
      </c>
      <c r="R243" s="5" t="inlineStr">
        <is>
          <t>Karobaar (2000)</t>
        </is>
      </c>
      <c r="S243" s="5" t="inlineStr">
        <is>
          <t>Gava is credited as a producer on Karobaar (2000) and cannot be identified further. The film is one of the last of Kapoor's leading roles, a Rakesh Roshan production scored by his brother Rajesh Roshan — the two-family combination behind four films in this workbook — built on a variation of the Indecent Proposal situation. Kapoor plays the husband whose marriage is bought; six years later, in Love Ke Chakkar Mein, he would play the buyer. This row is built from the film's credits alone.</t>
        </is>
      </c>
      <c r="T243" s="5" t="inlineStr">
        <is>
          <t>SOURCE-103</t>
        </is>
      </c>
      <c r="U243" s="5" t="inlineStr">
        <is>
          <t>Low</t>
        </is>
      </c>
    </row>
    <row r="244" ht="124" customHeight="1">
      <c r="A244" s="15" t="inlineStr">
        <is>
          <t>PERSON-243</t>
        </is>
      </c>
      <c r="B244" s="5" t="inlineStr">
        <is>
          <t>Gennady Vasilyev</t>
        </is>
      </c>
      <c r="C244" s="5" t="inlineStr">
        <is>
          <t>Director</t>
        </is>
      </c>
      <c r="D244" s="17" t="n">
        <v>1940</v>
      </c>
      <c r="E244" s="17" t="n">
        <v>1999</v>
      </c>
      <c r="F244" s="5" t="n"/>
      <c r="G244" s="5" t="inlineStr">
        <is>
          <t>Soviet and Russian cinema</t>
        </is>
      </c>
      <c r="H244" s="5" t="inlineStr">
        <is>
          <t>Gennadi Leonidovich Vasilyev (31 August 1940 – 21 October 1999) was a Russian film director, best known for his fairy-tale film Finist, the Brave Falcon (1975).</t>
        </is>
      </c>
      <c r="I244" s="5" t="inlineStr">
        <is>
          <t>Directing in Soviet cinema from the early 1970s.</t>
        </is>
      </c>
      <c r="J244" s="5" t="inlineStr">
        <is>
          <t>With Kapoor: Ajooba (1991). Elsewhere, Finist, the Brave Falcon.</t>
        </is>
      </c>
      <c r="K244" s="19" t="inlineStr">
        <is>
          <t>The folk tale and the fantasy adventure.</t>
        </is>
      </c>
      <c r="L244" s="19" t="inlineStr">
        <is>
          <t>A Soviet director of fairy-tale spectacle, which is precisely what Ajooba required.</t>
        </is>
      </c>
      <c r="M244" s="5" t="n"/>
      <c r="N244" s="19" t="inlineStr">
        <is>
          <t>Not a major figure in Soviet cinema, but the co-director of one of the very few Indo-Soviet feature co-productions.</t>
        </is>
      </c>
      <c r="O244" s="19" t="inlineStr">
        <is>
          <t>One film: Ajooba (1991), which he co-directed with Shashi Kapoor — an Indo-Soviet fantasy adventure shot partly at the Gorky Film Studio with Soviet crew, in which Rishi Kapoor was third-billed behind Amitabh Bachchan and Dimple Kapadia. It is the only international co-production in this filmography and one of its most expensive failures.</t>
        </is>
      </c>
      <c r="P244" s="17" t="n">
        <v>1</v>
      </c>
      <c r="Q244" s="5" t="inlineStr">
        <is>
          <t>FILM-080</t>
        </is>
      </c>
      <c r="R244" s="5" t="inlineStr">
        <is>
          <t>Ajooba (1991)</t>
        </is>
      </c>
      <c r="S244" s="5" t="inlineStr">
        <is>
          <t>Gennady Vasilyev is the only non-Indian director in this filmography. A Russian filmmaker known at home for the fairy-tale film Finist, the Brave Falcon, he co-directed Ajooba (1991) with Shashi Kapoor — an Indo-Soviet co-production with the Gorky Film Studio, Soviet cinematographers and the Soviet actress Ariadna Shengelaya in the cast, built as a swashbuckling fantasy around Amitabh Bachchan's masked avenger. Rishi Kapoor was third-billed. The film cost a great deal, failed in both countries, and remains a curiosity: a Hindi fantasy made under a bilateral cultural arrangement that was about to disappear with the Soviet Union itself. Vasilyev died in 1999.</t>
        </is>
      </c>
      <c r="T244" s="5" t="inlineStr">
        <is>
          <t>SOURCE-292</t>
        </is>
      </c>
      <c r="U244" s="5" t="inlineStr">
        <is>
          <t>Medium</t>
        </is>
      </c>
    </row>
    <row r="245" ht="94" customHeight="1">
      <c r="A245" s="15" t="inlineStr">
        <is>
          <t>PERSON-244</t>
        </is>
      </c>
      <c r="B245" s="5" t="inlineStr">
        <is>
          <t>George Joseph</t>
        </is>
      </c>
      <c r="C245" s="5" t="inlineStr">
        <is>
          <t>Background-score composer</t>
        </is>
      </c>
      <c r="D245" s="18" t="n"/>
      <c r="E245" s="18" t="n"/>
      <c r="F245" s="5" t="n"/>
      <c r="G245" s="5" t="inlineStr">
        <is>
          <t>Hindi cinema</t>
        </is>
      </c>
      <c r="H245" s="5" t="inlineStr">
        <is>
          <t>A background-score composer credited on one film in this filmography, with no Wikipedia article identifiable to him; the bare name resolves to a disambiguation page of unrelated figures.</t>
        </is>
      </c>
      <c r="I245" s="5" t="n"/>
      <c r="J245" s="5" t="inlineStr">
        <is>
          <t>With Kapoor: 102 Not Out (2018).</t>
        </is>
      </c>
      <c r="K245" s="19" t="inlineStr">
        <is>
          <t>Not documented.</t>
        </is>
      </c>
      <c r="L245" s="19" t="inlineStr">
        <is>
          <t>Not documented.</t>
        </is>
      </c>
      <c r="M245" s="5" t="n"/>
      <c r="N245" s="19" t="inlineStr">
        <is>
          <t>Not independently documented.</t>
        </is>
      </c>
      <c r="O245" s="19" t="inlineStr">
        <is>
          <t>One film: 102 Not Out (2018), Umesh Shukla's two-hander in which the 65-year-old Kapoor plays the 75-year-old son of Amitabh Bachchan's 102-year-old father — his last leading role. He wrote the score; the songs were by Salim–Sulaiman and others.</t>
        </is>
      </c>
      <c r="P245" s="17" t="n">
        <v>1</v>
      </c>
      <c r="Q245" s="5" t="inlineStr">
        <is>
          <t>FILM-154</t>
        </is>
      </c>
      <c r="R245" s="5" t="inlineStr">
        <is>
          <t>102 Not Out (2018)</t>
        </is>
      </c>
      <c r="S245" s="5" t="inlineStr">
        <is>
          <t>George Joseph wrote the background score for 102 Not Out (2018) and cannot be identified further from the sources consulted here. The film is Rishi Kapoor's last leading role: adapted by Umesh Shukla from his own Gujarati play, it confines Kapoor and Amitabh Bachchan to a Mumbai house as a sulking seventy-five-year-old son and his relentlessly cheerful centenarian father. The two had first appeared together in Amar Akbar Anthony forty-one years earlier, and this was the ninth and last of their films — the only one in which Kapoor played the younger man. This row is built from the film's credits alone.</t>
        </is>
      </c>
      <c r="T245" s="5" t="inlineStr">
        <is>
          <t>SOURCE-146</t>
        </is>
      </c>
      <c r="U245" s="5" t="inlineStr">
        <is>
          <t>Low</t>
        </is>
      </c>
    </row>
    <row r="246" ht="124" customHeight="1">
      <c r="A246" s="15" t="inlineStr">
        <is>
          <t>PERSON-245</t>
        </is>
      </c>
      <c r="B246" s="5" t="inlineStr">
        <is>
          <t>Gorky Film Studio</t>
        </is>
      </c>
      <c r="C246" s="5" t="inlineStr">
        <is>
          <t>Production banner</t>
        </is>
      </c>
      <c r="D246" s="18" t="n"/>
      <c r="E246" s="18" t="n"/>
      <c r="F246" s="5" t="n"/>
      <c r="G246" s="5" t="inlineStr">
        <is>
          <t>Soviet and Russian cinema</t>
        </is>
      </c>
      <c r="H246" s="5" t="inlineStr">
        <is>
          <t>Gorky Film Studio is a municipally owned film studio in Moscow, one of the oldest active studios in Russia. By the end of the Soviet Union it had produced more than a thousand films, many of them classics, some of which won international festival awards.</t>
        </is>
      </c>
      <c r="I246" s="5" t="inlineStr">
        <is>
          <t>Operating since the early Soviet period.</t>
        </is>
      </c>
      <c r="J246" s="5" t="inlineStr">
        <is>
          <t>With Kapoor: Ajooba (1991). Elsewhere, more than a thousand Soviet films.</t>
        </is>
      </c>
      <c r="K246" s="19" t="inlineStr">
        <is>
          <t>The full range of Soviet production, including children's films and fairy tales.</t>
        </is>
      </c>
      <c r="L246" s="19" t="inlineStr">
        <is>
          <t>A state studio rather than a house with an authorial signature.</t>
        </is>
      </c>
      <c r="M246" s="5" t="n"/>
      <c r="N246" s="19" t="inlineStr">
        <is>
          <t>One of the principal studios of Soviet cinema.</t>
        </is>
      </c>
      <c r="O246" s="19" t="inlineStr">
        <is>
          <t>One credit, on Ajooba (1991), the Indo-Soviet fantasy Shashi Kapoor co-directed with Gennady Vasilyev. Parts of the film were shot at the studio with Soviet crew, and Rishi Kapoor was third-billed behind Amitabh Bachchan and Dimple Kapadia. It is the only foreign studio credited anywhere in this filmography.</t>
        </is>
      </c>
      <c r="P246" s="17" t="n">
        <v>1</v>
      </c>
      <c r="Q246" s="5" t="inlineStr">
        <is>
          <t>FILM-080</t>
        </is>
      </c>
      <c r="R246" s="5" t="inlineStr">
        <is>
          <t>Ajooba (1991)</t>
        </is>
      </c>
      <c r="S246" s="5" t="inlineStr">
        <is>
          <t>Gorky Film Studio is the only foreign production house in this filmography. A municipal Moscow studio and one of the oldest in Russia, it produced more than a thousand films before the Soviet Union ended, and in 1991 it co-produced Ajooba with Shashi Kapoor — an Indo-Soviet fantasy adventure, partly shot at the studio, with Soviet cinematographers, a Soviet co-director in Gennady Vasilyev and the actress Ariadna Shengelaya in the cast. Rishi Kapoor was third-billed behind Amitabh Bachchan and Dimple Kapadia. The film failed, and the bilateral arrangements that made such co-productions possible dissolved with the state that had funded them.</t>
        </is>
      </c>
      <c r="T246" s="5" t="inlineStr">
        <is>
          <t>SOURCE-293</t>
        </is>
      </c>
      <c r="U246" s="5" t="inlineStr">
        <is>
          <t>High</t>
        </is>
      </c>
    </row>
    <row r="247" ht="79" customHeight="1">
      <c r="A247" s="15" t="inlineStr">
        <is>
          <t>PERSON-246</t>
        </is>
      </c>
      <c r="B247" s="5" t="inlineStr">
        <is>
          <t>Grand Master Movies</t>
        </is>
      </c>
      <c r="C247" s="5" t="inlineStr">
        <is>
          <t>Production banner</t>
        </is>
      </c>
      <c r="D247" s="18" t="n"/>
      <c r="E247" s="18" t="n"/>
      <c r="F247" s="5" t="n"/>
      <c r="G247" s="5" t="inlineStr">
        <is>
          <t>Hindi cinema</t>
        </is>
      </c>
      <c r="H247" s="5" t="inlineStr">
        <is>
          <t>A production banner credited on one film in this filmography, with no Wikipedia article of its own.</t>
        </is>
      </c>
      <c r="I247" s="5" t="n"/>
      <c r="J247" s="5" t="inlineStr">
        <is>
          <t>With Kapoor: Izzat Ki Roti (1993).</t>
        </is>
      </c>
      <c r="K247" s="19" t="inlineStr">
        <is>
          <t>Not documented.</t>
        </is>
      </c>
      <c r="L247" s="19" t="inlineStr">
        <is>
          <t>Not documented.</t>
        </is>
      </c>
      <c r="M247" s="5" t="n"/>
      <c r="N247" s="19" t="inlineStr">
        <is>
          <t>Not independently documented.</t>
        </is>
      </c>
      <c r="O247" s="19" t="inlineStr">
        <is>
          <t>One credit, on Izzat Ki Roti (1993), directed by K. Pappu with a Bappi Lahiri score and written in part by Ranbir Pushp — one of the modest melodramas of Kapoor's final years as a lead.</t>
        </is>
      </c>
      <c r="P247" s="17" t="n">
        <v>1</v>
      </c>
      <c r="Q247" s="5" t="inlineStr">
        <is>
          <t>FILM-095</t>
        </is>
      </c>
      <c r="R247" s="5" t="inlineStr">
        <is>
          <t>Izzat Ki Roti (1993)</t>
        </is>
      </c>
      <c r="S247" s="5" t="inlineStr">
        <is>
          <t>Grand Master Movies is the banner on Izzat Ki Roti (1993) and has no recorded history. The film was directed by K. Pappu — a brother of Raj Kanwar, who had directed Deewana the previous year — with Bappi Lahiri's music and a script shared with Ranbir Pushp, and it belongs to the long tail of Kapoor's lead career, when his films were financed by companies that made one picture and vanished. This row is built from the film's credits alone.</t>
        </is>
      </c>
      <c r="T247" s="5" t="inlineStr">
        <is>
          <t>SOURCE-087</t>
        </is>
      </c>
      <c r="U247" s="5" t="inlineStr">
        <is>
          <t>Low</t>
        </is>
      </c>
    </row>
    <row r="248" ht="169" customHeight="1">
      <c r="A248" s="15" t="inlineStr">
        <is>
          <t>PERSON-247</t>
        </is>
      </c>
      <c r="B248" s="5" t="inlineStr">
        <is>
          <t>Guddu Dhanoa</t>
        </is>
      </c>
      <c r="C248" s="5" t="inlineStr">
        <is>
          <t>Producer</t>
        </is>
      </c>
      <c r="D248" s="18" t="n"/>
      <c r="E248" s="18" t="n"/>
      <c r="F248" s="5" t="inlineStr">
        <is>
          <t>1992–present</t>
        </is>
      </c>
      <c r="G248" s="5" t="inlineStr">
        <is>
          <t>Hindi cinema</t>
        </is>
      </c>
      <c r="H248" s="5" t="inlineStr">
        <is>
          <t>Guddu Dhanoa is an Indian writer, producer and director of Hindi films, known for the action pictures Ziddi with Sunny Deol and Bichhoo with Bobby Deol. He is a cousin of Dharmendra and so related to the Deol family. His article records that he began as a producer for Shah Rukh Khan, who starred in Dhanoa's 1992 film Deewana.</t>
        </is>
      </c>
      <c r="I248" s="5" t="inlineStr">
        <is>
          <t>Producing from 1992 with Deewana; later directed action films.</t>
        </is>
      </c>
      <c r="J248" s="5" t="inlineStr">
        <is>
          <t>With Kapoor: Deewana (1992). Elsewhere, Ziddi, Bichhoo and Jaani Dushman.</t>
        </is>
      </c>
      <c r="K248" s="19" t="inlineStr">
        <is>
          <t>The action melodrama built around a Deol.</t>
        </is>
      </c>
      <c r="L248" s="19" t="inlineStr">
        <is>
          <t>A commercial producer-director working largely within his extended family's star network.</t>
        </is>
      </c>
      <c r="M248" s="5" t="n"/>
      <c r="N248" s="19" t="inlineStr">
        <is>
          <t>The producer of Deewana, the film that introduced Shah Rukh Khan.</t>
        </is>
      </c>
      <c r="O248" s="19" t="inlineStr">
        <is>
          <t>One film, and the pivotal one of the later career: he produced Deewana (1992), in which Kapoor plays the singer presumed dead and the debuting Shah Rukh Khan the younger man his widow marries. His own article frames the film as the start of Khan's career — 'he started as a producer for Shahrukh Khan who starred in Dhanoa's 1992 film Deewana' — which is precisely how the film is remembered, and precisely why it marks the end of Kapoor's run as a romantic lead.</t>
        </is>
      </c>
      <c r="P248" s="17" t="n">
        <v>1</v>
      </c>
      <c r="Q248" s="5" t="inlineStr">
        <is>
          <t>FILM-087</t>
        </is>
      </c>
      <c r="R248" s="5" t="inlineStr">
        <is>
          <t>Deewana (1992)</t>
        </is>
      </c>
      <c r="S248" s="5" t="inlineStr">
        <is>
          <t>Guddu Dhanoa produced the single most consequential film of Rishi Kapoor's later career, and his own article describes it from the other side. A cousin of Dharmendra who worked largely within the Deol family's orbit and later directed the action pictures Ziddi and Bichhoo, Dhanoa produced Deewana in 1992: Kapoor plays Ravi, a wealthy singer believed killed, and Shah Rukh Khan, in his film debut, the man his widow marries. Dhanoa's article records the film as the start of Khan's career. For Kapoor it was the end of something — the moment, performed on screen, at which the Hindi romantic lead passed to the next generation. The film was a hit, and he never carried another romance of that scale.</t>
        </is>
      </c>
      <c r="T248" s="5" t="inlineStr">
        <is>
          <t>SOURCE-294</t>
        </is>
      </c>
      <c r="U248" s="5" t="inlineStr">
        <is>
          <t>High</t>
        </is>
      </c>
    </row>
    <row r="249" ht="124" customHeight="1">
      <c r="A249" s="15" t="inlineStr">
        <is>
          <t>PERSON-248</t>
        </is>
      </c>
      <c r="B249" s="5" t="inlineStr">
        <is>
          <t>Gulab Singh Tanwar</t>
        </is>
      </c>
      <c r="C249" s="5" t="inlineStr">
        <is>
          <t>Producer</t>
        </is>
      </c>
      <c r="D249" s="17" t="n">
        <v>1964</v>
      </c>
      <c r="E249" s="18" t="n"/>
      <c r="F249" s="5" t="inlineStr">
        <is>
          <t>1999–present</t>
        </is>
      </c>
      <c r="G249" s="5" t="inlineStr">
        <is>
          <t>Hindi cinema</t>
        </is>
      </c>
      <c r="H249" s="5" t="inlineStr">
        <is>
          <t>Gulab Singh Tanwar, also known as Captain Gulab Singh (born 1964), is an Indian film producer and business figure who was formerly a pilot with Indian Airlines. His productions include Parched, Te3n and Rajma Chawal, and his article names 72 Hoorain among the films he is known for.</t>
        </is>
      </c>
      <c r="I249" s="5" t="inlineStr">
        <is>
          <t>Producing from 1999.</t>
        </is>
      </c>
      <c r="J249" s="5" t="inlineStr">
        <is>
          <t>With Kapoor: Rajma Chawal (2018). Elsewhere, Parched and Te3n.</t>
        </is>
      </c>
      <c r="K249" s="19" t="inlineStr">
        <is>
          <t>Small and mid-budget films, including festival-facing work such as Parched.</t>
        </is>
      </c>
      <c r="L249" s="19" t="inlineStr">
        <is>
          <t>A producer from outside the industry backing directors with independent sensibilities.</t>
        </is>
      </c>
      <c r="M249" s="5" t="n"/>
      <c r="N249" s="19" t="inlineStr">
        <is>
          <t>Not substantially documented, though his slate includes internationally screened independent films.</t>
        </is>
      </c>
      <c r="O249" s="19" t="inlineStr">
        <is>
          <t>One film: Leena Yadav's Rajma Chawal (2018), in which Kapoor plays a widowed father in old Delhi who creates a fake online profile to reach his estranged son. Tanwar had earlier produced Yadav's Parched, which premiered at the Toronto International Film Festival, so the pairing brought Kapoor into a genuinely independent production.</t>
        </is>
      </c>
      <c r="P249" s="17" t="n">
        <v>1</v>
      </c>
      <c r="Q249" s="5" t="inlineStr">
        <is>
          <t>FILM-157</t>
        </is>
      </c>
      <c r="R249" s="5" t="inlineStr">
        <is>
          <t>Rajma Chawal (2018)</t>
        </is>
      </c>
      <c r="S249" s="5" t="inlineStr">
        <is>
          <t>Gulab Singh Tanwar produced one of Rishi Kapoor's last and quietest performances. A former Indian Airlines pilot turned producer, Tanwar backed Leena Yadav's Parched, which premiered at Toronto, and then her Rajma Chawal in 2018 — a Netflix release in which Kapoor plays a widower in the old city of Delhi who, unable to speak to his son, poses online as a young woman to reach him. It is a small, melancholy part, of a kind unavailable to him in his leading years, and it belongs with Do Dooni Chaar and Sharmaji Namkeen among the late films that found something ordinary in him. He died two years later.</t>
        </is>
      </c>
      <c r="T249" s="5" t="inlineStr">
        <is>
          <t>SOURCE-295</t>
        </is>
      </c>
      <c r="U249" s="5" t="inlineStr">
        <is>
          <t>Medium</t>
        </is>
      </c>
    </row>
    <row r="250" ht="79" customHeight="1">
      <c r="A250" s="15" t="inlineStr">
        <is>
          <t>PERSON-249</t>
        </is>
      </c>
      <c r="B250" s="5" t="inlineStr">
        <is>
          <t>H. S. Bhattacharya</t>
        </is>
      </c>
      <c r="C250" s="5" t="inlineStr">
        <is>
          <t>Producer</t>
        </is>
      </c>
      <c r="D250" s="18" t="n"/>
      <c r="E250" s="18" t="n"/>
      <c r="F250" s="5" t="n"/>
      <c r="G250" s="5" t="inlineStr">
        <is>
          <t>Hindi cinema</t>
        </is>
      </c>
      <c r="H250" s="5" t="inlineStr">
        <is>
          <t>A producer credited on one film in this filmography, with no Wikipedia article of his own.</t>
        </is>
      </c>
      <c r="I250" s="5" t="n"/>
      <c r="J250" s="5" t="inlineStr">
        <is>
          <t>With Kapoor: Barood (1976).</t>
        </is>
      </c>
      <c r="K250" s="19" t="inlineStr">
        <is>
          <t>Not documented.</t>
        </is>
      </c>
      <c r="L250" s="19" t="inlineStr">
        <is>
          <t>Not documented.</t>
        </is>
      </c>
      <c r="M250" s="5" t="n"/>
      <c r="N250" s="19" t="inlineStr">
        <is>
          <t>Not independently documented.</t>
        </is>
      </c>
      <c r="O250" s="19" t="inlineStr">
        <is>
          <t>One film: Barood (1976), one of the run of films Kapoor made in the three years after Bobby, with a story by Sachin Bhowmick and lyrics by Anand Bakshi.</t>
        </is>
      </c>
      <c r="P250" s="17" t="n">
        <v>1</v>
      </c>
      <c r="Q250" s="5" t="inlineStr">
        <is>
          <t>FILM-010</t>
        </is>
      </c>
      <c r="R250" s="5" t="inlineStr">
        <is>
          <t>Barood (1976)</t>
        </is>
      </c>
      <c r="S250" s="5" t="inlineStr">
        <is>
          <t>H. S. Bhattacharya is credited as a producer on Barood (1976) and has no documented biography. The film belongs to the rush of work that followed Bobby, when Kapoor at twenty-three was the most saleable young lover in Hindi cinema and producers financed almost anything he would appear in; Sachin Bhowmick supplied the story, as he did for several of the early successes, and Anand Bakshi the lyrics. This row is built from the film's credits alone.</t>
        </is>
      </c>
      <c r="T250" s="5" t="inlineStr">
        <is>
          <t>SOURCE-014</t>
        </is>
      </c>
      <c r="U250" s="5" t="inlineStr">
        <is>
          <t>Low</t>
        </is>
      </c>
    </row>
    <row r="251" ht="94" customHeight="1">
      <c r="A251" s="15" t="inlineStr">
        <is>
          <t>PERSON-250</t>
        </is>
      </c>
      <c r="B251" s="5" t="inlineStr">
        <is>
          <t>HP Studios</t>
        </is>
      </c>
      <c r="C251" s="5" t="inlineStr">
        <is>
          <t>Production banner</t>
        </is>
      </c>
      <c r="D251" s="18" t="n"/>
      <c r="E251" s="18" t="n"/>
      <c r="F251" s="5" t="n"/>
      <c r="G251" s="5" t="inlineStr">
        <is>
          <t>Hindi cinema</t>
        </is>
      </c>
      <c r="H251" s="5" t="inlineStr">
        <is>
          <t>A production banner credited on one film in this filmography, with no Wikipedia article of its own.</t>
        </is>
      </c>
      <c r="I251" s="5" t="n"/>
      <c r="J251" s="5" t="inlineStr">
        <is>
          <t>With Kapoor: Manto (2018).</t>
        </is>
      </c>
      <c r="K251" s="19" t="inlineStr">
        <is>
          <t>Not documented.</t>
        </is>
      </c>
      <c r="L251" s="19" t="inlineStr">
        <is>
          <t>Not documented.</t>
        </is>
      </c>
      <c r="M251" s="5" t="n"/>
      <c r="N251" s="19" t="inlineStr">
        <is>
          <t>Not independently documented.</t>
        </is>
      </c>
      <c r="O251" s="19" t="inlineStr">
        <is>
          <t>One credit, on Nandita Das's Manto (2018), the biographical film about the Urdu writer Saadat Hasan Manto in which Kapoor has a small role. Four banners and six producers are credited on it, of which this is among the least documented.</t>
        </is>
      </c>
      <c r="P251" s="17" t="n">
        <v>1</v>
      </c>
      <c r="Q251" s="5" t="inlineStr">
        <is>
          <t>FILM-156</t>
        </is>
      </c>
      <c r="R251" s="5" t="inlineStr">
        <is>
          <t>Manto (2018)</t>
        </is>
      </c>
      <c r="S251" s="5" t="inlineStr">
        <is>
          <t>HP Studios is one of four banners credited on Manto (2018) and has no recorded history. The film follows the Urdu short-story writer Saadat Hasan Manto through obscenity trials in Bombay and his migration to Pakistan, and Kapoor appears briefly in it — one of the small parts he took in his last years in productions with no commercial expectations of him. Its financing was spread across six producers and four companies, a structure characteristic of festival-facing Indian cinema of the period. This row is built from the film's credits alone.</t>
        </is>
      </c>
      <c r="T251" s="5" t="inlineStr">
        <is>
          <t>SOURCE-147</t>
        </is>
      </c>
      <c r="U251" s="5" t="inlineStr">
        <is>
          <t>Low</t>
        </is>
      </c>
    </row>
    <row r="252" ht="109" customHeight="1">
      <c r="A252" s="15" t="inlineStr">
        <is>
          <t>PERSON-251</t>
        </is>
      </c>
      <c r="B252" s="5" t="inlineStr">
        <is>
          <t>Hari Om Entertainment</t>
        </is>
      </c>
      <c r="C252" s="5" t="inlineStr">
        <is>
          <t>Production banner</t>
        </is>
      </c>
      <c r="D252" s="18" t="n"/>
      <c r="E252" s="18" t="n"/>
      <c r="F252" s="5" t="n"/>
      <c r="G252" s="5" t="inlineStr">
        <is>
          <t>Hindi cinema</t>
        </is>
      </c>
      <c r="H252" s="5" t="inlineStr">
        <is>
          <t>A production banner credited on one film in this filmography, with no Wikipedia article of its own; the name redirects to a differently named company, so no history can be attributed to it with confidence here.</t>
        </is>
      </c>
      <c r="I252" s="5" t="n"/>
      <c r="J252" s="5" t="inlineStr">
        <is>
          <t>With Kapoor: Patiala House (2011).</t>
        </is>
      </c>
      <c r="K252" s="19" t="inlineStr">
        <is>
          <t>Not documented.</t>
        </is>
      </c>
      <c r="L252" s="19" t="inlineStr">
        <is>
          <t>Not documented.</t>
        </is>
      </c>
      <c r="M252" s="5" t="n"/>
      <c r="N252" s="19" t="inlineStr">
        <is>
          <t>Not independently documented.</t>
        </is>
      </c>
      <c r="O252" s="19" t="inlineStr">
        <is>
          <t>One credit, on Nikkhil Advani's Patiala House (2011), in which Kapoor plays the Southall patriarch whose bitterness after a racist attack leads him to forbid his son's cricket career — one of the stronger roles of his late period, and his fourth film opposite Dimple Kapadia.</t>
        </is>
      </c>
      <c r="P252" s="17" t="n">
        <v>1</v>
      </c>
      <c r="Q252" s="5" t="inlineStr">
        <is>
          <t>FILM-135</t>
        </is>
      </c>
      <c r="R252" s="5" t="inlineStr">
        <is>
          <t>Patiala House (2011)</t>
        </is>
      </c>
      <c r="S252" s="5" t="inlineStr">
        <is>
          <t>Hari Om Entertainment is one of three banners on Patiala House (2011) and has no verifiable history — its name redirects on Wikipedia to a company of another name, which this workbook declines to treat as the same entity. The film itself is among the better of Kapoor's late roles: Gurtej Singh Kahlon, a London Punjabi whose experience of racist violence has hardened into control over his son's life, played opposite Dimple Kapadia as his wife, the fourth of their four films together after Bobby, Saagar and Pyaar Mein Twist. This row is built from the film's credits alone.</t>
        </is>
      </c>
      <c r="T252" s="5" t="inlineStr">
        <is>
          <t>SOURCE-127</t>
        </is>
      </c>
      <c r="U252" s="5" t="inlineStr">
        <is>
          <t>Low</t>
        </is>
      </c>
    </row>
    <row r="253" ht="169" customHeight="1">
      <c r="A253" s="15" t="inlineStr">
        <is>
          <t>PERSON-252</t>
        </is>
      </c>
      <c r="B253" s="5" t="inlineStr">
        <is>
          <t>Hasina Moin</t>
        </is>
      </c>
      <c r="C253" s="5" t="inlineStr">
        <is>
          <t>Writer</t>
        </is>
      </c>
      <c r="D253" s="17" t="n">
        <v>1941</v>
      </c>
      <c r="E253" s="17" t="n">
        <v>2021</v>
      </c>
      <c r="F253" s="5" t="inlineStr">
        <is>
          <t>1970–2021</t>
        </is>
      </c>
      <c r="G253" s="5" t="inlineStr">
        <is>
          <t>Pakistani television and theatre; Hindi cinema</t>
        </is>
      </c>
      <c r="H253" s="5" t="inlineStr">
        <is>
          <t>Haseena Moin (20 November 1941 – 26 March 2021) was a Pakistani dramatist, playwright and scriptwriter who wrote for stage, radio and television, including Pakistan Television's first original script, Kiran Kahani, in the early 1970s. She received the Pride of Performance award from the President of Pakistan in 1987 and worked as a school principal and educationist. Her article records that Raj Kapoor asked her to write the dialogue for his project Henna.</t>
        </is>
      </c>
      <c r="I253" s="5" t="inlineStr">
        <is>
          <t>Writing for Pakistani radio and television from 1970; Kiran Kahani was PTV's first original script.</t>
        </is>
      </c>
      <c r="J253" s="5" t="inlineStr">
        <is>
          <t>With Kapoor: Henna (1991). Elsewhere, a large body of Pakistani television drama.</t>
        </is>
      </c>
      <c r="K253" s="19" t="inlineStr">
        <is>
          <t>Women's lives in middle-class Pakistani settings, written with unusual wit and independence.</t>
        </is>
      </c>
      <c r="L253" s="19" t="inlineStr">
        <is>
          <t>A television dramatist whose dialogue was prized for its naturalism and humour, and whose heroines were notably self-possessed.</t>
        </is>
      </c>
      <c r="M253" s="5" t="inlineStr">
        <is>
          <t>Pride of Performance, awarded by the President of Pakistan in 1987.</t>
        </is>
      </c>
      <c r="N253" s="19" t="inlineStr">
        <is>
          <t>One of the most important Pakistani television writers of her generation, and the author of PTV's first original script.</t>
        </is>
      </c>
      <c r="O253" s="19" t="inlineStr">
        <is>
          <t>One film, and a notable piece of film history: Henna (1991), the cross-border romance in which Kapoor's Indian engineer loses his memory and is sheltered by a Pakistani village girl. Her article records that Raj Kapoor wanted her to write the dialogue for the project, and the choice of a Pakistani dramatist for a film about the border is the clearest statement of what he intended by it. Raj Kapoor died before completing the film; his son Randhir finished it.</t>
        </is>
      </c>
      <c r="P253" s="17" t="n">
        <v>1</v>
      </c>
      <c r="Q253" s="5" t="inlineStr">
        <is>
          <t>FILM-081</t>
        </is>
      </c>
      <c r="R253" s="5" t="inlineStr">
        <is>
          <t>Henna (1991)</t>
        </is>
      </c>
      <c r="S253" s="5" t="inlineStr">
        <is>
          <t>Haseena Moin wrote dialogue for Henna, the last project Raj Kapoor conceived and the most politically pointed film in this filmography. A Pakistani dramatist who wrote PTV's first original script and became the most admired television writer of her generation there, honoured with the Pride of Performance in 1987, she was approached by Raj Kapoor — her article records that he wanted her for the dialogue of his dream project. Henna casts Rishi Kapoor as an Indian who loses his memory across the border and is cared for by a Pakistani woman, and hiring a Pakistani writer to voice that half of the film was a deliberate act. Raj Kapoor died in 1988 before shooting was complete; Randhir Kapoor finished it and released it in 1991. Moin died in Karachi in 2021.</t>
        </is>
      </c>
      <c r="T253" s="5" t="inlineStr">
        <is>
          <t>SOURCE-296</t>
        </is>
      </c>
      <c r="U253" s="5" t="inlineStr">
        <is>
          <t>High</t>
        </is>
      </c>
    </row>
    <row r="254" ht="169" customHeight="1">
      <c r="A254" s="15" t="inlineStr">
        <is>
          <t>PERSON-253</t>
        </is>
      </c>
      <c r="B254" s="5" t="inlineStr">
        <is>
          <t>Hema Malini</t>
        </is>
      </c>
      <c r="C254" s="5" t="inlineStr">
        <is>
          <t>Director; Producer; Writer</t>
        </is>
      </c>
      <c r="D254" s="17" t="n">
        <v>1948</v>
      </c>
      <c r="E254" s="18" t="n"/>
      <c r="F254" s="5" t="inlineStr">
        <is>
          <t>1963–present</t>
        </is>
      </c>
      <c r="G254" s="5" t="inlineStr">
        <is>
          <t>Hindi cinema; Indian politics</t>
        </is>
      </c>
      <c r="H254" s="5" t="inlineStr">
        <is>
          <t>Hema Malini (born 16 October 1948) is an Indian actress, director, producer and politician. One of the most successful leading actresses of Hindi cinema in the 1970s, she won the Filmfare Award for Best Actress and later the Filmfare Lifetime Achievement Award in 2000 and a Filmfare Special Award in 2019 for fifty years in cinema. She received the Padma Shri in 2000, served in the Rajya Sabha from 2003 to 2009 and from 2011 to 2012, and has been the Bharatiya Janata Party member of the Lok Sabha for Mathura since 2014.</t>
        </is>
      </c>
      <c r="I254" s="5" t="inlineStr">
        <is>
          <t>Acting from 1963; directing from the 1990s.</t>
        </is>
      </c>
      <c r="J254" s="5" t="inlineStr">
        <is>
          <t>With Kapoor: Tell Me O Kkhuda (2011), which she directed, produced and co-wrote. Elsewhere, as an actress, Sholay, Seeta Aur Geeta and Dream Girl.</t>
        </is>
      </c>
      <c r="K254" s="19" t="inlineStr">
        <is>
          <t>As a director, family melodrama and the search for identity; as an actress, the self-possessed heroine of the 1970s.</t>
        </is>
      </c>
      <c r="L254" s="19" t="inlineStr">
        <is>
          <t>A star-director whose films are built around family relationships and, latterly, her own daughter's casting.</t>
        </is>
      </c>
      <c r="M254" s="5" t="inlineStr">
        <is>
          <t>Filmfare Award for Best Actress; Filmfare Lifetime Achievement Award (2000); Filmfare Special Award (2019); Padma Shri (2000).</t>
        </is>
      </c>
      <c r="N254" s="19" t="inlineStr">
        <is>
          <t>One of the defining female stars of 1970s Hindi cinema and, since 2014, a sitting member of parliament.</t>
        </is>
      </c>
      <c r="O254" s="19" t="inlineStr">
        <is>
          <t>One film: Tell Me O Kkhuda (2011), which she wrote, produced and directed, starring her daughter Esha Deol, with Kapoor among a cast of veteran actors in supporting parts. Their careers had run in parallel for forty years without intersecting — she was the leading female star of the decade in which he became a leading man — and this late, little-seen film is their only joint credit in this filmography.</t>
        </is>
      </c>
      <c r="P254" s="17" t="n">
        <v>1</v>
      </c>
      <c r="Q254" s="5" t="inlineStr">
        <is>
          <t>FILM-136</t>
        </is>
      </c>
      <c r="R254" s="5" t="inlineStr">
        <is>
          <t>Tell Me O Kkhuda (2011)</t>
        </is>
      </c>
      <c r="S254" s="5" t="inlineStr">
        <is>
          <t>Hema Malini directed the only film she and Rishi Kapoor made together, four decades after they became stars in the same industry. The dominant female lead of 1970s Hindi cinema — Sholay, Seeta Aur Geeta, Dream Girl — and later a Padma Shri recipient, Rajya Sabha member and, since 2014, the BJP's member of parliament for Mathura, she turned to directing in her later career. Tell Me O Kkhuda (2011) was her third film as director: a search-for-identity drama she also wrote and produced, built around her daughter Esha Deol, with Kapoor and several contemporaries in support. It failed commercially and is among the least discussed entries in this filmography, which makes the absence of any earlier collaboration between two of the decade's biggest stars the more striking fact.</t>
        </is>
      </c>
      <c r="T254" s="5" t="inlineStr">
        <is>
          <t>SOURCE-297</t>
        </is>
      </c>
      <c r="U254" s="5" t="inlineStr">
        <is>
          <t>High</t>
        </is>
      </c>
    </row>
    <row r="255" ht="124" customHeight="1">
      <c r="A255" s="15" t="inlineStr">
        <is>
          <t>PERSON-254</t>
        </is>
      </c>
      <c r="B255" s="5" t="inlineStr">
        <is>
          <t>Hema Malini Creations</t>
        </is>
      </c>
      <c r="C255" s="5" t="inlineStr">
        <is>
          <t>Production banner</t>
        </is>
      </c>
      <c r="D255" s="18" t="n"/>
      <c r="E255" s="18" t="n"/>
      <c r="F255" s="5" t="n"/>
      <c r="G255" s="5" t="inlineStr">
        <is>
          <t>Hindi cinema</t>
        </is>
      </c>
      <c r="H255" s="5" t="inlineStr">
        <is>
          <t>The production banner of the actress and filmmaker Hema Malini, credited on Tell Me O Kkhuda (2011). The company has no Wikipedia article of its own; her article is cited on her own row in this sheet.</t>
        </is>
      </c>
      <c r="I255" s="5" t="n"/>
      <c r="J255" s="5" t="inlineStr">
        <is>
          <t>With Kapoor: Tell Me O Kkhuda (2011).</t>
        </is>
      </c>
      <c r="K255" s="19" t="inlineStr">
        <is>
          <t>Family drama and the search for identity.</t>
        </is>
      </c>
      <c r="L255" s="19" t="inlineStr">
        <is>
          <t>A star's own banner, used for the films she directed.</t>
        </is>
      </c>
      <c r="M255" s="5" t="n"/>
      <c r="N255" s="19" t="inlineStr">
        <is>
          <t>Not independently documented.</t>
        </is>
      </c>
      <c r="O255" s="19" t="inlineStr">
        <is>
          <t>One credit, on Tell Me O Kkhuda (2011), which Hema Malini wrote, produced and directed and in which her daughter Esha Deol starred, with Kapoor among a cast of veterans in support. It is the only joint credit in this filmography between Kapoor and the leading female star of the decade in which he became a lead.</t>
        </is>
      </c>
      <c r="P255" s="17" t="n">
        <v>1</v>
      </c>
      <c r="Q255" s="5" t="inlineStr">
        <is>
          <t>FILM-136</t>
        </is>
      </c>
      <c r="R255" s="5" t="inlineStr">
        <is>
          <t>Tell Me O Kkhuda (2011)</t>
        </is>
      </c>
      <c r="S255" s="5" t="inlineStr">
        <is>
          <t>Hema Malini Creations is the banner behind Tell Me O Kkhuda (2011) and has no history of its own beyond its proprietor's. The film was Hema Malini's third as director — she also wrote and produced it — and was built around her daughter Esha Deol, with Rishi Kapoor and several of his contemporaries in supporting parts. Its chief interest for this filmography is the absence it exposes: Hema Malini was the dominant female star of the 1970s, exactly the decade in which Kapoor became a leading man, and this late, little-seen film is the only credit they share. This row is built from the film's credits alone.</t>
        </is>
      </c>
      <c r="T255" s="5" t="inlineStr">
        <is>
          <t>SOURCE-128</t>
        </is>
      </c>
      <c r="U255" s="5" t="inlineStr">
        <is>
          <t>Low</t>
        </is>
      </c>
    </row>
    <row r="256" ht="94" customHeight="1">
      <c r="A256" s="15" t="inlineStr">
        <is>
          <t>PERSON-255</t>
        </is>
      </c>
      <c r="B256" s="5" t="inlineStr">
        <is>
          <t>Himanshu Mehra</t>
        </is>
      </c>
      <c r="C256" s="5" t="inlineStr">
        <is>
          <t>Producer</t>
        </is>
      </c>
      <c r="D256" s="18" t="n"/>
      <c r="E256" s="18" t="n"/>
      <c r="F256" s="5" t="n"/>
      <c r="G256" s="5" t="inlineStr">
        <is>
          <t>Hindi cinema</t>
        </is>
      </c>
      <c r="H256" s="5" t="inlineStr">
        <is>
          <t>A producer credited on one film in this filmography, with no Wikipedia article of his own.</t>
        </is>
      </c>
      <c r="I256" s="5" t="n"/>
      <c r="J256" s="5" t="inlineStr">
        <is>
          <t>With Kapoor: Besharam (2013).</t>
        </is>
      </c>
      <c r="K256" s="19" t="inlineStr">
        <is>
          <t>Not documented.</t>
        </is>
      </c>
      <c r="L256" s="19" t="inlineStr">
        <is>
          <t>Not documented.</t>
        </is>
      </c>
      <c r="M256" s="5" t="n"/>
      <c r="N256" s="19" t="inlineStr">
        <is>
          <t>Not independently documented.</t>
        </is>
      </c>
      <c r="O256" s="19" t="inlineStr">
        <is>
          <t>One film: Besharam (2013), Abhinav Kashyap's comedy and the only film in which Rishi Kapoor, his wife Neetu Singh and their son Ranbir Kapoor all appear — the parents as police officers, the son as the title character. It failed commercially.</t>
        </is>
      </c>
      <c r="P256" s="17" t="n">
        <v>1</v>
      </c>
      <c r="Q256" s="5" t="inlineStr">
        <is>
          <t>FILM-145</t>
        </is>
      </c>
      <c r="R256" s="5" t="inlineStr">
        <is>
          <t>Besharam (2013)</t>
        </is>
      </c>
      <c r="S256" s="5" t="inlineStr">
        <is>
          <t>Himanshu Mehra produced Besharam (2013) and has no documented biography. The film is a family document more than a work: Abhinav Kashyap's follow-up to Dabangg cast Ranbir Kapoor as a cheerful car thief and both his parents — Rishi Kapoor and Neetu Singh, who had been paired as romantic leads in a dozen films of the 1970s — as the police officers pursuing him. It is the only film in which all three appear, and it was a critical and commercial failure. This row is built from the film's credits alone.</t>
        </is>
      </c>
      <c r="T256" s="5" t="inlineStr">
        <is>
          <t>SOURCE-137</t>
        </is>
      </c>
      <c r="U256" s="5" t="inlineStr">
        <is>
          <t>Low</t>
        </is>
      </c>
    </row>
    <row r="257" ht="169" customHeight="1">
      <c r="A257" s="15" t="inlineStr">
        <is>
          <t>PERSON-256</t>
        </is>
      </c>
      <c r="B257" s="5" t="inlineStr">
        <is>
          <t>Hitesh Bhatia</t>
        </is>
      </c>
      <c r="C257" s="5" t="inlineStr">
        <is>
          <t>Director; Writer</t>
        </is>
      </c>
      <c r="D257" s="18" t="n"/>
      <c r="E257" s="18" t="n"/>
      <c r="F257" s="5" t="n"/>
      <c r="G257" s="5" t="inlineStr">
        <is>
          <t>Hindi cinema</t>
        </is>
      </c>
      <c r="H257" s="5" t="inlineStr">
        <is>
          <t>An Indian director and writer credited on one film in this filmography, with no Wikipedia article of his own.</t>
        </is>
      </c>
      <c r="I257" s="5" t="n"/>
      <c r="J257" s="5" t="inlineStr">
        <is>
          <t>With Kapoor: Sharmaji Namkeen (2022).</t>
        </is>
      </c>
      <c r="K257" s="19" t="inlineStr">
        <is>
          <t>The retired man's second life; gentle domestic comedy.</t>
        </is>
      </c>
      <c r="L257" s="19" t="inlineStr">
        <is>
          <t>Not documented.</t>
        </is>
      </c>
      <c r="M257" s="5" t="n"/>
      <c r="N257" s="19" t="inlineStr">
        <is>
          <t>Not independently documented.</t>
        </is>
      </c>
      <c r="O257" s="19" t="inlineStr">
        <is>
          <t>One film, and it is the last in this filmography: Sharmaji Namkeen (2022), which Bhatia wrote and directed. Kapoor plays a newly retired man who discovers a talent for cooking and joins a women's kitchen-party circuit; he had shot roughly half of it when he died in April 2020, and Excel Entertainment completed the film by having Paresh Rawal perform the remaining scenes as the same character — an arrangement without real precedent in Hindi cinema.</t>
        </is>
      </c>
      <c r="P257" s="17" t="n">
        <v>1</v>
      </c>
      <c r="Q257" s="5" t="inlineStr">
        <is>
          <t>FILM-160</t>
        </is>
      </c>
      <c r="R257" s="5" t="inlineStr">
        <is>
          <t>Sharmaji Namkeen (2022)</t>
        </is>
      </c>
      <c r="S257" s="5" t="inlineStr">
        <is>
          <t>Hitesh Bhatia wrote and directed Rishi Kapoor's last film, and almost nothing about him is documented. Sharmaji Namkeen (2022) is a small, warm comedy about a man forced into retirement who finds purpose cooking for other people's parties — the kind of ordinary, unglamorous part that only became available to Kapoor after Do Dooni Chaar. He died in April 2020 with the film half shot, and rather than recast or abandon it, the producers had Paresh Rawal play the remaining scenes as the same man, so that two actors alternate in the role. The film was released posthumously in 2022 and closes this filmography. This row is built from the film's credits alone.</t>
        </is>
      </c>
      <c r="T257" s="5" t="inlineStr">
        <is>
          <t>SOURCE-152</t>
        </is>
      </c>
      <c r="U257" s="5" t="inlineStr">
        <is>
          <t>Low</t>
        </is>
      </c>
    </row>
    <row r="258" ht="94" customHeight="1">
      <c r="A258" s="15" t="inlineStr">
        <is>
          <t>PERSON-257</t>
        </is>
      </c>
      <c r="B258" s="5" t="inlineStr">
        <is>
          <t>Honey Trehan</t>
        </is>
      </c>
      <c r="C258" s="5" t="inlineStr">
        <is>
          <t>Producer</t>
        </is>
      </c>
      <c r="D258" s="18" t="n"/>
      <c r="E258" s="18" t="n"/>
      <c r="F258" s="5" t="n"/>
      <c r="G258" s="5" t="inlineStr">
        <is>
          <t>Hindi cinema</t>
        </is>
      </c>
      <c r="H258" s="5" t="inlineStr">
        <is>
          <t>A producer credited on one film in this filmography, with no Wikipedia article of his own.</t>
        </is>
      </c>
      <c r="I258" s="5" t="n"/>
      <c r="J258" s="5" t="inlineStr">
        <is>
          <t>With Kapoor: Sharmaji Namkeen (2022).</t>
        </is>
      </c>
      <c r="K258" s="19" t="inlineStr">
        <is>
          <t>Not documented.</t>
        </is>
      </c>
      <c r="L258" s="19" t="inlineStr">
        <is>
          <t>Not documented.</t>
        </is>
      </c>
      <c r="M258" s="5" t="n"/>
      <c r="N258" s="19" t="inlineStr">
        <is>
          <t>Not independently documented.</t>
        </is>
      </c>
      <c r="O258" s="19" t="inlineStr">
        <is>
          <t>One film: Sharmaji Namkeen (2022), Kapoor's last, which he was shooting when he died in April 2020 and which was completed with Paresh Rawal playing the remaining scenes as the same character.</t>
        </is>
      </c>
      <c r="P258" s="17" t="n">
        <v>1</v>
      </c>
      <c r="Q258" s="5" t="inlineStr">
        <is>
          <t>FILM-160</t>
        </is>
      </c>
      <c r="R258" s="5" t="inlineStr">
        <is>
          <t>Sharmaji Namkeen (2022)</t>
        </is>
      </c>
      <c r="S258" s="5" t="inlineStr">
        <is>
          <t>Honey Trehan is credited as a producer on Sharmaji Namkeen (2022) and has no documented biography. The film is the last entry in this filmography and the only one in which Kapoor's performance is incomplete: he had shot about half of Hitesh Bhatia's comedy about a retired man who takes up cooking when he died in April 2020, and the producers chose to finish it with Paresh Rawal in the remaining scenes rather than abandon it. Kapoor had acted opposite Rawal five years earlier in Patel Ki Punjabi Shaadi. This row is built from the film's credits alone.</t>
        </is>
      </c>
      <c r="T258" s="5" t="inlineStr">
        <is>
          <t>SOURCE-152</t>
        </is>
      </c>
      <c r="U258" s="5" t="inlineStr">
        <is>
          <t>Low</t>
        </is>
      </c>
    </row>
    <row r="259" ht="154" customHeight="1">
      <c r="A259" s="15" t="inlineStr">
        <is>
          <t>PERSON-258</t>
        </is>
      </c>
      <c r="B259" s="5" t="inlineStr">
        <is>
          <t>Hriday Shetty</t>
        </is>
      </c>
      <c r="C259" s="5" t="inlineStr">
        <is>
          <t>Director</t>
        </is>
      </c>
      <c r="D259" s="18" t="n"/>
      <c r="E259" s="18" t="n"/>
      <c r="F259" s="5" t="inlineStr">
        <is>
          <t>1992–present</t>
        </is>
      </c>
      <c r="G259" s="5" t="inlineStr">
        <is>
          <t>Hindi cinema</t>
        </is>
      </c>
      <c r="H259" s="5" t="inlineStr">
        <is>
          <t>Hriday Shetty is an Indian film director, the son of the stuntman and actor M. B. Shetty and the half-brother of the director and producer Rohit Shetty. His films include Chaalis Chauraasi, Godfather: The Legend Continues, Pyaar Mein Twist, Daag – Shades of Love and Plan.</t>
        </is>
      </c>
      <c r="I259" s="5" t="inlineStr">
        <is>
          <t>Directing from the 1990s.</t>
        </is>
      </c>
      <c r="J259" s="5" t="inlineStr">
        <is>
          <t>With Kapoor: Pyaar Mein Twist (2005). Elsewhere, Plan and Chaalis Chauraasi.</t>
        </is>
      </c>
      <c r="K259" s="19" t="inlineStr">
        <is>
          <t>Crime comedy and the ensemble caper; occasionally the late-life romance.</t>
        </is>
      </c>
      <c r="L259" s="19" t="inlineStr">
        <is>
          <t>A commercial director working in modest budgets across genres.</t>
        </is>
      </c>
      <c r="M259" s="5" t="n"/>
      <c r="N259" s="19" t="inlineStr">
        <is>
          <t>Not substantially documented, though his family is central to contemporary Hindi action cinema through his half-brother Rohit Shetty.</t>
        </is>
      </c>
      <c r="O259" s="19" t="inlineStr">
        <is>
          <t>One film, and it is one of the most interesting in the whole filmography: Pyaar Mein Twist (2005), which Kapoor himself produced, casts him and Dimple Kapadia — his co-star from Bobby thirty-two years earlier — as a widower and widow whose late romance is opposed by their adult children. It is Bobby's structure with the generations reversed: the lovers are old, and the obstacle is filial rather than parental.</t>
        </is>
      </c>
      <c r="P259" s="17" t="n">
        <v>1</v>
      </c>
      <c r="Q259" s="5" t="inlineStr">
        <is>
          <t>FILM-119</t>
        </is>
      </c>
      <c r="R259" s="5" t="inlineStr">
        <is>
          <t>Pyaar Mein Twist (2005)</t>
        </is>
      </c>
      <c r="S259" s="5" t="inlineStr">
        <is>
          <t>Hriday Shetty directed the single most revealing film of Rishi Kapoor's late career. The son of the stuntman M. B. Shetty and half-brother of Rohit Shetty, he has worked as a commercial director since the 1990s on films including Plan and Chaalis Chauraasi. Pyaar Mein Twist (2005) is a small picture that Kapoor produced himself: he and Dimple Kapadia, the girl of Bobby, play a widower and a widow in their fifties whose courtship their grown children try to stop. Thirty-two years after the film that made them, the same pair are performing the same situation with the opposition inverted — a deliberate echo, and the clearest evidence in this workbook that Kapoor understood his own romantic persona as material.</t>
        </is>
      </c>
      <c r="T259" s="5" t="inlineStr">
        <is>
          <t>SOURCE-298</t>
        </is>
      </c>
      <c r="U259" s="5" t="inlineStr">
        <is>
          <t>Medium</t>
        </is>
      </c>
    </row>
    <row r="260" ht="124" customHeight="1">
      <c r="A260" s="15" t="inlineStr">
        <is>
          <t>PERSON-259</t>
        </is>
      </c>
      <c r="B260" s="5" t="inlineStr">
        <is>
          <t>Hussain Dalal</t>
        </is>
      </c>
      <c r="C260" s="5" t="inlineStr">
        <is>
          <t>Writer</t>
        </is>
      </c>
      <c r="D260" s="17" t="n">
        <v>1989</v>
      </c>
      <c r="E260" s="18" t="n"/>
      <c r="F260" s="5" t="inlineStr">
        <is>
          <t>2012–present</t>
        </is>
      </c>
      <c r="G260" s="5" t="inlineStr">
        <is>
          <t>Hindi cinema</t>
        </is>
      </c>
      <c r="H260" s="5" t="inlineStr">
        <is>
          <t>Hussain Dalal (born 27 March 1989 in Mumbai) is an Indian actor and screenwriter known for dialogue writing in Hindi films, including Yeh Jawaani Hai Deewani (2013), Margarita with a Straw (2014), 2 States (2014) and Brahmāstra: Part One – Shiva (2022). In 2017 he appeared as one of three mentors on a television show.</t>
        </is>
      </c>
      <c r="I260" s="5" t="inlineStr">
        <is>
          <t>Writing from 2012.</t>
        </is>
      </c>
      <c r="J260" s="5" t="inlineStr">
        <is>
          <t>With Kapoor: Sanam Re (2016). Elsewhere, Yeh Jawaani Hai Deewani, 2 States and Brahmāstra.</t>
        </is>
      </c>
      <c r="K260" s="19" t="inlineStr">
        <is>
          <t>Contemporary youth dialogue; the urban romance of the 2010s.</t>
        </is>
      </c>
      <c r="L260" s="19" t="inlineStr">
        <is>
          <t>A dialogue specialist with an ear for how young urban Indians actually speak.</t>
        </is>
      </c>
      <c r="M260" s="5" t="n"/>
      <c r="N260" s="19" t="inlineStr">
        <is>
          <t>One of the most employed dialogue writers of 2010s Hindi cinema.</t>
        </is>
      </c>
      <c r="O260" s="19" t="inlineStr">
        <is>
          <t>One film: Sanam Re (2016), the T-Series romance in which Kapoor plays the hero's grandfather. The generational link is the more interesting fact — two of Dalal's best-known films, Yeh Jawaani Hai Deewani and Brahmāstra, were vehicles for Ranbir Kapoor, so the writer worked for the son far more often than for the father.</t>
        </is>
      </c>
      <c r="P260" s="17" t="n">
        <v>1</v>
      </c>
      <c r="Q260" s="5" t="inlineStr">
        <is>
          <t>FILM-151</t>
        </is>
      </c>
      <c r="R260" s="5" t="inlineStr">
        <is>
          <t>Sanam Re (2016)</t>
        </is>
      </c>
      <c r="S260" s="5" t="inlineStr">
        <is>
          <t>Hussain Dalal wrote dialogue for one Rishi Kapoor film and for several of his son's. Born in Mumbai in 1989 and writing from 2012, Dalal became one of the busiest dialogue writers of the 2010s, with Yeh Jawaani Hai Deewani, 2 States, Margarita with a Straw and Brahmāstra to his name — the first and last of those built around Ranbir Kapoor. His single credit with Rishi Kapoor is Sanam Re (2016), a T-Series romance in which the older actor plays the grandfather whose remembered love frames the younger couple's story. The pattern recurs across this workbook's final stretch: the writers and directors of the 2010s mostly encountered the father as a supporting presence while working for the son.</t>
        </is>
      </c>
      <c r="T260" s="5" t="inlineStr">
        <is>
          <t>SOURCE-299</t>
        </is>
      </c>
      <c r="U260" s="5" t="inlineStr">
        <is>
          <t>Medium</t>
        </is>
      </c>
    </row>
    <row r="261" ht="109" customHeight="1">
      <c r="A261" s="15" t="inlineStr">
        <is>
          <t>PERSON-260</t>
        </is>
      </c>
      <c r="B261" s="5" t="inlineStr">
        <is>
          <t>I. A. Nadiadwala</t>
        </is>
      </c>
      <c r="C261" s="5" t="inlineStr">
        <is>
          <t>Producer</t>
        </is>
      </c>
      <c r="D261" s="18" t="n"/>
      <c r="E261" s="18" t="n"/>
      <c r="F261" s="5" t="n"/>
      <c r="G261" s="5" t="inlineStr">
        <is>
          <t>Hindi cinema</t>
        </is>
      </c>
      <c r="H261" s="5" t="inlineStr">
        <is>
          <t>A producer credited on one film in this filmography, with no Wikipedia article of his own. The Nadiadwala name recurs here — F. A. Nadiadwala and Sajid Nadiadwala also hold credits — indicating the long-running Bombay production family.</t>
        </is>
      </c>
      <c r="I261" s="5" t="n"/>
      <c r="J261" s="5" t="inlineStr">
        <is>
          <t>With Kapoor: Rafoo Chakkar (1975).</t>
        </is>
      </c>
      <c r="K261" s="19" t="inlineStr">
        <is>
          <t>Not documented.</t>
        </is>
      </c>
      <c r="L261" s="19" t="inlineStr">
        <is>
          <t>Not documented.</t>
        </is>
      </c>
      <c r="M261" s="5" t="n"/>
      <c r="N261" s="19" t="inlineStr">
        <is>
          <t>Not independently documented.</t>
        </is>
      </c>
      <c r="O261" s="19" t="inlineStr">
        <is>
          <t>One film: Rafoo Chakkar (1975), the cross-dressing comedy — a Hindi reworking of Some Like It Hot — in which Kapoor and Paintal disguise themselves as women to escape gangsters. It is among the few outright farces of his early career and came two years after Bobby.</t>
        </is>
      </c>
      <c r="P261" s="17" t="n">
        <v>1</v>
      </c>
      <c r="Q261" s="5" t="inlineStr">
        <is>
          <t>FILM-007</t>
        </is>
      </c>
      <c r="R261" s="5" t="inlineStr">
        <is>
          <t>Rafoo Chakkar (1975)</t>
        </is>
      </c>
      <c r="S261" s="5" t="inlineStr">
        <is>
          <t>I. A. Nadiadwala produced Rafoo Chakkar (1975) and has no documented biography. The film is Hindi cinema's best-known reworking of Some Like It Hot, with Kapoor spending much of it in women's clothing to hide from gangsters, written by Kader Khan and K. K. Shukla and scored by Kalyanji–Anandji. It demonstrates something the romantic record obscures: within two years of Bobby he was already being cast in broad comedy, and the farcical register would return repeatedly, through Bol Radha Bol and the Housefull films. The Nadiadwala name recurs across this workbook without any individual leaving a record. This row is built from the film's credits alone.</t>
        </is>
      </c>
      <c r="T261" s="5" t="inlineStr">
        <is>
          <t>SOURCE-007</t>
        </is>
      </c>
      <c r="U261" s="5" t="inlineStr">
        <is>
          <t>Low</t>
        </is>
      </c>
    </row>
    <row r="262" ht="154" customHeight="1">
      <c r="A262" s="15" t="inlineStr">
        <is>
          <t>PERSON-261</t>
        </is>
      </c>
      <c r="B262" s="5" t="inlineStr">
        <is>
          <t>Ila Bedi Dutta</t>
        </is>
      </c>
      <c r="C262" s="5" t="inlineStr">
        <is>
          <t>Writer</t>
        </is>
      </c>
      <c r="D262" s="18" t="n"/>
      <c r="E262" s="18" t="n"/>
      <c r="F262" s="5" t="n"/>
      <c r="G262" s="5" t="inlineStr">
        <is>
          <t>Hindi cinema</t>
        </is>
      </c>
      <c r="H262" s="5" t="inlineStr">
        <is>
          <t>A writer credited on one film in this filmography, with no Wikipedia article of her own.</t>
        </is>
      </c>
      <c r="I262" s="5" t="n"/>
      <c r="J262" s="5" t="inlineStr">
        <is>
          <t>With Kapoor: Agneepath (2012).</t>
        </is>
      </c>
      <c r="K262" s="19" t="inlineStr">
        <is>
          <t>The revenge epic and the criminal family.</t>
        </is>
      </c>
      <c r="L262" s="19" t="inlineStr">
        <is>
          <t>Not documented; she is credited alongside Karan Malhotra on the remake's screenplay.</t>
        </is>
      </c>
      <c r="M262" s="5" t="n"/>
      <c r="N262" s="19" t="inlineStr">
        <is>
          <t>Not independently documented.</t>
        </is>
      </c>
      <c r="O262" s="19" t="inlineStr">
        <is>
          <t>One film, and a significant one: Karan Malhotra's Agneepath (2012), the Dharma Productions remake in which Kapoor plays Rauf Lala, a trafficker in women whose geniality makes him frightening. The performance is widely counted among the best of his career and the clearest proof that his late range extended well beyond benign fathers. She is one of the few women credited as writers in this workbook.</t>
        </is>
      </c>
      <c r="P262" s="17" t="n">
        <v>1</v>
      </c>
      <c r="Q262" s="5" t="inlineStr">
        <is>
          <t>FILM-137</t>
        </is>
      </c>
      <c r="R262" s="5" t="inlineStr">
        <is>
          <t>Agneepath (2012)</t>
        </is>
      </c>
      <c r="S262" s="5" t="inlineStr">
        <is>
          <t>Ila Bedi Dutta co-wrote Agneepath (2012) and has no documented biography. The film is Karan Malhotra's remake of the 1990 Amitabh Bachchan picture, produced by Dharma, and it gave Rishi Kapoor the role of Rauf Lala — a Mumbai trader in women and drugs, played with a warmth that makes him worse rather than better, under prosthetic teeth and a skullcap. For an actor who had spent forty years being likeable, it was a genuine transformation, and it reset expectations of what he could be cast as in the eight years he had left. She is among the very small number of women credited as writers anywhere in this filmography.</t>
        </is>
      </c>
      <c r="T262" s="5" t="inlineStr">
        <is>
          <t>SOURCE-129</t>
        </is>
      </c>
      <c r="U262" s="5" t="inlineStr">
        <is>
          <t>Low</t>
        </is>
      </c>
    </row>
    <row r="263" ht="109" customHeight="1">
      <c r="A263" s="15" t="inlineStr">
        <is>
          <t>PERSON-262</t>
        </is>
      </c>
      <c r="B263" s="5" t="inlineStr">
        <is>
          <t>Illuminati Films</t>
        </is>
      </c>
      <c r="C263" s="5" t="inlineStr">
        <is>
          <t>Production banner</t>
        </is>
      </c>
      <c r="D263" s="18" t="n"/>
      <c r="E263" s="18" t="n"/>
      <c r="F263" s="5" t="n"/>
      <c r="G263" s="5" t="inlineStr">
        <is>
          <t>Hindi cinema</t>
        </is>
      </c>
      <c r="H263" s="5" t="inlineStr">
        <is>
          <t>The production banner credited on Love Aaj Kal (2009). It has no Wikipedia article of its own — the name redirects to the actor Saif Ali Khan, who founded the company — so no independent history can be attributed to it here.</t>
        </is>
      </c>
      <c r="I263" s="5" t="n"/>
      <c r="J263" s="5" t="inlineStr">
        <is>
          <t>With Kapoor: Love Aaj Kal (2009).</t>
        </is>
      </c>
      <c r="K263" s="19" t="inlineStr">
        <is>
          <t>Contemporary urban romance.</t>
        </is>
      </c>
      <c r="L263" s="19" t="inlineStr">
        <is>
          <t>A star-owned banner producing vehicles for its proprietor.</t>
        </is>
      </c>
      <c r="M263" s="5" t="n"/>
      <c r="N263" s="19" t="inlineStr">
        <is>
          <t>Not independently documented.</t>
        </is>
      </c>
      <c r="O263" s="19" t="inlineStr">
        <is>
          <t>One credit, on Imtiaz Ali's Love Aaj Kal (2009), in which Kapoor plays the elderly Veer Singh whose decades-long courtship in 1960s Delhi forms the film's period strand against a modern couple's casual romance. The role uses his own screen history as the content of the film's nostalgia.</t>
        </is>
      </c>
      <c r="P263" s="17" t="n">
        <v>1</v>
      </c>
      <c r="Q263" s="5" t="inlineStr">
        <is>
          <t>FILM-131</t>
        </is>
      </c>
      <c r="R263" s="5" t="inlineStr">
        <is>
          <t>Love Aaj Kal (2009)</t>
        </is>
      </c>
      <c r="S263" s="5" t="inlineStr">
        <is>
          <t>Illuminati Films produced Love Aaj Kal (2009), and the company exists in this workbook only as a name: its Wikipedia entry redirects to Saif Ali Khan, who founded it and starred in the film. The film itself is among the most pointed uses of Rishi Kapoor's past. Imtiaz Ali sets a contemporary couple's casual, self-interested romance against the patient courtship of an older man, Veer Singh, played by Kapoor in the present day and by a younger actor in the 1960s flashbacks. Casting the definitive lover-boy of the 1970s as the embodiment of a slower and more devoted idea of love is the film's argument in miniature. This row is built from the film's credits alone.</t>
        </is>
      </c>
      <c r="T263" s="5" t="inlineStr">
        <is>
          <t>SOURCE-123</t>
        </is>
      </c>
      <c r="U263" s="5" t="inlineStr">
        <is>
          <t>Low</t>
        </is>
      </c>
    </row>
    <row r="264" ht="184" customHeight="1">
      <c r="A264" s="15" t="inlineStr">
        <is>
          <t>PERSON-263</t>
        </is>
      </c>
      <c r="B264" s="5" t="inlineStr">
        <is>
          <t>Imtiaz Ali</t>
        </is>
      </c>
      <c r="C264" s="5" t="inlineStr">
        <is>
          <t>Director; Writer</t>
        </is>
      </c>
      <c r="D264" s="17" t="n">
        <v>1971</v>
      </c>
      <c r="E264" s="18" t="n"/>
      <c r="F264" s="5" t="inlineStr">
        <is>
          <t>1994–present</t>
        </is>
      </c>
      <c r="G264" s="5" t="inlineStr">
        <is>
          <t>Hindi cinema</t>
        </is>
      </c>
      <c r="H264" s="5" t="inlineStr">
        <is>
          <t>Imtiaz Ali (born 16 June 1971 in Jamshedpur) is an Indian filmmaker best known for writing and directing the romantic comedies Socha Na Tha (2005), Jab We Met (2007) and Love Aaj Kal (2009), and the dramas Rockstar (2011), Highway (2014), Tamasha (2015) and Jab Harry Met Sejal (2017). His uncle is the theatre figure Khalid Ahmed.</t>
        </is>
      </c>
      <c r="I264" s="5" t="inlineStr">
        <is>
          <t>Working from 1994 in television; directorial debut Socha Na Tha (2005).</t>
        </is>
      </c>
      <c r="J264" s="5" t="inlineStr">
        <is>
          <t>With Kapoor: Love Aaj Kal (2009). Elsewhere, Jab We Met, Rockstar, Highway and Tamasha.</t>
        </is>
      </c>
      <c r="K264" s="19" t="inlineStr">
        <is>
          <t>Love across time and distance; the journey as self-discovery; the romantic who cannot recognise his own feeling until too late.</t>
        </is>
      </c>
      <c r="L264" s="19" t="inlineStr">
        <is>
          <t>A writer-director of romance whose films are structured on travel and on deferred recognition, with music used as narration.</t>
        </is>
      </c>
      <c r="M264" s="5" t="inlineStr">
        <is>
          <t>Filmfare Award for Best Dialogue and three Filmfare nominations for Best Director.</t>
        </is>
      </c>
      <c r="N264" s="19" t="inlineStr">
        <is>
          <t>The most distinctive director of romance in Hindi cinema after Yash Chopra, and the filmmaker most responsible for its contemporary idiom.</t>
        </is>
      </c>
      <c r="O264" s="19" t="inlineStr">
        <is>
          <t>One film, and an unusually pointed one: Love Aaj Kal (2009), in which Kapoor plays the elderly Veer Singh, whose patient decades-long courtship in 1960s Delhi is set against a modern couple's casual, self-protective romance. Casting the defining lover-boy of 1970s cinema as the embodiment of an older, more devoted idea of love makes his own screen past the film's argument. Ali later directed Ranbir Kapoor in Rockstar and Tamasha, so his association with the family continued through the son.</t>
        </is>
      </c>
      <c r="P264" s="17" t="n">
        <v>1</v>
      </c>
      <c r="Q264" s="5" t="inlineStr">
        <is>
          <t>FILM-131</t>
        </is>
      </c>
      <c r="R264" s="5" t="inlineStr">
        <is>
          <t>Love Aaj Kal (2009)</t>
        </is>
      </c>
      <c r="S264" s="5" t="inlineStr">
        <is>
          <t>Imtiaz Ali gave Rishi Kapoor the role that most explicitly used his own history as a romantic lead. Born in Jamshedpur in 1971, Ali became the most distinctive director of Hindi romance of his generation — Jab We Met, Rockstar, Highway, Tamasha — building films on travel, deferred recognition and music, and winning a Filmfare Award for Best Dialogue with three Best Director nominations. In Love Aaj Kal (2009) he set a contemporary couple's wary romance against the story of Veer Singh, an older man whose courtship took decades; Kapoor plays Veer in the present, narrating his own past. The casting is the point: the actor who had embodied uncomplicated devotion in the 1970s appears as its last witness. Ali went on to direct Kapoor's son Ranbir twice.</t>
        </is>
      </c>
      <c r="T264" s="5" t="inlineStr">
        <is>
          <t>SOURCE-302</t>
        </is>
      </c>
      <c r="U264" s="5" t="inlineStr">
        <is>
          <t>High</t>
        </is>
      </c>
    </row>
    <row r="265" ht="79" customHeight="1">
      <c r="A265" s="15" t="inlineStr">
        <is>
          <t>PERSON-264</t>
        </is>
      </c>
      <c r="B265" s="5" t="inlineStr">
        <is>
          <t>Inderjit Films Combine</t>
        </is>
      </c>
      <c r="C265" s="5" t="inlineStr">
        <is>
          <t>Production banner</t>
        </is>
      </c>
      <c r="D265" s="18" t="n"/>
      <c r="E265" s="18" t="n"/>
      <c r="F265" s="5" t="n"/>
      <c r="G265" s="5" t="inlineStr">
        <is>
          <t>Hindi cinema</t>
        </is>
      </c>
      <c r="H265" s="5" t="inlineStr">
        <is>
          <t>A production banner credited on one film in this filmography, with no Wikipedia article of its own.</t>
        </is>
      </c>
      <c r="I265" s="5" t="n"/>
      <c r="J265" s="5" t="inlineStr">
        <is>
          <t>With Kapoor: Sadiyaan (2010).</t>
        </is>
      </c>
      <c r="K265" s="19" t="inlineStr">
        <is>
          <t>Not documented.</t>
        </is>
      </c>
      <c r="L265" s="19" t="inlineStr">
        <is>
          <t>Not documented.</t>
        </is>
      </c>
      <c r="M265" s="5" t="n"/>
      <c r="N265" s="19" t="inlineStr">
        <is>
          <t>Not independently documented.</t>
        </is>
      </c>
      <c r="O265" s="19" t="inlineStr">
        <is>
          <t>One credit, on Sadiyaan (2010), Raj Kanwar's partition-era romance written in part by his son Abhay Kanwar, with Kapoor in a supporting role — eighteen years after Kanwar had directed him in Deewana.</t>
        </is>
      </c>
      <c r="P265" s="17" t="n">
        <v>1</v>
      </c>
      <c r="Q265" s="5" t="inlineStr">
        <is>
          <t>FILM-133</t>
        </is>
      </c>
      <c r="R265" s="5" t="inlineStr">
        <is>
          <t>Sadiyaan (2010)</t>
        </is>
      </c>
      <c r="S265" s="5" t="inlineStr">
        <is>
          <t>Inderjit Films Combine is the banner on Sadiyaan (2010) and has no recorded history. The film reunited Kapoor with Raj Kanwar, the director whose debut Deewana had, in 1992, staged the handover of the Hindi romantic lead from Kapoor to Shah Rukh Khan. Eighteen years later Kanwar cast him in support in a partition romance, from a script his own son Abhay Kanwar worked on, and the film passed unnoticed. This row is built from the film's credits alone.</t>
        </is>
      </c>
      <c r="T265" s="5" t="inlineStr">
        <is>
          <t>SOURCE-125</t>
        </is>
      </c>
      <c r="U265" s="5" t="inlineStr">
        <is>
          <t>Low</t>
        </is>
      </c>
    </row>
    <row r="266" ht="94" customHeight="1">
      <c r="A266" s="15" t="inlineStr">
        <is>
          <t>PERSON-265</t>
        </is>
      </c>
      <c r="B266" s="5" t="inlineStr">
        <is>
          <t>Ismail Darbar</t>
        </is>
      </c>
      <c r="C266" s="5" t="inlineStr">
        <is>
          <t>Song composer</t>
        </is>
      </c>
      <c r="D266" s="18" t="n"/>
      <c r="E266" s="18" t="n"/>
      <c r="F266" s="5" t="n"/>
      <c r="G266" s="5" t="inlineStr">
        <is>
          <t>Hindi cinema</t>
        </is>
      </c>
      <c r="H266" s="5" t="inlineStr">
        <is>
          <t>Ismail Darbar, from Surat in Gujarat, is an Indian film score composer, music director, instrumentalist, singer and violinist. He won the National Film Award for Best Music Direction for Hum Dil De Chuke Sanam (1999).</t>
        </is>
      </c>
      <c r="I266" s="5" t="inlineStr">
        <is>
          <t>Composing from the late 1990s; Hum Dil De Chuke Sanam (1999) was his breakthrough.</t>
        </is>
      </c>
      <c r="J266" s="5" t="inlineStr">
        <is>
          <t>With Kapoor: Kaanchi: The Unbreakable (2014). Elsewhere, Hum Dil De Chuke Sanam and Devdas.</t>
        </is>
      </c>
      <c r="K266" s="19" t="inlineStr">
        <is>
          <t>Grand, classically inflected romantic scores for large-scale melodrama.</t>
        </is>
      </c>
      <c r="L266" s="19" t="inlineStr">
        <is>
          <t>A violinist's orchestration, built on classical Indian forms and used at operatic scale, closely associated with Sanjay Leela Bhansali's early films.</t>
        </is>
      </c>
      <c r="M266" s="5" t="inlineStr">
        <is>
          <t>National Film Award for Best Music Direction for Hum Dil De Chuke Sanam (1999).</t>
        </is>
      </c>
      <c r="N266" s="19" t="inlineStr">
        <is>
          <t>The composer of two of the most musically ambitious Hindi films of the turn of the century, Hum Dil De Chuke Sanam and Devdas.</t>
        </is>
      </c>
      <c r="O266" s="19" t="inlineStr">
        <is>
          <t>One film, and late in both careers: Subhash Ghai's Kaanchi: The Unbreakable (2014), with Kapoor in support. Darbar shares the soundtrack credit with Salim–Sulaiman. The film failed, and neither man's reputation rests on it.</t>
        </is>
      </c>
      <c r="P266" s="17" t="n">
        <v>1</v>
      </c>
      <c r="Q266" s="5" t="inlineStr">
        <is>
          <t>FILM-147</t>
        </is>
      </c>
      <c r="R266" s="5" t="inlineStr">
        <is>
          <t>Kaanchi: The Unbreakable (2014)</t>
        </is>
      </c>
      <c r="S266" s="5" t="inlineStr">
        <is>
          <t>Ismail Darbar scored one film in this filmography, long after the work that made him. A violinist from Surat, Darbar won the National Film Award for Best Music Direction for Hum Dil De Chuke Sanam in 1999 and then wrote Devdas, two soundtracks of unusual classical ambition that defined Sanjay Leela Bhansali's early cinema. By 2014 he was sharing the credit on Subhash Ghai's Kaanchi: The Unbreakable with Salim–Sulaiman, a film that failed and in which Kapoor appeared in support — thirty-four years after Ghai had directed him in Karz. Both the composer and the actor were working well below their best in it.</t>
        </is>
      </c>
      <c r="T266" s="5" t="inlineStr">
        <is>
          <t>SOURCE-300</t>
        </is>
      </c>
      <c r="U266" s="5" t="inlineStr">
        <is>
          <t>Medium</t>
        </is>
      </c>
    </row>
    <row r="267" ht="79" customHeight="1">
      <c r="A267" s="15" t="inlineStr">
        <is>
          <t>PERSON-266</t>
        </is>
      </c>
      <c r="B267" s="5" t="inlineStr">
        <is>
          <t>J. C. Bhagat</t>
        </is>
      </c>
      <c r="C267" s="5" t="inlineStr">
        <is>
          <t>Producer</t>
        </is>
      </c>
      <c r="D267" s="18" t="n"/>
      <c r="E267" s="18" t="n"/>
      <c r="F267" s="5" t="n"/>
      <c r="G267" s="5" t="inlineStr">
        <is>
          <t>Hindi cinema</t>
        </is>
      </c>
      <c r="H267" s="5" t="inlineStr">
        <is>
          <t>A producer credited on one film in this filmography, with no Wikipedia article of his own.</t>
        </is>
      </c>
      <c r="I267" s="5" t="n"/>
      <c r="J267" s="5" t="inlineStr">
        <is>
          <t>With Kapoor: Barood (1976).</t>
        </is>
      </c>
      <c r="K267" s="19" t="inlineStr">
        <is>
          <t>Not documented.</t>
        </is>
      </c>
      <c r="L267" s="19" t="inlineStr">
        <is>
          <t>Not documented.</t>
        </is>
      </c>
      <c r="M267" s="5" t="n"/>
      <c r="N267" s="19" t="inlineStr">
        <is>
          <t>Not independently documented.</t>
        </is>
      </c>
      <c r="O267" s="19" t="inlineStr">
        <is>
          <t>One film: Barood (1976), from the run of films Kapoor made in the three years after Bobby, with a Sachin Bhowmick story and Anand Bakshi's lyrics.</t>
        </is>
      </c>
      <c r="P267" s="17" t="n">
        <v>1</v>
      </c>
      <c r="Q267" s="5" t="inlineStr">
        <is>
          <t>FILM-010</t>
        </is>
      </c>
      <c r="R267" s="5" t="inlineStr">
        <is>
          <t>Barood (1976)</t>
        </is>
      </c>
      <c r="S267" s="5" t="inlineStr">
        <is>
          <t>J. C. Bhagat is one of the producers credited on Barood (1976) and has no documented biography. The film belongs to the glut of work that followed Bobby, when a twenty-three-year-old Kapoor was the most saleable young lover in Hindi cinema and producers financed almost anything he would appear in — Sachin Bhowmick supplying the story, Anand Bakshi the lyrics, and the picture itself leaving little trace. This row is built from the film's credits alone.</t>
        </is>
      </c>
      <c r="T267" s="5" t="inlineStr">
        <is>
          <t>SOURCE-014</t>
        </is>
      </c>
      <c r="U267" s="5" t="inlineStr">
        <is>
          <t>Low</t>
        </is>
      </c>
    </row>
    <row r="268" ht="109" customHeight="1">
      <c r="A268" s="15" t="inlineStr">
        <is>
          <t>PERSON-267</t>
        </is>
      </c>
      <c r="B268" s="5" t="inlineStr">
        <is>
          <t>J. P. Dutta</t>
        </is>
      </c>
      <c r="C268" s="5" t="inlineStr">
        <is>
          <t>Director; Writer</t>
        </is>
      </c>
      <c r="D268" s="18" t="n"/>
      <c r="E268" s="18" t="n"/>
      <c r="F268" s="5" t="inlineStr">
        <is>
          <t>1985–present</t>
        </is>
      </c>
      <c r="G268" s="5" t="inlineStr">
        <is>
          <t>Hindi cinema</t>
        </is>
      </c>
      <c r="H268" s="5" t="inlineStr">
        <is>
          <t>Jyoti Prakash Dutta, known as J. P. Dutta, is an Indian director, writer and producer in Hindi cinema, born in Bombay and best known for Ghulami (1985), Yateem (1988), Batwara (1989), Kshatriya (1993) and Border (1997). He is married to the actress Bindiya Goswami.</t>
        </is>
      </c>
      <c r="I268" s="5" t="inlineStr">
        <is>
          <t>Directing from 1985 with Ghulami.</t>
        </is>
      </c>
      <c r="J268" s="5" t="inlineStr">
        <is>
          <t>With Kapoor: Hathyar (1989). Elsewhere, Ghulami, Batwara, Kshatriya, Border and LOC Kargil.</t>
        </is>
      </c>
      <c r="K268" s="19" t="inlineStr">
        <is>
          <t>Feud, honour and vengeance in rural Rajasthan; later the war film as national epic.</t>
        </is>
      </c>
      <c r="L268" s="19" t="inlineStr">
        <is>
          <t>Large-canvas melodrama with ensemble casts, long running times and a taste for the ballad of masculine honour.</t>
        </is>
      </c>
      <c r="M268" s="5" t="n"/>
      <c r="N268" s="19" t="inlineStr">
        <is>
          <t>The director of Border, one of the most commercially successful war films in Indian cinema.</t>
        </is>
      </c>
      <c r="O268" s="19" t="inlineStr">
        <is>
          <t>One film: Hathyar (1989), a crime drama from the period when Kapoor was releasing three or four films a year. It belongs to Dutta's early run of honour-and-vengeance pictures rather than to Kapoor's romantic line, and gave the actor one of the harder registers he occasionally tried in that decade.</t>
        </is>
      </c>
      <c r="P268" s="17" t="n">
        <v>1</v>
      </c>
      <c r="Q268" s="5" t="inlineStr">
        <is>
          <t>FILM-069</t>
        </is>
      </c>
      <c r="R268" s="5" t="inlineStr">
        <is>
          <t>Hathyar (1989)</t>
        </is>
      </c>
      <c r="S268" s="5" t="inlineStr">
        <is>
          <t>J. P. Dutta directed one Rishi Kapoor film, and it sits oddly in both filmographies. Dutta made his name on rural feud dramas — Ghulami, Batwara, Kshatriya — before Border in 1997 made him the most commercially successful war-film director in India. Hathyar (1989), his film with Kapoor, is a Bombay crime drama from the densest stretch of the actor's career, when nine of his films appeared in three years and most were melodramas. Dutta's cinema is organised around masculine honour and violence rather than courtship, which makes the pairing an experiment on Kapoor's part — one of several in that decade, when the romantic formula was no longer reliably selling.</t>
        </is>
      </c>
      <c r="T268" s="5" t="inlineStr">
        <is>
          <t>SOURCE-301</t>
        </is>
      </c>
      <c r="U268" s="5" t="inlineStr">
        <is>
          <t>High</t>
        </is>
      </c>
    </row>
    <row r="269" ht="94" customHeight="1">
      <c r="A269" s="15" t="inlineStr">
        <is>
          <t>PERSON-268</t>
        </is>
      </c>
      <c r="B269" s="5" t="inlineStr">
        <is>
          <t>Jagdish C. Sharma</t>
        </is>
      </c>
      <c r="C269" s="5" t="inlineStr">
        <is>
          <t>Producer</t>
        </is>
      </c>
      <c r="D269" s="18" t="n"/>
      <c r="E269" s="18" t="n"/>
      <c r="F269" s="5" t="n"/>
      <c r="G269" s="5" t="inlineStr">
        <is>
          <t>Hindi cinema</t>
        </is>
      </c>
      <c r="H269" s="5" t="inlineStr">
        <is>
          <t>A producer credited on one film in this filmography, with no Wikipedia article of his own.</t>
        </is>
      </c>
      <c r="I269" s="5" t="n"/>
      <c r="J269" s="5" t="inlineStr">
        <is>
          <t>With Kapoor: Zamana (1985).</t>
        </is>
      </c>
      <c r="K269" s="19" t="inlineStr">
        <is>
          <t>Not documented.</t>
        </is>
      </c>
      <c r="L269" s="19" t="inlineStr">
        <is>
          <t>Not documented.</t>
        </is>
      </c>
      <c r="M269" s="5" t="n"/>
      <c r="N269" s="19" t="inlineStr">
        <is>
          <t>Not independently documented.</t>
        </is>
      </c>
      <c r="O269" s="19" t="inlineStr">
        <is>
          <t>One film: Zamana (1985), directed by Ramesh Talwar from a Salim–Javed script written before the duo's split — one of the few Salim–Javed properties Kapoor appeared in, and by his article's account one of only two Talwar films that succeeded.</t>
        </is>
      </c>
      <c r="P269" s="17" t="n">
        <v>1</v>
      </c>
      <c r="Q269" s="5" t="inlineStr">
        <is>
          <t>FILM-046</t>
        </is>
      </c>
      <c r="R269" s="5" t="inlineStr">
        <is>
          <t>Zamana (1985)</t>
        </is>
      </c>
      <c r="S269" s="5" t="inlineStr">
        <is>
          <t>Jagdish C. Sharma produced Zamana (1985) and has no documented biography. The film is of modest interest for a structural reason: it was made from material written by Salim–Javed, the duo whose angry-young-man scripts had defined 1970s Hindi cinema around Amitabh Bachchan rather than around romantic leads like Kapoor, and it reached the screen only after the pair had separated. Ramesh Talwar directed; his own article records that Zamana was one of just two of his seven films to succeed commercially. This row is built from the film's credits alone.</t>
        </is>
      </c>
      <c r="T269" s="5" t="inlineStr">
        <is>
          <t>SOURCE-045</t>
        </is>
      </c>
      <c r="U269" s="5" t="inlineStr">
        <is>
          <t>Low</t>
        </is>
      </c>
    </row>
    <row r="270" ht="79" customHeight="1">
      <c r="A270" s="15" t="inlineStr">
        <is>
          <t>PERSON-269</t>
        </is>
      </c>
      <c r="B270" s="5" t="inlineStr">
        <is>
          <t>Jagdish Sidana</t>
        </is>
      </c>
      <c r="C270" s="5" t="inlineStr">
        <is>
          <t>Producer</t>
        </is>
      </c>
      <c r="D270" s="18" t="n"/>
      <c r="E270" s="18" t="n"/>
      <c r="F270" s="5" t="n"/>
      <c r="G270" s="5" t="inlineStr">
        <is>
          <t>Hindi cinema</t>
        </is>
      </c>
      <c r="H270" s="5" t="inlineStr">
        <is>
          <t>A producer credited on one film in this filmography, with no Wikipedia article of his own.</t>
        </is>
      </c>
      <c r="I270" s="5" t="n"/>
      <c r="J270" s="5" t="inlineStr">
        <is>
          <t>With Kapoor: Sher Dil (1990).</t>
        </is>
      </c>
      <c r="K270" s="19" t="inlineStr">
        <is>
          <t>Not documented.</t>
        </is>
      </c>
      <c r="L270" s="19" t="inlineStr">
        <is>
          <t>Not documented.</t>
        </is>
      </c>
      <c r="M270" s="5" t="n"/>
      <c r="N270" s="19" t="inlineStr">
        <is>
          <t>Not independently documented.</t>
        </is>
      </c>
      <c r="O270" s="19" t="inlineStr">
        <is>
          <t>One film: Sher Dil (1990), a Laxmikant–Pyarelal-scored picture from the stretch between 1989 and 1991 in which Kapoor released nine films, nearly all of them unreviewed.</t>
        </is>
      </c>
      <c r="P270" s="17" t="n">
        <v>1</v>
      </c>
      <c r="Q270" s="5" t="inlineStr">
        <is>
          <t>FILM-078</t>
        </is>
      </c>
      <c r="R270" s="5" t="inlineStr">
        <is>
          <t>Sher Dil (1990)</t>
        </is>
      </c>
      <c r="S270" s="5" t="inlineStr">
        <is>
          <t>Jagdish Sidana produced Sher Dil (1990) and has no documented biography. The film comes from the least documented period of this filmography: between 1989 and 1991 Kapoor appeared in nine releases, financed by small producers, directed by men with one-line records, and scored almost without exception by Laxmikant–Pyarelal, whose thirty-two credits here are concentrated in exactly these years. This row is built from the film's credits alone.</t>
        </is>
      </c>
      <c r="T270" s="5" t="inlineStr">
        <is>
          <t>SOURCE-073</t>
        </is>
      </c>
      <c r="U270" s="5" t="inlineStr">
        <is>
          <t>Low</t>
        </is>
      </c>
    </row>
    <row r="271" ht="124" customHeight="1">
      <c r="A271" s="15" t="inlineStr">
        <is>
          <t>PERSON-270</t>
        </is>
      </c>
      <c r="B271" s="5" t="inlineStr">
        <is>
          <t>Jagjit Khurana</t>
        </is>
      </c>
      <c r="C271" s="5" t="inlineStr">
        <is>
          <t>Producer</t>
        </is>
      </c>
      <c r="D271" s="18" t="n"/>
      <c r="E271" s="18" t="n"/>
      <c r="F271" s="5" t="n"/>
      <c r="G271" s="5" t="inlineStr">
        <is>
          <t>Hindi cinema</t>
        </is>
      </c>
      <c r="H271" s="5" t="inlineStr">
        <is>
          <t>A producer credited on one film in this filmography, with no Wikipedia article of his own.</t>
        </is>
      </c>
      <c r="I271" s="5" t="n"/>
      <c r="J271" s="5" t="inlineStr">
        <is>
          <t>With Kapoor: Karz (1980).</t>
        </is>
      </c>
      <c r="K271" s="19" t="inlineStr">
        <is>
          <t>Not documented.</t>
        </is>
      </c>
      <c r="L271" s="19" t="inlineStr">
        <is>
          <t>Not documented.</t>
        </is>
      </c>
      <c r="M271" s="5" t="n"/>
      <c r="N271" s="19" t="inlineStr">
        <is>
          <t>Not independently documented, though his one credit is on a film of lasting influence.</t>
        </is>
      </c>
      <c r="O271" s="19" t="inlineStr">
        <is>
          <t>One film, and a consequential one: he co-produced Subhash Ghai's Karz (1980) with Akhtar Farooqui. Kapoor's Monty — the stage singer who recovers the memory of his own murder — is among the most durable roles of his career, and the film's Laxmikant–Pyarelal songs have been remade and sampled for four decades.</t>
        </is>
      </c>
      <c r="P271" s="17" t="n">
        <v>1</v>
      </c>
      <c r="Q271" s="5" t="inlineStr">
        <is>
          <t>FILM-031</t>
        </is>
      </c>
      <c r="R271" s="5" t="inlineStr">
        <is>
          <t>Karz (1980)</t>
        </is>
      </c>
      <c r="S271" s="5" t="inlineStr">
        <is>
          <t>Jagjit Khurana co-produced Karz (1980) and has no documented biography. Subhash Ghai's reincarnation thriller is one of the two or three films on which Rishi Kapoor's reputation rests: he plays Monty, a stage performer haunted by the murder of his previous self, and the film's songs — 'Om Shanti Om', 'Dard-e-Dil' — outlived almost everything else released that year. It was remade outright in 2008 and its structure borrowed repeatedly, including by Farah Khan's Om Shanti Om, in which Kapoor himself appears. Neither of its two producers left any biographical record. This row is built from the film's credits alone.</t>
        </is>
      </c>
      <c r="T271" s="5" t="inlineStr">
        <is>
          <t>SOURCE-031</t>
        </is>
      </c>
      <c r="U271" s="5" t="inlineStr">
        <is>
          <t>Low</t>
        </is>
      </c>
    </row>
    <row r="272" ht="139" customHeight="1">
      <c r="A272" s="15" t="inlineStr">
        <is>
          <t>PERSON-271</t>
        </is>
      </c>
      <c r="B272" s="5" t="inlineStr">
        <is>
          <t>Jaideep Sahni</t>
        </is>
      </c>
      <c r="C272" s="5" t="inlineStr">
        <is>
          <t>Writer</t>
        </is>
      </c>
      <c r="D272" s="18" t="n"/>
      <c r="E272" s="18" t="n"/>
      <c r="F272" s="5" t="inlineStr">
        <is>
          <t>2000–present</t>
        </is>
      </c>
      <c r="G272" s="5" t="inlineStr">
        <is>
          <t>Hindi cinema</t>
        </is>
      </c>
      <c r="H272" s="5" t="inlineStr">
        <is>
          <t>Jaideep Sahni, from New Delhi, is an Indian screenwriter and lyricist known for Bunty Aur Babli (2005), Chak De! India (2007), Rocket Singh: Salesman of the Year (2009) and Shuddh Desi Romance (2013). He won the Filmfare Awards for Best Dialogue and Best Story for Company (2002) and the Filmfare Award for Best Screenplay for Khosla Ka Ghosla (2006), as well as the IIFA Award for Best Story for Chak De! India.</t>
        </is>
      </c>
      <c r="I272" s="5" t="inlineStr">
        <is>
          <t>Writing from 2000; his breakthrough was Company (2002).</t>
        </is>
      </c>
      <c r="J272" s="5" t="inlineStr">
        <is>
          <t>With Kapoor: Shuddh Desi Romance (2013). Elsewhere, Company, Khosla Ka Ghosla, Bunty Aur Babli, Chak De! India and Rocket Singh.</t>
        </is>
      </c>
      <c r="K272" s="19" t="inlineStr">
        <is>
          <t>Small-town and lower-middle-class India rendered precisely; work, aspiration and institutional frustration; the unheroic protagonist.</t>
        </is>
      </c>
      <c r="L272" s="19" t="inlineStr">
        <is>
          <t>One of the most admired screenwriters of his generation, writing in close observational detail and in the actual idiom of the places he sets his films.</t>
        </is>
      </c>
      <c r="M272" s="5" t="inlineStr">
        <is>
          <t>Filmfare Awards for Best Dialogue and Best Story (Company) and Best Screenplay (Khosla Ka Ghosla); IIFA Award for Best Story (Chak De! India).</t>
        </is>
      </c>
      <c r="N272" s="19" t="inlineStr">
        <is>
          <t>Among the writers who reoriented mainstream Hindi cinema towards ordinary Indian lives in the 2000s.</t>
        </is>
      </c>
      <c r="O272" s="19" t="inlineStr">
        <is>
          <t>One film: Shuddh Desi Romance (2013), a Yash Raj romance about commitment-shy young people in Jaipur, in which Kapoor plays a wedding contractor. It is a small part, but the pairing is notable — the writer most identified with unglamorous realism working with the actor who had embodied Hindi cinema's most idealised romance.</t>
        </is>
      </c>
      <c r="P272" s="17" t="n">
        <v>1</v>
      </c>
      <c r="Q272" s="5" t="inlineStr">
        <is>
          <t>FILM-144</t>
        </is>
      </c>
      <c r="R272" s="5" t="inlineStr">
        <is>
          <t>Shuddh Desi Romance (2013)</t>
        </is>
      </c>
      <c r="S272" s="5" t="inlineStr">
        <is>
          <t>Jaideep Sahni wrote one film in which Rishi Kapoor appears, and the contrast between their sensibilities is instructive. Sahni is among the most respected screenwriters in Hindi cinema — Company, Khosla Ka Ghosla, Bunty Aur Babli, Chak De! India, Rocket Singh — a writer of work, class and small-town specificity who has won Filmfare Awards for dialogue, story and screenplay. Shuddh Desi Romance (2013) applies that method to romance itself: young people in Jaipur who keep abandoning weddings because they cannot commit. Kapoor plays the wedding contractor who keeps having to arrange them. The actor whose career was built on love as destiny appears, at the end of it, in a film about love as hesitation.</t>
        </is>
      </c>
      <c r="T272" s="5" t="inlineStr">
        <is>
          <t>SOURCE-303</t>
        </is>
      </c>
      <c r="U272" s="5" t="inlineStr">
        <is>
          <t>High</t>
        </is>
      </c>
    </row>
    <row r="273" ht="124" customHeight="1">
      <c r="A273" s="15" t="inlineStr">
        <is>
          <t>PERSON-272</t>
        </is>
      </c>
      <c r="B273" s="5" t="inlineStr">
        <is>
          <t>Jaidev</t>
        </is>
      </c>
      <c r="C273" s="5" t="inlineStr">
        <is>
          <t>Song composer</t>
        </is>
      </c>
      <c r="D273" s="17" t="n">
        <v>1918</v>
      </c>
      <c r="E273" s="17" t="n">
        <v>1987</v>
      </c>
      <c r="F273" s="5" t="inlineStr">
        <is>
          <t>1933–1987</t>
        </is>
      </c>
      <c r="G273" s="5" t="inlineStr">
        <is>
          <t>Hindi cinema</t>
        </is>
      </c>
      <c r="H273" s="5" t="inlineStr">
        <is>
          <t>Jaidev Verma (3 August 1918 – 6 January 1987), known as Jaidev, was a music composer in Hindi films, born in Nairobi and resident in Bombay. He is best known for Hum Dono (1961), Reshma Aur Shera (1971), Prem Parbat, Gharaonda (1977) and Gaman (1978), and won the National Film Award for Best Music Direction three times — for Reshma Aur Shera, Gaman and Ankahee.</t>
        </is>
      </c>
      <c r="I273" s="5" t="inlineStr">
        <is>
          <t>Working in film from the 1930s as a performer, later composing.</t>
        </is>
      </c>
      <c r="J273" s="5" t="inlineStr">
        <is>
          <t>With Kapoor: Laila Majnu (1976). Elsewhere, Hum Dono, Reshma Aur Shera, Gharaonda and Gaman.</t>
        </is>
      </c>
      <c r="K273" s="19" t="inlineStr">
        <is>
          <t>The ghazal and the restrained, classically grounded film song; parallel-cinema scores.</t>
        </is>
      </c>
      <c r="L273" s="19" t="inlineStr">
        <is>
          <t>A composer of austere, melodically exact songs, valued more by critics and musicians than by the commercial market.</t>
        </is>
      </c>
      <c r="M273" s="5" t="inlineStr">
        <is>
          <t>Three National Film Awards for Best Music Direction — Reshma Aur Shera (1972), Gaman (1979) and Ankahee (1985).</t>
        </is>
      </c>
      <c r="N273" s="19" t="inlineStr">
        <is>
          <t>One of the most critically admired Hindi film composers, and among the few to win the National Film Award for music three times.</t>
        </is>
      </c>
      <c r="O273" s="19" t="inlineStr">
        <is>
          <t>One film: H. S. Rawail's Laila Majnu (1976), in which Kapoor played Qais in the classical Arabic love tragedy. The film carries two composer credits, Jaidev and Madan Mohan, and this workbook records both as credited rather than assigning the score to either; Madan Mohan had died in July 1975, the year before the film's release.</t>
        </is>
      </c>
      <c r="P273" s="17" t="n">
        <v>1</v>
      </c>
      <c r="Q273" s="5" t="inlineStr">
        <is>
          <t>FILM-013</t>
        </is>
      </c>
      <c r="R273" s="5" t="inlineStr">
        <is>
          <t>Laila Majnu (1976)</t>
        </is>
      </c>
      <c r="S273" s="5" t="inlineStr">
        <is>
          <t>Jaidev is among the most critically admired composers in this filmography, and he worked on one of its most ambitious films. A three-time National Film Award winner for Reshma Aur Shera, Gaman and Ankahee, he wrote in a spare, classically grounded idiom — Hum Dono, Gharaonda — that earned more respect than money. His Kapoor credit is Laila Majnu (1976), H. S. Rawail's version of the Qais and Laila legend, which asked the twenty-four-year-old star for tragic rather than teenage love and succeeded commercially. The film carries two composer credits, Jaidev and Madan Mohan, the latter having died in July 1975; this workbook records both as credited without deciding how the work was divided. Jaidev died in January 1987.</t>
        </is>
      </c>
      <c r="T273" s="5" t="inlineStr">
        <is>
          <t>SOURCE-304</t>
        </is>
      </c>
      <c r="U273" s="5" t="inlineStr">
        <is>
          <t>High</t>
        </is>
      </c>
    </row>
    <row r="274" ht="94" customHeight="1">
      <c r="A274" s="15" t="inlineStr">
        <is>
          <t>PERSON-273</t>
        </is>
      </c>
      <c r="B274" s="5" t="inlineStr">
        <is>
          <t>Jatish Varma</t>
        </is>
      </c>
      <c r="C274" s="5" t="inlineStr">
        <is>
          <t>Producer</t>
        </is>
      </c>
      <c r="D274" s="18" t="n"/>
      <c r="E274" s="18" t="n"/>
      <c r="F274" s="5" t="n"/>
      <c r="G274" s="5" t="inlineStr">
        <is>
          <t>Hindi cinema</t>
        </is>
      </c>
      <c r="H274" s="5" t="inlineStr">
        <is>
          <t>A producer credited on one film in this filmography, with no Wikipedia article of his own.</t>
        </is>
      </c>
      <c r="I274" s="5" t="n"/>
      <c r="J274" s="5" t="inlineStr">
        <is>
          <t>With Kapoor: Manto (2018).</t>
        </is>
      </c>
      <c r="K274" s="19" t="inlineStr">
        <is>
          <t>Not documented.</t>
        </is>
      </c>
      <c r="L274" s="19" t="inlineStr">
        <is>
          <t>Not documented.</t>
        </is>
      </c>
      <c r="M274" s="5" t="n"/>
      <c r="N274" s="19" t="inlineStr">
        <is>
          <t>Not independently documented.</t>
        </is>
      </c>
      <c r="O274" s="19" t="inlineStr">
        <is>
          <t>One film: Nandita Das's Manto (2018), the biographical film about the Urdu writer Saadat Hasan Manto, screened at Cannes in the Un Certain Regard section, in which Kapoor has a small role.</t>
        </is>
      </c>
      <c r="P274" s="17" t="n">
        <v>1</v>
      </c>
      <c r="Q274" s="5" t="inlineStr">
        <is>
          <t>FILM-156</t>
        </is>
      </c>
      <c r="R274" s="5" t="inlineStr">
        <is>
          <t>Manto (2018)</t>
        </is>
      </c>
      <c r="S274" s="5" t="inlineStr">
        <is>
          <t>Jatish Varma is one of six producers credited on Manto (2018) and has no documented biography. The film, which Nandita Das wrote and directed, follows the Urdu short-story writer Saadat Hasan Manto through obscenity trials in Bombay and his migration to Pakistan, and was screened at Cannes in Un Certain Regard; Kapoor appears briefly. Its financing was spread across six producers and four companies, a structure typical of festival-facing Indian cinema, and most of those names leave no trace. This row is built from the film's credits alone.</t>
        </is>
      </c>
      <c r="T274" s="5" t="inlineStr">
        <is>
          <t>SOURCE-147</t>
        </is>
      </c>
      <c r="U274" s="5" t="inlineStr">
        <is>
          <t>Low</t>
        </is>
      </c>
    </row>
    <row r="275" ht="94" customHeight="1">
      <c r="A275" s="15" t="inlineStr">
        <is>
          <t>PERSON-274</t>
        </is>
      </c>
      <c r="B275" s="5" t="inlineStr">
        <is>
          <t>Jawaharlal Bafna</t>
        </is>
      </c>
      <c r="C275" s="5" t="inlineStr">
        <is>
          <t>Producer</t>
        </is>
      </c>
      <c r="D275" s="18" t="n"/>
      <c r="E275" s="18" t="n"/>
      <c r="F275" s="5" t="n"/>
      <c r="G275" s="5" t="inlineStr">
        <is>
          <t>Hindi cinema</t>
        </is>
      </c>
      <c r="H275" s="5" t="inlineStr">
        <is>
          <t>A producer credited on one film in this filmography, with no Wikipedia article of his own.</t>
        </is>
      </c>
      <c r="I275" s="5" t="n"/>
      <c r="J275" s="5" t="inlineStr">
        <is>
          <t>With Kapoor: Ghar Ghar Ki Kahani (1988).</t>
        </is>
      </c>
      <c r="K275" s="19" t="inlineStr">
        <is>
          <t>The joint-family melodrama.</t>
        </is>
      </c>
      <c r="L275" s="19" t="inlineStr">
        <is>
          <t>Not documented.</t>
        </is>
      </c>
      <c r="M275" s="5" t="n"/>
      <c r="N275" s="19" t="inlineStr">
        <is>
          <t>Not independently documented.</t>
        </is>
      </c>
      <c r="O275" s="19" t="inlineStr">
        <is>
          <t>One film: Ghar Ghar Ki Kahani (1988), the first of Kalpataru's five household melodramas with Kapoor, a remake of a Telugu film whose real subject is a mother-in-law's cruelty to her daughters-in-law, with Kader Khan among its writers.</t>
        </is>
      </c>
      <c r="P275" s="17" t="n">
        <v>1</v>
      </c>
      <c r="Q275" s="5" t="inlineStr">
        <is>
          <t>FILM-064</t>
        </is>
      </c>
      <c r="R275" s="5" t="inlineStr">
        <is>
          <t>Ghar Ghar Ki Kahani (1988)</t>
        </is>
      </c>
      <c r="S275" s="5" t="inlineStr">
        <is>
          <t>Jawaharlal Bafna produced Ghar Ghar Ki Kahani (1988) and has no documented biography. The film opens the run of five family melodramas Kalpataru directed with Kapoor between 1988 and 1994 — the densest and least documented cluster in this filmography — and is a remake of a Telugu original in which the drama belongs to the household's women rather than to any romance. Kapoor plays a son whose marriage is destroyed by his own suspicion, with a second relationship scored separately in this workbook. This row is built from the film's credits alone.</t>
        </is>
      </c>
      <c r="T275" s="5" t="inlineStr">
        <is>
          <t>SOURCE-061</t>
        </is>
      </c>
      <c r="U275" s="5" t="inlineStr">
        <is>
          <t>Low</t>
        </is>
      </c>
    </row>
    <row r="276" ht="79" customHeight="1">
      <c r="A276" s="15" t="inlineStr">
        <is>
          <t>PERSON-275</t>
        </is>
      </c>
      <c r="B276" s="5" t="inlineStr">
        <is>
          <t>Jay Prakash</t>
        </is>
      </c>
      <c r="C276" s="5" t="inlineStr">
        <is>
          <t>Director; Writer</t>
        </is>
      </c>
      <c r="D276" s="18" t="n"/>
      <c r="E276" s="18" t="n"/>
      <c r="F276" s="5" t="n"/>
      <c r="G276" s="5" t="inlineStr">
        <is>
          <t>Hindi cinema</t>
        </is>
      </c>
      <c r="H276" s="5" t="inlineStr">
        <is>
          <t>A director and writer credited on one film in this filmography, with no Wikipedia article of his own.</t>
        </is>
      </c>
      <c r="I276" s="5" t="n"/>
      <c r="J276" s="5" t="inlineStr">
        <is>
          <t>With Kapoor: Saajan Ki Baahon Mein (1995).</t>
        </is>
      </c>
      <c r="K276" s="19" t="inlineStr">
        <is>
          <t>Romantic melodrama.</t>
        </is>
      </c>
      <c r="L276" s="19" t="inlineStr">
        <is>
          <t>Not documented.</t>
        </is>
      </c>
      <c r="M276" s="5" t="n"/>
      <c r="N276" s="19" t="inlineStr">
        <is>
          <t>Not independently documented.</t>
        </is>
      </c>
      <c r="O276" s="19" t="inlineStr">
        <is>
          <t>One film: Saajan Ki Baahon Mein (1995), written by Sachin Bhowmick and Rumi Jaffery with a Nadeem–Shravan score — one of the last romances built on Kapoor's leading persona before it was retired.</t>
        </is>
      </c>
      <c r="P276" s="17" t="n">
        <v>1</v>
      </c>
      <c r="Q276" s="5" t="inlineStr">
        <is>
          <t>FILM-104</t>
        </is>
      </c>
      <c r="R276" s="5" t="inlineStr">
        <is>
          <t>Saajan Ki Baahon Mein (1995)</t>
        </is>
      </c>
      <c r="S276" s="5" t="inlineStr">
        <is>
          <t>Jay Prakash directed Saajan Ki Baahon Mein (1995) and has no documented biography. The film is among the last romances written to Rishi Kapoor's established image: Sachin Bhowmick, who had supplied the plots of Khel Khel Mein and Karz two decades earlier, wrote the story; Rumi Jaffery, the David Dhawan comedy specialist, shared the script; Nadeem–Shravan, the dominant composers of the decade, wrote the songs. The formula was intact and the audience had gone. This row is built from the film's credits alone.</t>
        </is>
      </c>
      <c r="T276" s="5" t="inlineStr">
        <is>
          <t>SOURCE-097</t>
        </is>
      </c>
      <c r="U276" s="5" t="inlineStr">
        <is>
          <t>Low</t>
        </is>
      </c>
    </row>
    <row r="277" ht="94" customHeight="1">
      <c r="A277" s="15" t="inlineStr">
        <is>
          <t>PERSON-276</t>
        </is>
      </c>
      <c r="B277" s="5" t="inlineStr">
        <is>
          <t>Jayant Dharmadhikari</t>
        </is>
      </c>
      <c r="C277" s="5" t="inlineStr">
        <is>
          <t>Writer</t>
        </is>
      </c>
      <c r="D277" s="18" t="n"/>
      <c r="E277" s="18" t="n"/>
      <c r="F277" s="5" t="n"/>
      <c r="G277" s="5" t="inlineStr">
        <is>
          <t>Hindi cinema</t>
        </is>
      </c>
      <c r="H277" s="5" t="inlineStr">
        <is>
          <t>A writer credited on one film in this filmography, with no Wikipedia article of his own.</t>
        </is>
      </c>
      <c r="I277" s="5" t="n"/>
      <c r="J277" s="5" t="inlineStr">
        <is>
          <t>With Kapoor: Rafoo Chakkar (1975).</t>
        </is>
      </c>
      <c r="K277" s="19" t="inlineStr">
        <is>
          <t>Farce and disguise.</t>
        </is>
      </c>
      <c r="L277" s="19" t="inlineStr">
        <is>
          <t>Not documented; he is credited alongside Kader Khan and K. K. Shukla.</t>
        </is>
      </c>
      <c r="M277" s="5" t="n"/>
      <c r="N277" s="19" t="inlineStr">
        <is>
          <t>Not independently documented.</t>
        </is>
      </c>
      <c r="O277" s="19" t="inlineStr">
        <is>
          <t>One film: Rafoo Chakkar (1975), the Hindi reworking of Some Like It Hot in which Kapoor spends much of the picture disguised as a woman — one of the earliest demonstrations that his range included broad comedy as well as romance.</t>
        </is>
      </c>
      <c r="P277" s="17" t="n">
        <v>1</v>
      </c>
      <c r="Q277" s="5" t="inlineStr">
        <is>
          <t>FILM-007</t>
        </is>
      </c>
      <c r="R277" s="5" t="inlineStr">
        <is>
          <t>Rafoo Chakkar (1975)</t>
        </is>
      </c>
      <c r="S277" s="5" t="inlineStr">
        <is>
          <t>Jayant Dharmadhikari is credited as a writer on Rafoo Chakkar (1975) and has no documented biography. The film, written with Kader Khan and K. K. Shukla and scored by Kalyanji–Anandji, transplants Some Like It Hot to Bombay, with Kapoor and Paintal hiding from gangsters in women's clothes. It came two years after Bobby and is evidence against reading his early career as uninterrupted romance: the farce was there from the start, and it returned in Bol Radha Bol and the late Housefull films. This row is built from the film's credits alone.</t>
        </is>
      </c>
      <c r="T277" s="5" t="inlineStr">
        <is>
          <t>SOURCE-007</t>
        </is>
      </c>
      <c r="U277" s="5" t="inlineStr">
        <is>
          <t>Low</t>
        </is>
      </c>
    </row>
    <row r="278" ht="94" customHeight="1">
      <c r="A278" s="15" t="inlineStr">
        <is>
          <t>PERSON-277</t>
        </is>
      </c>
      <c r="B278" s="5" t="inlineStr">
        <is>
          <t>Jayant Gilatar</t>
        </is>
      </c>
      <c r="C278" s="5" t="inlineStr">
        <is>
          <t>Director</t>
        </is>
      </c>
      <c r="D278" s="18" t="n"/>
      <c r="E278" s="18" t="n"/>
      <c r="F278" s="5" t="n"/>
      <c r="G278" s="5" t="inlineStr">
        <is>
          <t>Hindi cinema</t>
        </is>
      </c>
      <c r="H278" s="5" t="inlineStr">
        <is>
          <t>A director credited on one film in this filmography, with no Wikipedia article of his own.</t>
        </is>
      </c>
      <c r="I278" s="5" t="n"/>
      <c r="J278" s="5" t="inlineStr">
        <is>
          <t>With Kapoor: Chalk N Duster (2016).</t>
        </is>
      </c>
      <c r="K278" s="19" t="inlineStr">
        <is>
          <t>The institutional drama; teachers and schools.</t>
        </is>
      </c>
      <c r="L278" s="19" t="inlineStr">
        <is>
          <t>Not documented.</t>
        </is>
      </c>
      <c r="M278" s="5" t="n"/>
      <c r="N278" s="19" t="inlineStr">
        <is>
          <t>Not independently documented.</t>
        </is>
      </c>
      <c r="O278" s="19" t="inlineStr">
        <is>
          <t>One film: Chalk N Duster (2016), a drama about schoolteachers resisting a commercialising management, with an ensemble including Shabana Azmi and Juhi Chawla and Kapoor in support — one of the small, socially minded pictures of his last years.</t>
        </is>
      </c>
      <c r="P278" s="17" t="n">
        <v>1</v>
      </c>
      <c r="Q278" s="5" t="inlineStr">
        <is>
          <t>FILM-150</t>
        </is>
      </c>
      <c r="R278" s="5" t="inlineStr">
        <is>
          <t>Chalk N Duster (2016)</t>
        </is>
      </c>
      <c r="S278" s="5" t="inlineStr">
        <is>
          <t>Jayant Gilatar directed Chalk N Duster (2016) and has no documented biography. The film is a modest drama about two teachers and the pressures of commercialised schooling, cast with veterans — Shabana Azmi, Juhi Chawla, Divya Dutta — and Kapoor in a supporting role. It belongs with Chalk N Duster's near-contemporaries Wedding Pullav and All Is Well among the late films in which his participation lent credibility to small productions rather than carrying them. This row is built from the film's credits alone.</t>
        </is>
      </c>
      <c r="T278" s="5" t="inlineStr">
        <is>
          <t>SOURCE-142</t>
        </is>
      </c>
      <c r="U278" s="5" t="inlineStr">
        <is>
          <t>Low</t>
        </is>
      </c>
    </row>
    <row r="279" ht="109" customHeight="1">
      <c r="A279" s="15" t="inlineStr">
        <is>
          <t>PERSON-278</t>
        </is>
      </c>
      <c r="B279" s="5" t="inlineStr">
        <is>
          <t>Jeet Gannguli</t>
        </is>
      </c>
      <c r="C279" s="5" t="inlineStr">
        <is>
          <t>Song composer</t>
        </is>
      </c>
      <c r="D279" s="17" t="n">
        <v>1971</v>
      </c>
      <c r="E279" s="18" t="n"/>
      <c r="F279" s="5" t="inlineStr">
        <is>
          <t>2001–present</t>
        </is>
      </c>
      <c r="G279" s="5" t="inlineStr">
        <is>
          <t>Hindi cinema; Bengali cinema</t>
        </is>
      </c>
      <c r="H279" s="5" t="inlineStr">
        <is>
          <t>Jeet Gannguli, born Chandrajeet Ganguly on 24 May 1971, is an Indian playback singer and composer working in Hindi and Bengali cinema. He is from Baranagar in Kolkata and has recorded for Sony Music, T-Series, Saregama, Zee Music and SVF.</t>
        </is>
      </c>
      <c r="I279" s="5" t="inlineStr">
        <is>
          <t>Composing from 2001, initially as co-composer with Pritam on Tere Liye.</t>
        </is>
      </c>
      <c r="J279" s="5" t="inlineStr">
        <is>
          <t>With Kapoor: Sanam Re (2016). Elsewhere, a large body of Bengali film music and Hindi romantic ballads.</t>
        </is>
      </c>
      <c r="K279" s="19" t="inlineStr">
        <is>
          <t>The romantic ballad; melody-led songwriting for both Bengali and Hindi audiences.</t>
        </is>
      </c>
      <c r="L279" s="19" t="inlineStr">
        <is>
          <t>A melodist working in the tradition of Bengali film song, with a parallel career as a singer.</t>
        </is>
      </c>
      <c r="M279" s="5" t="n"/>
      <c r="N279" s="19" t="inlineStr">
        <is>
          <t>One of the most prolific composers in modern Bengali cinema and a regular contributor to Hindi romantic soundtracks.</t>
        </is>
      </c>
      <c r="O279" s="19" t="inlineStr">
        <is>
          <t>One film: Sanam Re (2016), a T-Series romance directed by Divya Khosla Kumar in which Kapoor plays the hero's grandfather. He is one of several composers on the soundtrack, of whom Mithoon — who wrote the title song — is the best known.</t>
        </is>
      </c>
      <c r="P279" s="17" t="n">
        <v>1</v>
      </c>
      <c r="Q279" s="5" t="inlineStr">
        <is>
          <t>FILM-151</t>
        </is>
      </c>
      <c r="R279" s="5" t="inlineStr">
        <is>
          <t>Sanam Re (2016)</t>
        </is>
      </c>
      <c r="S279" s="5" t="inlineStr">
        <is>
          <t>Jeet Gannguli contributed to the soundtrack of Sanam Re (2016), one of Rishi Kapoor's last supporting roles. Born Chandrajeet Ganguly in Kolkata in 1971, Gannguli began in Hindi cinema as Pritam's co-composer on Tere Liye in 2001 and went on to become one of the most prolific composers in Bengali film music while supplying romantic ballads to Hindi productions. Sanam Re is a T-Series film whose soundtrack was split among several composers — the norm by then — with Mithoon's title song carrying the picture commercially. Kapoor plays the grandfather whose remembered love frames the younger couple's story, one of several late parts that traded on the audience's memory of him.</t>
        </is>
      </c>
      <c r="T279" s="5" t="inlineStr">
        <is>
          <t>SOURCE-305</t>
        </is>
      </c>
      <c r="U279" s="5" t="inlineStr">
        <is>
          <t>Medium</t>
        </is>
      </c>
    </row>
    <row r="280" ht="184" customHeight="1">
      <c r="A280" s="15" t="inlineStr">
        <is>
          <t>PERSON-279</t>
        </is>
      </c>
      <c r="B280" s="5" t="inlineStr">
        <is>
          <t>Jeetendra</t>
        </is>
      </c>
      <c r="C280" s="5" t="inlineStr">
        <is>
          <t>Producer</t>
        </is>
      </c>
      <c r="D280" s="18" t="n"/>
      <c r="E280" s="18" t="n"/>
      <c r="F280" s="5" t="n"/>
      <c r="G280" s="5" t="inlineStr">
        <is>
          <t>Hindi cinema</t>
        </is>
      </c>
      <c r="H280" s="5" t="inlineStr">
        <is>
          <t>Ravi Kapoor, known professionally as Jeetendra, is an Indian actor, producer and businessman regarded as one of the most successful stars of Hindi cinema, with more than 200 films and, by his article's account, over 120 hits across six decades. He received the Filmfare Lifetime Achievement Award at the 48th ceremony. His home banner is Tirupati Films, and the director Abhishek Kapoor is his nephew.</t>
        </is>
      </c>
      <c r="I280" s="5" t="inlineStr">
        <is>
          <t>On screen from 1959; a leading star from the mid-1960s.</t>
        </is>
      </c>
      <c r="J280" s="5" t="inlineStr">
        <is>
          <t>With Kapoor: Deedar-E-Yaar (1982), which he presented through Tirupati Films. Elsewhere, Farz, Caravan, Himmatwala and a long run of 1980s hits.</t>
        </is>
      </c>
      <c r="K280" s="19" t="inlineStr">
        <is>
          <t>The dancing hero of the 1970s and the southern-remake action melodrama of the 1980s.</t>
        </is>
      </c>
      <c r="L280" s="19" t="inlineStr">
        <is>
          <t>A star whose production involvement served his own vehicles and those of filmmakers in his orbit.</t>
        </is>
      </c>
      <c r="M280" s="5" t="inlineStr">
        <is>
          <t>Filmfare Lifetime Achievement Award at the 48th Filmfare Awards.</t>
        </is>
      </c>
      <c r="N280" s="19" t="inlineStr">
        <is>
          <t>One of the most commercially successful Hindi stars of the 1970s and 1980s, and a contemporary of Kapoor's in exactly those years.</t>
        </is>
      </c>
      <c r="O280" s="19" t="inlineStr">
        <is>
          <t>One credit, as the presenter of H. S. Rawail's Deedar-E-Yaar (1982) under his own Tirupati Films banner. His article describes the outcome plainly: the film, which also starred Rekha, Rishi Kapoor and Tina Munim, 'failed to live up to the expectations and proved to be a major box office flop with minimal recovery of the investment'. One further note for this workbook: Jeetendra's real name is Ravi Kapoor, which is also the name of an unrelated screenwriter with five credits in this filmography.</t>
        </is>
      </c>
      <c r="P280" s="17" t="n">
        <v>1</v>
      </c>
      <c r="Q280" s="5" t="inlineStr">
        <is>
          <t>FILM-038</t>
        </is>
      </c>
      <c r="R280" s="5" t="inlineStr">
        <is>
          <t>Deedar-E-Yaar (1982)</t>
        </is>
      </c>
      <c r="S280" s="5" t="inlineStr">
        <is>
          <t>Jeetendra presented Deedar-E-Yaar (1982), one of the most expensive failures in this filmography, under his own Tirupati Films banner. Born Ravi Kapoor and one of the biggest stars of the 1970s and 1980s — more than 200 films, over 120 of them hits by his article's reckoning, and a Filmfare Lifetime Achievement Award — he was Rishi Kapoor's direct contemporary and competitor for much of that period. Deedar-E-Yaar, H. S. Rawail's lavish Muslim social with Rekha, Tina Munim and Kapoor, lost most of its investment, as Jeetendra's own article records. The coincidence of his birth name with that of an unrelated writer credited on five Kapoor films is noted here to prevent the two being conflated.</t>
        </is>
      </c>
      <c r="T280" s="5" t="inlineStr">
        <is>
          <t>SOURCE-306</t>
        </is>
      </c>
      <c r="U280" s="5" t="inlineStr">
        <is>
          <t>High</t>
        </is>
      </c>
    </row>
    <row r="281" ht="124" customHeight="1">
      <c r="A281" s="15" t="inlineStr">
        <is>
          <t>PERSON-280</t>
        </is>
      </c>
      <c r="B281" s="5" t="inlineStr">
        <is>
          <t>Jeethu Joseph</t>
        </is>
      </c>
      <c r="C281" s="5" t="inlineStr">
        <is>
          <t>Director; Writer</t>
        </is>
      </c>
      <c r="D281" s="18" t="n"/>
      <c r="E281" s="18" t="n"/>
      <c r="F281" s="5" t="inlineStr">
        <is>
          <t>2007–present</t>
        </is>
      </c>
      <c r="G281" s="5" t="inlineStr">
        <is>
          <t>Malayalam cinema; Hindi cinema</t>
        </is>
      </c>
      <c r="H281" s="5" t="inlineStr">
        <is>
          <t>Jeethu Joseph, from Muvattupuzha in Kerala, is an Indian director and screenwriter working principally in Malayalam cinema since 2007.</t>
        </is>
      </c>
      <c r="I281" s="5" t="inlineStr">
        <is>
          <t>Directing from 2007 in Malayalam.</t>
        </is>
      </c>
      <c r="J281" s="5" t="inlineStr">
        <is>
          <t>With Kapoor: The Body (2019). Elsewhere, his Malayalam thrillers.</t>
        </is>
      </c>
      <c r="K281" s="19" t="inlineStr">
        <is>
          <t>The procedural thriller built on concealment and reversal.</t>
        </is>
      </c>
      <c r="L281" s="19" t="inlineStr">
        <is>
          <t>A thriller specialist whose films turn on a withheld piece of information.</t>
        </is>
      </c>
      <c r="M281" s="5" t="n"/>
      <c r="N281" s="19" t="inlineStr">
        <is>
          <t>One of the most commercially successful directors of Malayalam thrillers of his period.</t>
        </is>
      </c>
      <c r="O281" s="19" t="inlineStr">
        <is>
          <t>One film: The Body (2019), a Hindi remake of the Spanish thriller of the same name, in which Kapoor plays the police officer investigating a corpse's disappearance from a morgue. It was the last film released in his lifetime — he died five months later — and a procedural part of a kind entirely absent from his leading years.</t>
        </is>
      </c>
      <c r="P281" s="17" t="n">
        <v>1</v>
      </c>
      <c r="Q281" s="5" t="inlineStr">
        <is>
          <t>FILM-159</t>
        </is>
      </c>
      <c r="R281" s="5" t="inlineStr">
        <is>
          <t>The Body (2019)</t>
        </is>
      </c>
      <c r="S281" s="5" t="inlineStr">
        <is>
          <t>Jeethu Joseph directed the last film released in Rishi Kapoor's lifetime. A Malayalam filmmaker from Muvattupuzha working since 2007 and known for tightly plotted thrillers, Joseph was brought in to remake the Spanish film The Body, whose original writer-director Oriol Paulo also appears in this workbook's credits. Kapoor plays the police officer running the investigation after a body vanishes from a morgue — a cold, procedural role of a kind he was never offered as a leading man, and the last of the late parts that widened his range. The film opened in December 2019; he died in April 2020, leaving Sharmaji Namkeen unfinished.</t>
        </is>
      </c>
      <c r="T281" s="5" t="inlineStr">
        <is>
          <t>SOURCE-307</t>
        </is>
      </c>
      <c r="U281" s="5" t="inlineStr">
        <is>
          <t>Medium</t>
        </is>
      </c>
    </row>
    <row r="282" ht="94" customHeight="1">
      <c r="A282" s="15" t="inlineStr">
        <is>
          <t>PERSON-281</t>
        </is>
      </c>
      <c r="B282" s="5" t="inlineStr">
        <is>
          <t>Jitu Thakar</t>
        </is>
      </c>
      <c r="C282" s="5" t="inlineStr">
        <is>
          <t>Producer</t>
        </is>
      </c>
      <c r="D282" s="18" t="n"/>
      <c r="E282" s="18" t="n"/>
      <c r="F282" s="5" t="n"/>
      <c r="G282" s="5" t="inlineStr">
        <is>
          <t>Hindi cinema</t>
        </is>
      </c>
      <c r="H282" s="5" t="inlineStr">
        <is>
          <t>A producer credited on one film in this filmography, with no Wikipedia article of his own.</t>
        </is>
      </c>
      <c r="I282" s="5" t="n"/>
      <c r="J282" s="5" t="inlineStr">
        <is>
          <t>With Kapoor: Barood (1976).</t>
        </is>
      </c>
      <c r="K282" s="19" t="inlineStr">
        <is>
          <t>Not documented.</t>
        </is>
      </c>
      <c r="L282" s="19" t="inlineStr">
        <is>
          <t>Not documented.</t>
        </is>
      </c>
      <c r="M282" s="5" t="n"/>
      <c r="N282" s="19" t="inlineStr">
        <is>
          <t>Not independently documented.</t>
        </is>
      </c>
      <c r="O282" s="19" t="inlineStr">
        <is>
          <t>One film: Barood (1976), from the glut of work that followed Bobby, with a Sachin Bhowmick story and Anand Bakshi's lyrics.</t>
        </is>
      </c>
      <c r="P282" s="17" t="n">
        <v>1</v>
      </c>
      <c r="Q282" s="5" t="inlineStr">
        <is>
          <t>FILM-010</t>
        </is>
      </c>
      <c r="R282" s="5" t="inlineStr">
        <is>
          <t>Barood (1976)</t>
        </is>
      </c>
      <c r="S282" s="5" t="inlineStr">
        <is>
          <t>Jitu Thakar is among the producers credited on Barood (1976) and has no documented biography. The film belongs to the three years after Bobby, when Kapoor at twenty-three was the most saleable young lover in Hindi cinema and producers financed almost anything he appeared in. Three separate producers are credited on it, none of them documented — a pattern repeated across the lower tiers of this workbook, where the financing of a 1970s mid-budget film has left no record beyond the names on its titles. This row is built from the film's credits alone.</t>
        </is>
      </c>
      <c r="T282" s="5" t="inlineStr">
        <is>
          <t>SOURCE-014</t>
        </is>
      </c>
      <c r="U282" s="5" t="inlineStr">
        <is>
          <t>Low</t>
        </is>
      </c>
    </row>
    <row r="283" ht="109" customHeight="1">
      <c r="A283" s="15" t="inlineStr">
        <is>
          <t>PERSON-282</t>
        </is>
      </c>
      <c r="B283" s="5" t="inlineStr">
        <is>
          <t>K. Bapaiah</t>
        </is>
      </c>
      <c r="C283" s="5" t="inlineStr">
        <is>
          <t>Director</t>
        </is>
      </c>
      <c r="D283" s="18" t="n"/>
      <c r="E283" s="18" t="n"/>
      <c r="F283" s="5" t="n"/>
      <c r="G283" s="5" t="inlineStr">
        <is>
          <t>Telugu cinema; Hindi cinema</t>
        </is>
      </c>
      <c r="H283" s="5" t="inlineStr">
        <is>
          <t>Kovelamudi Bapayya, known as K. Bapaiah, is an Indian film director who has directed about eighty films in Telugu and Hindi. He is a cousin of the director K. Raghavendra Rao and a nephew of the director and producer K. S. Prakash Rao.</t>
        </is>
      </c>
      <c r="I283" s="5" t="inlineStr">
        <is>
          <t>Directing in Telugu cinema before moving into Hindi remakes.</t>
        </is>
      </c>
      <c r="J283" s="5" t="inlineStr">
        <is>
          <t>With Kapoor: Kasak (1992). Elsewhere, a long run of Telugu films and their Hindi versions.</t>
        </is>
      </c>
      <c r="K283" s="19" t="inlineStr">
        <is>
          <t>Family melodrama and revenge drama transplanted from Telugu originals.</t>
        </is>
      </c>
      <c r="L283" s="19" t="inlineStr">
        <is>
          <t>A high-volume director working in two industries, specialising in the southern formula remade for Hindi audiences.</t>
        </is>
      </c>
      <c r="M283" s="5" t="n"/>
      <c r="N283" s="19" t="inlineStr">
        <is>
          <t>One of the most prolific directors of the Telugu-to-Hindi remake, a significant commercial current of 1980s and early 1990s Hindi cinema.</t>
        </is>
      </c>
      <c r="O283" s="19" t="inlineStr">
        <is>
          <t>One film: Kasak (1992), a Rajesh Roshan-scored melodrama from the year in which Kapoor's leading career effectively ended. It belongs to the southern pipeline — T. Rama Rao, K. Bapaiah, K. Ravi Shankar — that supplied a substantial share of his work from the mid-1980s on.</t>
        </is>
      </c>
      <c r="P283" s="17" t="n">
        <v>1</v>
      </c>
      <c r="Q283" s="5" t="inlineStr">
        <is>
          <t>FILM-084</t>
        </is>
      </c>
      <c r="R283" s="5" t="inlineStr">
        <is>
          <t>Kasak (1992)</t>
        </is>
      </c>
      <c r="S283" s="5" t="inlineStr">
        <is>
          <t>K. Bapaiah directed one Rishi Kapoor film, and his presence identifies a current that runs through the actor's middle period. Born Kovelamudi Bapayya into a filmmaking family — cousin of K. Raghavendra Rao, nephew of K. S. Prakash Rao — he directed some eighty films across Telugu and Hindi cinema, most of them transplanting proven southern melodrama into Hindi. Kasak (1992), with a Rajesh Roshan score, came in the year of Deewana and Bol Radha Bol, as Kapoor's run as a lead was closing. Several directors from the same pipeline, T. Rama Rao and K. Ravi Shankar among them, account for a notable share of his films after 1985, when the Bombay mainstream had begun to look elsewhere.</t>
        </is>
      </c>
      <c r="T283" s="5" t="inlineStr">
        <is>
          <t>SOURCE-308</t>
        </is>
      </c>
      <c r="U283" s="5" t="inlineStr">
        <is>
          <t>Medium</t>
        </is>
      </c>
    </row>
    <row r="284" ht="94" customHeight="1">
      <c r="A284" s="15" t="inlineStr">
        <is>
          <t>PERSON-283</t>
        </is>
      </c>
      <c r="B284" s="5" t="inlineStr">
        <is>
          <t>K. L. Bhatia</t>
        </is>
      </c>
      <c r="C284" s="5" t="inlineStr">
        <is>
          <t>Producer</t>
        </is>
      </c>
      <c r="D284" s="18" t="n"/>
      <c r="E284" s="18" t="n"/>
      <c r="F284" s="5" t="n"/>
      <c r="G284" s="5" t="inlineStr">
        <is>
          <t>Hindi cinema</t>
        </is>
      </c>
      <c r="H284" s="5" t="inlineStr">
        <is>
          <t>A producer credited on one film in this filmography, with no Wikipedia article of his own.</t>
        </is>
      </c>
      <c r="I284" s="5" t="n"/>
      <c r="J284" s="5" t="inlineStr">
        <is>
          <t>With Kapoor: Zinda Dil (1975).</t>
        </is>
      </c>
      <c r="K284" s="19" t="inlineStr">
        <is>
          <t>Not documented.</t>
        </is>
      </c>
      <c r="L284" s="19" t="inlineStr">
        <is>
          <t>Not documented.</t>
        </is>
      </c>
      <c r="M284" s="5" t="n"/>
      <c r="N284" s="19" t="inlineStr">
        <is>
          <t>Not independently documented.</t>
        </is>
      </c>
      <c r="O284" s="19" t="inlineStr">
        <is>
          <t>One film: Zinda Dil (1975), directed by Sikandar Khanna with a Laxmikant–Pyarelal score, from the rush of romances Kapoor made in the two years after Bobby.</t>
        </is>
      </c>
      <c r="P284" s="17" t="n">
        <v>1</v>
      </c>
      <c r="Q284" s="5" t="inlineStr">
        <is>
          <t>FILM-008</t>
        </is>
      </c>
      <c r="R284" s="5" t="inlineStr">
        <is>
          <t>Zinda Dil (1975)</t>
        </is>
      </c>
      <c r="S284" s="5" t="inlineStr">
        <is>
          <t>K. L. Bhatia is among the producers credited on Zinda Dil (1975) and has no documented biography. The film came two years after Bobby, directed by Sikandar Khanna — who would die during the making of his next Kapoor film — and scored by Laxmikant–Pyarelal, whose thirty-two credits make them the most frequent collaborators in this filmography. It belongs to the period when the market would absorb any romance with Kapoor in it, and when the people financing those films left almost no record. This row is built from the film's credits alone.</t>
        </is>
      </c>
      <c r="T284" s="5" t="inlineStr">
        <is>
          <t>SOURCE-008</t>
        </is>
      </c>
      <c r="U284" s="5" t="inlineStr">
        <is>
          <t>Low</t>
        </is>
      </c>
    </row>
    <row r="285" ht="139" customHeight="1">
      <c r="A285" s="15" t="inlineStr">
        <is>
          <t>PERSON-284</t>
        </is>
      </c>
      <c r="B285" s="5" t="inlineStr">
        <is>
          <t>K. Pappu</t>
        </is>
      </c>
      <c r="C285" s="5" t="inlineStr">
        <is>
          <t>Director; Producer; Writer</t>
        </is>
      </c>
      <c r="D285" s="18" t="n"/>
      <c r="E285" s="17" t="n">
        <v>2005</v>
      </c>
      <c r="F285" s="5" t="n"/>
      <c r="G285" s="5" t="inlineStr">
        <is>
          <t>Hindi cinema; Punjabi cinema</t>
        </is>
      </c>
      <c r="H285" s="5" t="inlineStr">
        <is>
          <t>K. Pappu (died 11 July 2005) was an Indian film director, producer and screenwriter who directed Ucha Dar Babe Nanak Da (1982), Jigri Yaar (1984), Mohabbat Ki Kasam (1986), Vishnu-Devaa (1991), Ayee Milan Ki Raat (1991), Izzat Ki Roti (1993), Maha Shaktishaali (1994) and Raghuveer (1995). He was a brother of the director Raj Kanwar.</t>
        </is>
      </c>
      <c r="I285" s="5" t="inlineStr">
        <is>
          <t>Directing from the early 1980s, including in Punjabi cinema.</t>
        </is>
      </c>
      <c r="J285" s="5" t="inlineStr">
        <is>
          <t>With Kapoor: Izzat Ki Roti (1993). Elsewhere, Ayee Milan Ki Raat and Vishnu-Devaa.</t>
        </is>
      </c>
      <c r="K285" s="19" t="inlineStr">
        <is>
          <t>Action melodrama and the family honour plot, in Hindi and Punjabi.</t>
        </is>
      </c>
      <c r="L285" s="19" t="inlineStr">
        <is>
          <t>A commercial director of mid-budget melodrama across two languages.</t>
        </is>
      </c>
      <c r="M285" s="5" t="n"/>
      <c r="N285" s="19" t="inlineStr">
        <is>
          <t>Not substantially documented beyond his filmography.</t>
        </is>
      </c>
      <c r="O285" s="19" t="inlineStr">
        <is>
          <t>One film: Izzat Ki Roti (1993), with a Bappi Lahiri score and Ranbir Pushp among its writers. The family connection is worth noting — his brother Raj Kanwar had directed Deewana the previous year, the film in which Kapoor's romantic lead passed to Shah Rukh Khan, so both brothers worked with him in consecutive years at the close of that career.</t>
        </is>
      </c>
      <c r="P285" s="17" t="n">
        <v>1</v>
      </c>
      <c r="Q285" s="5" t="inlineStr">
        <is>
          <t>FILM-095</t>
        </is>
      </c>
      <c r="R285" s="5" t="inlineStr">
        <is>
          <t>Izzat Ki Roti (1993)</t>
        </is>
      </c>
      <c r="S285" s="5" t="inlineStr">
        <is>
          <t>K. Pappu directed Izzat Ki Roti (1993), and his row records a family coincidence of some interest. He was a brother of Raj Kanwar, whose directorial debut Deewana had, the year before, staged the handover of the Hindi romantic lead from Rishi Kapoor to Shah Rukh Khan. Pappu's own career ran through Hindi and Punjabi melodrama — Ucha Dar Babe Nanak Da, Ayee Milan Ki Raat, Vishnu-Devaa — and Izzat Ki Roti, with a Bappi Lahiri score and Ranbir Pushp among its writers, is a modest entry from the end of Kapoor's lead years. He died in July 2005.</t>
        </is>
      </c>
      <c r="T285" s="5" t="inlineStr">
        <is>
          <t>SOURCE-309</t>
        </is>
      </c>
      <c r="U285" s="5" t="inlineStr">
        <is>
          <t>Medium</t>
        </is>
      </c>
    </row>
    <row r="286" ht="94" customHeight="1">
      <c r="A286" s="15" t="inlineStr">
        <is>
          <t>PERSON-285</t>
        </is>
      </c>
      <c r="B286" s="5" t="inlineStr">
        <is>
          <t>K. Rangaraj</t>
        </is>
      </c>
      <c r="C286" s="5" t="inlineStr">
        <is>
          <t>Writer</t>
        </is>
      </c>
      <c r="D286" s="18" t="n"/>
      <c r="E286" s="18" t="n"/>
      <c r="F286" s="5" t="inlineStr">
        <is>
          <t>1983–2025</t>
        </is>
      </c>
      <c r="G286" s="5" t="inlineStr">
        <is>
          <t>Tamil cinema; Hindi cinema</t>
        </is>
      </c>
      <c r="H286" s="5" t="inlineStr">
        <is>
          <t>K. Rangaraj is an Indian film director, screenwriter and producer who was active mainly in Tamil cinema in the 1980s.</t>
        </is>
      </c>
      <c r="I286" s="5" t="inlineStr">
        <is>
          <t>Working from 1983.</t>
        </is>
      </c>
      <c r="J286" s="5" t="inlineStr">
        <is>
          <t>With Kapoor: Sindoor (1987).</t>
        </is>
      </c>
      <c r="K286" s="19" t="inlineStr">
        <is>
          <t>Family melodrama of honour and remarriage, in the southern commercial tradition.</t>
        </is>
      </c>
      <c r="L286" s="19" t="inlineStr">
        <is>
          <t>Not extensively documented; a Tamil filmmaker whose material reached Hindi through remakes.</t>
        </is>
      </c>
      <c r="M286" s="5" t="n"/>
      <c r="N286" s="19" t="inlineStr">
        <is>
          <t>Not substantially documented.</t>
        </is>
      </c>
      <c r="O286" s="19" t="inlineStr">
        <is>
          <t>One film: Sindoor (1987), directed by K. Ravi Shankar with a Laxmikant–Pyarelal score — one of several Kapoor films of the period that drew on southern source material and southern filmmakers.</t>
        </is>
      </c>
      <c r="P286" s="17" t="n">
        <v>1</v>
      </c>
      <c r="Q286" s="5" t="inlineStr">
        <is>
          <t>FILM-061</t>
        </is>
      </c>
      <c r="R286" s="5" t="inlineStr">
        <is>
          <t>Sindoor (1987)</t>
        </is>
      </c>
      <c r="S286" s="5" t="inlineStr">
        <is>
          <t>K. Rangaraj is credited as a writer on Sindoor (1987), and his article records only that he was a Tamil filmmaker active mainly in the 1980s. The film, directed by K. Ravi Shankar with a Laxmikant–Pyarelal score, belongs to the pipeline that supplied much of Kapoor's work in that decade: southern writers, directors and formulas remade for the Hindi market. Of the five or six people associated with this film, three — its producer, its co-writer and its director — are documented only in fragments, and the credit for its direction had to be recovered for this workbook from the director's own article.</t>
        </is>
      </c>
      <c r="T286" s="5" t="inlineStr">
        <is>
          <t>SOURCE-310</t>
        </is>
      </c>
      <c r="U286" s="5" t="inlineStr">
        <is>
          <t>Low</t>
        </is>
      </c>
    </row>
    <row r="287" ht="109" customHeight="1">
      <c r="A287" s="15" t="inlineStr">
        <is>
          <t>PERSON-286</t>
        </is>
      </c>
      <c r="B287" s="5" t="inlineStr">
        <is>
          <t>K. Shankar</t>
        </is>
      </c>
      <c r="C287" s="5" t="inlineStr">
        <is>
          <t>Director</t>
        </is>
      </c>
      <c r="D287" s="17" t="n">
        <v>1926</v>
      </c>
      <c r="E287" s="17" t="n">
        <v>2006</v>
      </c>
      <c r="F287" s="5" t="n"/>
      <c r="G287" s="5" t="inlineStr">
        <is>
          <t>Tamil cinema; Hindi cinema; other Indian languages</t>
        </is>
      </c>
      <c r="H287" s="5" t="inlineStr">
        <is>
          <t>Kannan Shankar (17 March 1926 – 5 March 2006) was an Indian film editor, screenwriter and director who directed more than eighty films in Tamil, Telugu, Malayalam, Kannada and Hindi, as well as one in Sinhala. He gave Sivaji Ganesan the hit Aalayamani (1962) and went on to direct Andavan Kattalai, Anbu Karangal and many others.</t>
        </is>
      </c>
      <c r="I287" s="5" t="inlineStr">
        <is>
          <t>Working as an editor before directing; Aalayamani (1962) was an early success.</t>
        </is>
      </c>
      <c r="J287" s="5" t="inlineStr">
        <is>
          <t>With Kapoor: Raaja (1975). Elsewhere, Aalayamani and a long list of southern films.</t>
        </is>
      </c>
      <c r="K287" s="19" t="inlineStr">
        <is>
          <t>Family melodrama and the star vehicle, across five languages.</t>
        </is>
      </c>
      <c r="L287" s="19" t="inlineStr">
        <is>
          <t>An editor-turned-director of great volume, moving between industries.</t>
        </is>
      </c>
      <c r="M287" s="5" t="n"/>
      <c r="N287" s="19" t="inlineStr">
        <is>
          <t>One of the most prolific directors in Indian cinema, with more than eighty films across five languages.</t>
        </is>
      </c>
      <c r="O287" s="19" t="inlineStr">
        <is>
          <t>One film: Raaja (1975), an R. D. Burman-scored picture written in part by Inder Raj Anand, from the two years after Bobby. It is the earliest instance in this filmography of a southern director being brought in for a Kapoor film — a pattern that would become common a decade later.</t>
        </is>
      </c>
      <c r="P287" s="17" t="n">
        <v>1</v>
      </c>
      <c r="Q287" s="5" t="inlineStr">
        <is>
          <t>FILM-005</t>
        </is>
      </c>
      <c r="R287" s="5" t="inlineStr">
        <is>
          <t>Raaja (1975)</t>
        </is>
      </c>
      <c r="S287" s="5" t="inlineStr">
        <is>
          <t>K. Shankar directed Raaja (1975), and he is among the most prolific filmmakers in this workbook. Born Kannan Shankar in 1926, he began as an editor and directed more than eighty films in Tamil, Telugu, Malayalam, Kannada and Hindi — plus one in Sinhala — including Aalayamani, a hit for Sivaji Ganesan. Raaja came two years after Bobby, with an R. D. Burman score and a script in part by Inder Raj Anand, Raj Kapoor's long-serving writer. It is the first sign in this filmography of a pattern that would dominate Kapoor's mid-1980s: southern directors working in Hindi, on material and formulas proven elsewhere. Shankar died in 2006.</t>
        </is>
      </c>
      <c r="T287" s="5" t="inlineStr">
        <is>
          <t>SOURCE-311</t>
        </is>
      </c>
      <c r="U287" s="5" t="inlineStr">
        <is>
          <t>Medium</t>
        </is>
      </c>
    </row>
    <row r="288" ht="79" customHeight="1">
      <c r="A288" s="15" t="inlineStr">
        <is>
          <t>PERSON-287</t>
        </is>
      </c>
      <c r="B288" s="5" t="inlineStr">
        <is>
          <t>K. Shorey</t>
        </is>
      </c>
      <c r="C288" s="5" t="inlineStr">
        <is>
          <t>Producer</t>
        </is>
      </c>
      <c r="D288" s="18" t="n"/>
      <c r="E288" s="18" t="n"/>
      <c r="F288" s="5" t="n"/>
      <c r="G288" s="5" t="inlineStr">
        <is>
          <t>Hindi cinema</t>
        </is>
      </c>
      <c r="H288" s="5" t="inlineStr">
        <is>
          <t>A producer credited on one film in this filmography, with no Wikipedia article of his own.</t>
        </is>
      </c>
      <c r="I288" s="5" t="n"/>
      <c r="J288" s="5" t="inlineStr">
        <is>
          <t>With Kapoor: Zinda Dil (1975).</t>
        </is>
      </c>
      <c r="K288" s="19" t="inlineStr">
        <is>
          <t>Not documented.</t>
        </is>
      </c>
      <c r="L288" s="19" t="inlineStr">
        <is>
          <t>Not documented.</t>
        </is>
      </c>
      <c r="M288" s="5" t="n"/>
      <c r="N288" s="19" t="inlineStr">
        <is>
          <t>Not independently documented.</t>
        </is>
      </c>
      <c r="O288" s="19" t="inlineStr">
        <is>
          <t>One film: Zinda Dil (1975), directed by Sikandar Khanna with a Laxmikant–Pyarelal score, from the rush of romances that followed Bobby.</t>
        </is>
      </c>
      <c r="P288" s="17" t="n">
        <v>1</v>
      </c>
      <c r="Q288" s="5" t="inlineStr">
        <is>
          <t>FILM-008</t>
        </is>
      </c>
      <c r="R288" s="5" t="inlineStr">
        <is>
          <t>Zinda Dil (1975)</t>
        </is>
      </c>
      <c r="S288" s="5" t="inlineStr">
        <is>
          <t>K. Shorey is among the producers credited on Zinda Dil (1975) and has no documented biography. The film belongs to the two years after Bobby, when Kapoor's name alone could finance a romance; it was directed by Sikandar Khanna, who died during production of his next film with the actor, and scored by Laxmikant–Pyarelal. Like most of the producers in this tier of the workbook, Shorey is attested only by the credits of the film he financed. This row is built from the film's credits alone.</t>
        </is>
      </c>
      <c r="T288" s="5" t="inlineStr">
        <is>
          <t>SOURCE-008</t>
        </is>
      </c>
      <c r="U288" s="5" t="inlineStr">
        <is>
          <t>Low</t>
        </is>
      </c>
    </row>
    <row r="289" ht="169" customHeight="1">
      <c r="A289" s="15" t="inlineStr">
        <is>
          <t>PERSON-288</t>
        </is>
      </c>
      <c r="B289" s="5" t="inlineStr">
        <is>
          <t>K. Viswanath</t>
        </is>
      </c>
      <c r="C289" s="5" t="inlineStr">
        <is>
          <t>Director; Writer</t>
        </is>
      </c>
      <c r="D289" s="17" t="n">
        <v>1930</v>
      </c>
      <c r="E289" s="17" t="n">
        <v>2023</v>
      </c>
      <c r="F289" s="5" t="inlineStr">
        <is>
          <t>1951–2023</t>
        </is>
      </c>
      <c r="G289" s="5" t="inlineStr">
        <is>
          <t>Telugu cinema; Hindi cinema</t>
        </is>
      </c>
      <c r="H289" s="5" t="inlineStr">
        <is>
          <t>Kasinadhuni Viswanath (19 February 1930 – 2 February 2023) was an Indian director, screenwriter, lyricist and actor who worked predominantly in Telugu cinema and was known for blending parallel cinema with the mainstream. He received the Prize of the Public at the Besançon Film Festival in 1981, the Padma Shri in 1992, the Raghupathi Venkaiah Award, and the Dadasaheb Phalke Award in 2016. He won five National Film Awards, seven Nandi Awards, ten Filmfare Awards South and one Filmfare Award in Hindi.</t>
        </is>
      </c>
      <c r="I289" s="5" t="inlineStr">
        <is>
          <t>Working from 1951; his Hindi films include Sargam (1979), Kaamchor (1982), Sur Sangam (1985) and Sanjog (1985).</t>
        </is>
      </c>
      <c r="J289" s="5" t="inlineStr">
        <is>
          <t>With Kapoor: Sargam (1979). Elsewhere, Sankarabharanam, Sagara Sangamam, Swathi Muthyam and Sur Sangam.</t>
        </is>
      </c>
      <c r="K289" s="19" t="inlineStr">
        <is>
          <t>Classical Indian art — music, dance, sculpture — as the subject and moral centre of popular melodrama; disability and social exclusion.</t>
        </is>
      </c>
      <c r="L289" s="19" t="inlineStr">
        <is>
          <t>A director who made art and performance the engine of mass entertainment, bringing classical forms into commercial cinema without condescension.</t>
        </is>
      </c>
      <c r="M289" s="5" t="inlineStr">
        <is>
          <t>Five National Film Awards, the Padma Shri (1992) and the Dadasaheb Phalke Award (2016), among many others.</t>
        </is>
      </c>
      <c r="N289" s="19" t="inlineStr">
        <is>
          <t>One of the most honoured Indian filmmakers of his generation and the figure most associated with the classical-arts melodrama.</t>
        </is>
      </c>
      <c r="O289" s="19" t="inlineStr">
        <is>
          <t>One film, and a defining one: Sargam (1979), Viswanath's Hindi remake of his own Telugu film, in which Kapoor plays opposite Jaya Prada as a man who loves a mute woman and courts her through the dholak. The soundtrack by Laxmikant–Pyarelal was a phenomenon, and the film is one of the three or four on which Kapoor's image as a singing romantic hero rests.</t>
        </is>
      </c>
      <c r="P289" s="17" t="n">
        <v>1</v>
      </c>
      <c r="Q289" s="5" t="inlineStr">
        <is>
          <t>FILM-023</t>
        </is>
      </c>
      <c r="R289" s="5" t="inlineStr">
        <is>
          <t>Sargam (1979)</t>
        </is>
      </c>
      <c r="S289" s="5" t="inlineStr">
        <is>
          <t>K. Viswanath directed Sargam, one of the films that fixed Rishi Kapoor's identity as a musical romantic hero. The most honoured Telugu filmmaker of his generation — five National Film Awards, the Padma Shri, the Dadasaheb Phalke Award — Viswanath built his cinema on classical Indian art forms, making dance, music and sculpture the moral centre of popular melodrama. Sargam (1979), a Hindi remake of his own Telugu film, cast Kapoor opposite Jaya Prada as a man in love with a woman who cannot speak, courting her with a dholak; the Laxmikant–Pyarelal songs were among the biggest of the decade. It is the clearest case in this filmography of a director from outside the Bombay mainstream giving Kapoor his most characteristic role.</t>
        </is>
      </c>
      <c r="T289" s="5" t="inlineStr">
        <is>
          <t>SOURCE-312</t>
        </is>
      </c>
      <c r="U289" s="5" t="inlineStr">
        <is>
          <t>High</t>
        </is>
      </c>
    </row>
    <row r="290" ht="109" customHeight="1">
      <c r="A290" s="15" t="inlineStr">
        <is>
          <t>PERSON-289</t>
        </is>
      </c>
      <c r="B290" s="5" t="inlineStr">
        <is>
          <t>K.R. Reddy</t>
        </is>
      </c>
      <c r="C290" s="5" t="inlineStr">
        <is>
          <t>Director</t>
        </is>
      </c>
      <c r="D290" s="18" t="n"/>
      <c r="E290" s="18" t="n"/>
      <c r="F290" s="5" t="n"/>
      <c r="G290" s="5" t="inlineStr">
        <is>
          <t>Hindi cinema</t>
        </is>
      </c>
      <c r="H290" s="5" t="inlineStr">
        <is>
          <t>A director credited on one film in this filmography, with no Wikipedia article of his own.</t>
        </is>
      </c>
      <c r="I290" s="5" t="n"/>
      <c r="J290" s="5" t="inlineStr">
        <is>
          <t>With Kapoor: Sheshnaag (1990).</t>
        </is>
      </c>
      <c r="K290" s="19" t="inlineStr">
        <is>
          <t>The folk-mythological fantasy.</t>
        </is>
      </c>
      <c r="L290" s="19" t="inlineStr">
        <is>
          <t>Not documented.</t>
        </is>
      </c>
      <c r="M290" s="5" t="n"/>
      <c r="N290" s="19" t="inlineStr">
        <is>
          <t>Not independently documented.</t>
        </is>
      </c>
      <c r="O290" s="19" t="inlineStr">
        <is>
          <t>One film: Sheshnaag (1990), the snake-deity fantasy made in the wake of Nagina's success. The film carries two director credits in this workbook's sources, his and Iqbal Durrani's, and no source consulted here resolves how the work was divided; both are recorded.</t>
        </is>
      </c>
      <c r="P290" s="17" t="n">
        <v>1</v>
      </c>
      <c r="Q290" s="5" t="inlineStr">
        <is>
          <t>FILM-077</t>
        </is>
      </c>
      <c r="R290" s="5" t="inlineStr">
        <is>
          <t>Sheshnaag (1990)</t>
        </is>
      </c>
      <c r="S290" s="5" t="inlineStr">
        <is>
          <t>K.R. Reddy is credited as a director of Sheshnaag (1990) and has no documented biography. The film belongs to the folk-fantasy cycle that followed Nagina in 1986, with Laxmikant–Pyarelal's music and a plot of serpent deities rather than courtship, and it carries two director credits — Reddy's and Iqbal Durrani's — which the sources consulted here do not reconcile. This workbook records both rather than choosing between them. The pattern of shared or contested credits recurs through Kapoor's late-1980s films, which were made quickly and documented barely at all. This row is built from the film's credits alone.</t>
        </is>
      </c>
      <c r="T290" s="5" t="inlineStr">
        <is>
          <t>SOURCE-074</t>
        </is>
      </c>
      <c r="U290" s="5" t="inlineStr">
        <is>
          <t>Low</t>
        </is>
      </c>
    </row>
    <row r="291" ht="79" customHeight="1">
      <c r="A291" s="15" t="inlineStr">
        <is>
          <t>PERSON-290</t>
        </is>
      </c>
      <c r="B291" s="5" t="inlineStr">
        <is>
          <t>Kalapi Nagada</t>
        </is>
      </c>
      <c r="C291" s="5" t="inlineStr">
        <is>
          <t>Producer</t>
        </is>
      </c>
      <c r="D291" s="18" t="n"/>
      <c r="E291" s="18" t="n"/>
      <c r="F291" s="5" t="n"/>
      <c r="G291" s="5" t="inlineStr">
        <is>
          <t>Hindi cinema</t>
        </is>
      </c>
      <c r="H291" s="5" t="inlineStr">
        <is>
          <t>A producer credited on one film in this filmography, with no Wikipedia article of his own.</t>
        </is>
      </c>
      <c r="I291" s="5" t="n"/>
      <c r="J291" s="5" t="inlineStr">
        <is>
          <t>With Kapoor: Patel Ki Punjabi Shaadi (2017).</t>
        </is>
      </c>
      <c r="K291" s="19" t="inlineStr">
        <is>
          <t>Not documented.</t>
        </is>
      </c>
      <c r="L291" s="19" t="inlineStr">
        <is>
          <t>Not documented.</t>
        </is>
      </c>
      <c r="M291" s="5" t="n"/>
      <c r="N291" s="19" t="inlineStr">
        <is>
          <t>Not independently documented.</t>
        </is>
      </c>
      <c r="O291" s="19" t="inlineStr">
        <is>
          <t>One film: Patel Ki Punjabi Shaadi (2017), a culture-clash comedy in which Kapoor plays the Gujarati father of the bride opposite Paresh Rawal — three years before Rawal would complete Kapoor's unfinished final film.</t>
        </is>
      </c>
      <c r="P291" s="17" t="n">
        <v>1</v>
      </c>
      <c r="Q291" s="5" t="inlineStr">
        <is>
          <t>FILM-153</t>
        </is>
      </c>
      <c r="R291" s="5" t="inlineStr">
        <is>
          <t>Patel Ki Punjabi Shaadi (2017)</t>
        </is>
      </c>
      <c r="S291" s="5" t="inlineStr">
        <is>
          <t>Kalapi Nagada is among the producers of Patel Ki Punjabi Shaadi (2017) and has no documented biography. The film is a broad comedy about a Gujarati family marrying into a Punjabi one, with Kapoor and Paresh Rawal as the opposing patriarchs and songs by Lalit Pandit. Its pairing of the two actors acquired a retrospective significance: when Kapoor died in April 2020 with Sharmaji Namkeen half shot, it was Rawal who played the remaining scenes as the same character. This row is built from the film's credits alone.</t>
        </is>
      </c>
      <c r="T291" s="5" t="inlineStr">
        <is>
          <t>SOURCE-145</t>
        </is>
      </c>
      <c r="U291" s="5" t="inlineStr">
        <is>
          <t>Low</t>
        </is>
      </c>
    </row>
    <row r="292" ht="139" customHeight="1">
      <c r="A292" s="15" t="inlineStr">
        <is>
          <t>PERSON-291</t>
        </is>
      </c>
      <c r="B292" s="5" t="inlineStr">
        <is>
          <t>Kaleidoscope Entertainment</t>
        </is>
      </c>
      <c r="C292" s="5" t="inlineStr">
        <is>
          <t>Production banner</t>
        </is>
      </c>
      <c r="D292" s="18" t="n"/>
      <c r="E292" s="18" t="n"/>
      <c r="F292" s="5" t="inlineStr">
        <is>
          <t>1989–present</t>
        </is>
      </c>
      <c r="G292" s="5" t="inlineStr">
        <is>
          <t>Hindi cinema; Indian television</t>
        </is>
      </c>
      <c r="H292" s="5" t="inlineStr">
        <is>
          <t>Kaleidoscope Entertainment Pvt. Ltd., founded in 1989 and managed by Bobby Bedi, is an Indian film and television production company. Its films include Bandit Queen, Fire, Electric Moon, Saathiya, Maqbool, American Daylight and Mangal Pandey: The Rising, and it is described in its article as one of the leading production houses in the Indian film and television industry.</t>
        </is>
      </c>
      <c r="I292" s="5" t="inlineStr">
        <is>
          <t>Producing from 1989; Bandit Queen (1994) brought it international attention.</t>
        </is>
      </c>
      <c r="J292" s="5" t="inlineStr">
        <is>
          <t>With Kapoor: Chintu Ji (2009). Elsewhere, Bandit Queen, Fire, Maqbool and Mangal Pandey: The Rising.</t>
        </is>
      </c>
      <c r="K292" s="19" t="inlineStr">
        <is>
          <t>Independent Indian cinema for domestic and international audiences; adaptations and politically charged subjects.</t>
        </is>
      </c>
      <c r="L292" s="19" t="inlineStr">
        <is>
          <t>A producer's house identified with directors outside the commercial mainstream — Shekhar Kapur, Deepa Mehta, Vishal Bhardwaj.</t>
        </is>
      </c>
      <c r="M292" s="5" t="n"/>
      <c r="N292" s="19" t="inlineStr">
        <is>
          <t>One of the most significant independent production companies in Indian cinema of the 1990s and 2000s.</t>
        </is>
      </c>
      <c r="O292" s="19" t="inlineStr">
        <is>
          <t>One credit, on Chintu Ji (2009), in which Kapoor plays a fictionalised version of himself — a star named Chintu Ji, his own lifelong nickname — returning to the village of his birth. That the company behind Bandit Queen and Maqbool made it indicates the film was conceived as more than a vehicle, and it is the most directly self-referential entry in this filmography.</t>
        </is>
      </c>
      <c r="P292" s="17" t="n">
        <v>1</v>
      </c>
      <c r="Q292" s="5" t="inlineStr">
        <is>
          <t>FILM-132</t>
        </is>
      </c>
      <c r="R292" s="5" t="inlineStr">
        <is>
          <t>Chintu Ji (2009)</t>
        </is>
      </c>
      <c r="S292" s="5" t="inlineStr">
        <is>
          <t>Kaleidoscope Entertainment produced the strangest and most self-aware film in this filmography. Founded in 1989 and run by Bobby Bedi, the company made Bandit Queen, Fire, Maqbool and Mangal Pandey: The Rising — a body of work associated with Shekhar Kapur, Deepa Mehta and Vishal Bhardwaj rather than with commercial Hindi cinema. Chintu Ji (2009) casts Rishi Kapoor as a film star called Chintu Ji, the nickname he had carried since childhood and by which the whole industry knew him, who returns to the village of his birth and is received as both celebrity and disappointment. Coming a year before Do Dooni Chaar, it belongs to the period when Kapoor was beginning to treat his own persona as material.</t>
        </is>
      </c>
      <c r="T292" s="5" t="inlineStr">
        <is>
          <t>SOURCE-313</t>
        </is>
      </c>
      <c r="U292" s="5" t="inlineStr">
        <is>
          <t>High</t>
        </is>
      </c>
    </row>
    <row r="293" ht="79" customHeight="1">
      <c r="A293" s="15" t="inlineStr">
        <is>
          <t>PERSON-292</t>
        </is>
      </c>
      <c r="B293" s="5" t="inlineStr">
        <is>
          <t>Kamlesh Doshi</t>
        </is>
      </c>
      <c r="C293" s="5" t="inlineStr">
        <is>
          <t>Producer</t>
        </is>
      </c>
      <c r="D293" s="18" t="n"/>
      <c r="E293" s="18" t="n"/>
      <c r="F293" s="5" t="n"/>
      <c r="G293" s="5" t="inlineStr">
        <is>
          <t>Hindi cinema</t>
        </is>
      </c>
      <c r="H293" s="5" t="inlineStr">
        <is>
          <t>A producer credited on one film in this filmography, with no Wikipedia article of his own.</t>
        </is>
      </c>
      <c r="I293" s="5" t="n"/>
      <c r="J293" s="5" t="inlineStr">
        <is>
          <t>With Kapoor: Kaun Sachcha Kaun Jhootha (1997).</t>
        </is>
      </c>
      <c r="K293" s="19" t="inlineStr">
        <is>
          <t>Not documented.</t>
        </is>
      </c>
      <c r="L293" s="19" t="inlineStr">
        <is>
          <t>Not documented.</t>
        </is>
      </c>
      <c r="M293" s="5" t="n"/>
      <c r="N293" s="19" t="inlineStr">
        <is>
          <t>Not independently documented.</t>
        </is>
      </c>
      <c r="O293" s="19" t="inlineStr">
        <is>
          <t>One film: Kaun Sachcha Kaun Jhootha (1997), a Rakesh Roshan production scored by his brother Rajesh Roshan and written in part by Ranbir Pushp — one of the last films in which Kapoor took a leading role.</t>
        </is>
      </c>
      <c r="P293" s="17" t="n">
        <v>1</v>
      </c>
      <c r="Q293" s="5" t="inlineStr">
        <is>
          <t>FILM-109</t>
        </is>
      </c>
      <c r="R293" s="5" t="inlineStr">
        <is>
          <t>Kaun Sachcha Kaun Jhootha (1997)</t>
        </is>
      </c>
      <c r="S293" s="5" t="inlineStr">
        <is>
          <t>Kamlesh Doshi is credited as a producer on Kaun Sachcha Kaun Jhootha (1997) and has no documented biography. The film is one of the last of Rishi Kapoor's leading roles, made by the Roshan family unit — Rakesh Roshan producing and directing, his brother Rajesh Roshan scoring — that accounts for four films in this filmography. Within three years Rakesh Roshan would launch his son Hrithik in Kaho Naa... Pyaar Hai and Kapoor would be taking supporting parts. This row is built from the film's credits alone.</t>
        </is>
      </c>
      <c r="T293" s="5" t="inlineStr">
        <is>
          <t>SOURCE-102</t>
        </is>
      </c>
      <c r="U293" s="5" t="inlineStr">
        <is>
          <t>Low</t>
        </is>
      </c>
    </row>
    <row r="294" ht="124" customHeight="1">
      <c r="A294" s="15" t="inlineStr">
        <is>
          <t>PERSON-293</t>
        </is>
      </c>
      <c r="B294" s="5" t="inlineStr">
        <is>
          <t>Kamleshwar</t>
        </is>
      </c>
      <c r="C294" s="5" t="inlineStr">
        <is>
          <t>Writer</t>
        </is>
      </c>
      <c r="D294" s="18" t="n"/>
      <c r="E294" s="18" t="n"/>
      <c r="F294" s="5" t="n"/>
      <c r="G294" s="5" t="inlineStr">
        <is>
          <t>Hindi cinema</t>
        </is>
      </c>
      <c r="H294" s="5" t="inlineStr">
        <is>
          <t>A writer credited on one film in this filmography. No Wikipedia article could be resolved for him in this research: the bare name returns a page too short to use, and no disambiguated title was identified, so nothing beyond the credit is recorded here.</t>
        </is>
      </c>
      <c r="I294" s="5" t="n"/>
      <c r="J294" s="5" t="inlineStr">
        <is>
          <t>With Kapoor: Pati Patni Aur Woh (1978).</t>
        </is>
      </c>
      <c r="K294" s="19" t="inlineStr">
        <is>
          <t>Not documented.</t>
        </is>
      </c>
      <c r="L294" s="19" t="inlineStr">
        <is>
          <t>Not documented.</t>
        </is>
      </c>
      <c r="M294" s="5" t="n"/>
      <c r="N294" s="19" t="inlineStr">
        <is>
          <t>Not documented here.</t>
        </is>
      </c>
      <c r="O294" s="19" t="inlineStr">
        <is>
          <t>One film, and an interesting one: B. R. Chopra's Pati Patni Aur Woh (1978), a comedy of adultery in which Kapoor plays the husband who deceives both his wife and his mistress — one of the few films of his young-star period that treats marriage rather than courtship, and one of only two Chopra films in the filmography.</t>
        </is>
      </c>
      <c r="P294" s="17" t="n">
        <v>1</v>
      </c>
      <c r="Q294" s="5" t="inlineStr">
        <is>
          <t>FILM-020</t>
        </is>
      </c>
      <c r="R294" s="5" t="inlineStr">
        <is>
          <t>Pati Patni Aur Woh (1978)</t>
        </is>
      </c>
      <c r="S294" s="5" t="inlineStr">
        <is>
          <t>Kamleshwar is credited as a writer on Pati Patni Aur Woh (1978), and this research could not resolve an article for him — the bare name returns a page too brief to use, so the row records the credit and nothing more. The film is among the more unusual of Kapoor's early career: B. R. Chopra, Hindi cinema's foremost maker of social problem films, directing a comedy about a husband conducting an affair and lying to both women, with Ravindra Jain's music and Anand Bakshi's lyrics. In a filmography dominated by courtship, it is one of the few entries that takes marriage and its failures as the subject.</t>
        </is>
      </c>
      <c r="T294" s="5" t="inlineStr">
        <is>
          <t>SOURCE-022</t>
        </is>
      </c>
      <c r="U294" s="5" t="inlineStr">
        <is>
          <t>Low</t>
        </is>
      </c>
    </row>
    <row r="295" ht="139" customHeight="1">
      <c r="A295" s="15" t="inlineStr">
        <is>
          <t>PERSON-294</t>
        </is>
      </c>
      <c r="B295" s="5" t="inlineStr">
        <is>
          <t>Kanchan Ketan Desai</t>
        </is>
      </c>
      <c r="C295" s="5" t="inlineStr">
        <is>
          <t>Producer</t>
        </is>
      </c>
      <c r="D295" s="18" t="n"/>
      <c r="E295" s="18" t="n"/>
      <c r="F295" s="5" t="n"/>
      <c r="G295" s="5" t="inlineStr">
        <is>
          <t>Hindi cinema</t>
        </is>
      </c>
      <c r="H295" s="5" t="inlineStr">
        <is>
          <t>A producer credited on one film in this filmography, with no Wikipedia article of her own. The article on her husband, the director Ketan Desai, records that he is married to Kanchan Kapoor, a daughter of the actor Shammi Kapoor — which makes her Rishi Kapoor's first cousin and the credit a family one.</t>
        </is>
      </c>
      <c r="I295" s="5" t="n"/>
      <c r="J295" s="5" t="inlineStr">
        <is>
          <t>With Kapoor: Yeh Hai Jalwa (2002).</t>
        </is>
      </c>
      <c r="K295" s="19" t="inlineStr">
        <is>
          <t>The late Desai-family masala comedy.</t>
        </is>
      </c>
      <c r="L295" s="19" t="inlineStr">
        <is>
          <t>Not documented.</t>
        </is>
      </c>
      <c r="M295" s="5" t="n"/>
      <c r="N295" s="19" t="inlineStr">
        <is>
          <t>Not independently documented.</t>
        </is>
      </c>
      <c r="O295" s="19" t="inlineStr">
        <is>
          <t>One film: Yeh Hai Jalwa (2002), directed by her husband Ketan Desai under the MKD Films Combine banner, with Kapoor in a supporting role as the older generation to Salman Khan's lead. She is his first cousin — the daughter of Shammi Kapoor — so this is one of several credits in this filmography that run through the family rather than the industry.</t>
        </is>
      </c>
      <c r="P295" s="17" t="n">
        <v>1</v>
      </c>
      <c r="Q295" s="5" t="inlineStr">
        <is>
          <t>FILM-114</t>
        </is>
      </c>
      <c r="R295" s="5" t="inlineStr">
        <is>
          <t>Yeh Hai Jalwa (2002)</t>
        </is>
      </c>
      <c r="S295" s="5" t="inlineStr">
        <is>
          <t>Kanchan Ketan Desai produced Yeh Hai Jalwa (2002), and the credit is a family one twice over. Her husband Ketan Desai, who directed it, was the son of Manmohan Desai, the maker of Amar Akbar Anthony, Naseeb and Coolie; she is, according to his article, Kanchan Kapoor, a daughter of Shammi Kapoor, and therefore Rishi Kapoor's first cousin. The film was the last attempt to revive the Desai masala formula, with Kapoor now playing the older generation to Salman Khan's lead. Between the Desais and the Kapoors, the production was almost entirely a matter of two intermarried film families. This row is built from the film's credits alone.</t>
        </is>
      </c>
      <c r="T295" s="5" t="inlineStr">
        <is>
          <t>SOURCE-106; SOURCE-182</t>
        </is>
      </c>
      <c r="U295" s="5" t="inlineStr">
        <is>
          <t>Medium</t>
        </is>
      </c>
    </row>
    <row r="296" ht="79" customHeight="1">
      <c r="A296" s="15" t="inlineStr">
        <is>
          <t>PERSON-295</t>
        </is>
      </c>
      <c r="B296" s="5" t="inlineStr">
        <is>
          <t>Kanu Chauhan</t>
        </is>
      </c>
      <c r="C296" s="5" t="inlineStr">
        <is>
          <t>Producer</t>
        </is>
      </c>
      <c r="D296" s="18" t="n"/>
      <c r="E296" s="18" t="n"/>
      <c r="F296" s="5" t="n"/>
      <c r="G296" s="5" t="inlineStr">
        <is>
          <t>Hindi cinema</t>
        </is>
      </c>
      <c r="H296" s="5" t="inlineStr">
        <is>
          <t>A producer credited on one film in this filmography, with no Wikipedia article of his own.</t>
        </is>
      </c>
      <c r="I296" s="5" t="n"/>
      <c r="J296" s="5" t="inlineStr">
        <is>
          <t>With Kapoor: Ghar Ki Izzat (1994).</t>
        </is>
      </c>
      <c r="K296" s="19" t="inlineStr">
        <is>
          <t>The household melodrama.</t>
        </is>
      </c>
      <c r="L296" s="19" t="inlineStr">
        <is>
          <t>Not documented.</t>
        </is>
      </c>
      <c r="M296" s="5" t="n"/>
      <c r="N296" s="19" t="inlineStr">
        <is>
          <t>Not independently documented.</t>
        </is>
      </c>
      <c r="O296" s="19" t="inlineStr">
        <is>
          <t>One film: Ghar Ki Izzat (1994), the last of Kalpataru's five family melodramas with Kapoor, written with Kader Khan and Keshav Rathod.</t>
        </is>
      </c>
      <c r="P296" s="17" t="n">
        <v>1</v>
      </c>
      <c r="Q296" s="5" t="inlineStr">
        <is>
          <t>FILM-103</t>
        </is>
      </c>
      <c r="R296" s="5" t="inlineStr">
        <is>
          <t>Ghar Ki Izzat (1994)</t>
        </is>
      </c>
      <c r="S296" s="5" t="inlineStr">
        <is>
          <t>Kanu Chauhan produced Ghar Ki Izzat (1994) and has no documented biography. The film closes the run of five household melodramas Kalpataru directed with Kapoor between 1988 and 1994 — pictures named for the family rather than the romance, written largely by Kader Khan, financed by producers with no public profile and reviewed almost nowhere. Taken together they are the clearest evidence of what Kapoor's lead career had become by the early 1990s. This row is built from the film's credits alone.</t>
        </is>
      </c>
      <c r="T296" s="5" t="inlineStr">
        <is>
          <t>SOURCE-096</t>
        </is>
      </c>
      <c r="U296" s="5" t="inlineStr">
        <is>
          <t>Low</t>
        </is>
      </c>
    </row>
    <row r="297" ht="94" customHeight="1">
      <c r="A297" s="15" t="inlineStr">
        <is>
          <t>PERSON-296</t>
        </is>
      </c>
      <c r="B297" s="5" t="inlineStr">
        <is>
          <t>Kapil Kapoor</t>
        </is>
      </c>
      <c r="C297" s="5" t="inlineStr">
        <is>
          <t>Director</t>
        </is>
      </c>
      <c r="D297" s="18" t="n"/>
      <c r="E297" s="18" t="n"/>
      <c r="F297" s="5" t="n"/>
      <c r="G297" s="5" t="inlineStr">
        <is>
          <t>Hindi cinema</t>
        </is>
      </c>
      <c r="H297" s="5" t="inlineStr">
        <is>
          <t>A director credited on one film in this filmography, with no Wikipedia article of his own. The bare name resolves to an unrelated professor of linguistics at Jawaharlal Nehru University, which is how an earlier pass of this research briefly attached the wrong article to him.</t>
        </is>
      </c>
      <c r="I297" s="5" t="n"/>
      <c r="J297" s="5" t="inlineStr">
        <is>
          <t>With Kapoor: Yeh Vaada Raha (1982).</t>
        </is>
      </c>
      <c r="K297" s="19" t="inlineStr">
        <is>
          <t>Romantic melodrama.</t>
        </is>
      </c>
      <c r="L297" s="19" t="inlineStr">
        <is>
          <t>Not documented.</t>
        </is>
      </c>
      <c r="M297" s="5" t="n"/>
      <c r="N297" s="19" t="inlineStr">
        <is>
          <t>Not independently documented.</t>
        </is>
      </c>
      <c r="O297" s="19" t="inlineStr">
        <is>
          <t>One film: Yeh Vaada Raha (1982), an R. D. Burman-scored romance from the early 1980s, when Kapoor's vehicles were still being built around his singing-hero persona.</t>
        </is>
      </c>
      <c r="P297" s="17" t="n">
        <v>1</v>
      </c>
      <c r="Q297" s="5" t="inlineStr">
        <is>
          <t>FILM-036</t>
        </is>
      </c>
      <c r="R297" s="5" t="inlineStr">
        <is>
          <t>Yeh Vaada Raha (1982)</t>
        </is>
      </c>
      <c r="S297" s="5" t="inlineStr">
        <is>
          <t>Kapil Kapoor directed Yeh Vaada Raha (1982) and has no documented biography; the name on Wikipedia belongs to a Sanskrit and linguistics scholar at JNU, no relation. The film is a romance with an R. D. Burman score from the stretch when Burman was still writing Kapoor's soundtracks — twenty films between 1974 and 1985 — and when the actor's vehicles were constructed around songs. The coincidence of surname is worth noting only because this filmography already contains several unrelated Kapoors, including a screenwriter and the actor Jeetendra, whose birth name was Ravi Kapoor. This row is built from the film's credits alone.</t>
        </is>
      </c>
      <c r="T297" s="5" t="inlineStr">
        <is>
          <t>SOURCE-034</t>
        </is>
      </c>
      <c r="U297" s="5" t="inlineStr">
        <is>
          <t>Low</t>
        </is>
      </c>
    </row>
    <row r="298" ht="169" customHeight="1">
      <c r="A298" s="15" t="inlineStr">
        <is>
          <t>PERSON-297</t>
        </is>
      </c>
      <c r="B298" s="5" t="inlineStr">
        <is>
          <t>Karan Malhotra</t>
        </is>
      </c>
      <c r="C298" s="5" t="inlineStr">
        <is>
          <t>Director; Writer</t>
        </is>
      </c>
      <c r="D298" s="18" t="n"/>
      <c r="E298" s="18" t="n"/>
      <c r="F298" s="5" t="inlineStr">
        <is>
          <t>2000–present</t>
        </is>
      </c>
      <c r="G298" s="5" t="inlineStr">
        <is>
          <t>Hindi cinema</t>
        </is>
      </c>
      <c r="H298" s="5" t="inlineStr">
        <is>
          <t>Karan Ravi Malhotra is an Indian film director and screenwriter working in Hindi cinema, best known for directing Agneepath (2012), his directorial debut and a remake of the 1990 film of the same name. He worked as an assistant director before that, and is married to Ekta Pathak.</t>
        </is>
      </c>
      <c r="I298" s="5" t="inlineStr">
        <is>
          <t>Directorial debut Agneepath (2012).</t>
        </is>
      </c>
      <c r="J298" s="5" t="inlineStr">
        <is>
          <t>With Kapoor: Agneepath (2012). Elsewhere, Brothers and Shamshera.</t>
        </is>
      </c>
      <c r="K298" s="19" t="inlineStr">
        <is>
          <t>The revenge epic; the criminal patriarch; violence staged as spectacle.</t>
        </is>
      </c>
      <c r="L298" s="19" t="inlineStr">
        <is>
          <t>Large-scale, operatic melodrama with heavy production design and extended set pieces.</t>
        </is>
      </c>
      <c r="M298" s="5" t="n"/>
      <c r="N298" s="19" t="inlineStr">
        <is>
          <t>The director of one of Dharma Productions' biggest commercial successes and of a remake that reframed a canonical 1990 film.</t>
        </is>
      </c>
      <c r="O298" s="19" t="inlineStr">
        <is>
          <t>One film, and one of the two or three best things Kapoor ever did: Agneepath (2012), in which he plays Rauf Lala, a Mumbai trafficker in women and drugs whose geniality is what makes him frightening. Transformed by prosthetic teeth, a skullcap and an unfamiliar register, he was widely held to have stolen the film from Hrithik Roshan and Sanjay Dutt, and the performance reset what directors would offer him in his last eight years.</t>
        </is>
      </c>
      <c r="P298" s="17" t="n">
        <v>1</v>
      </c>
      <c r="Q298" s="5" t="inlineStr">
        <is>
          <t>FILM-137</t>
        </is>
      </c>
      <c r="R298" s="5" t="inlineStr">
        <is>
          <t>Agneepath (2012)</t>
        </is>
      </c>
      <c r="S298" s="5" t="inlineStr">
        <is>
          <t>Karan Malhotra gave Rishi Kapoor the role that proved his late career could include genuine menace. Malhotra's directorial debut was Agneepath (2012), Dharma Productions' remake of the 1990 Amitabh Bachchan film, an operatic revenge epic with Hrithik Roshan in the lead. Kapoor plays Rauf Lala, a Mumbai dealer in women and narcotics — avuncular, chuckling, entirely pitiless — in prosthetics and a vocal register he had never used in forty years of leading roles. Most notices singled him out. Coming eight years after Hum Tum had restarted his career as a benign father, it was the performance that broke that typecasting, and D-Day's gangster followed the next year.</t>
        </is>
      </c>
      <c r="T298" s="5" t="inlineStr">
        <is>
          <t>SOURCE-314</t>
        </is>
      </c>
      <c r="U298" s="5" t="inlineStr">
        <is>
          <t>High</t>
        </is>
      </c>
    </row>
    <row r="299" ht="139" customHeight="1">
      <c r="A299" s="15" t="inlineStr">
        <is>
          <t>PERSON-298</t>
        </is>
      </c>
      <c r="B299" s="5" t="inlineStr">
        <is>
          <t>Karim Morani</t>
        </is>
      </c>
      <c r="C299" s="5" t="inlineStr">
        <is>
          <t>Producer</t>
        </is>
      </c>
      <c r="D299" s="18" t="n"/>
      <c r="E299" s="18" t="n"/>
      <c r="F299" s="5" t="n"/>
      <c r="G299" s="5" t="inlineStr">
        <is>
          <t>Hindi cinema</t>
        </is>
      </c>
      <c r="H299" s="5" t="inlineStr">
        <is>
          <t>Karim Morani is an Indian film producer who produced Arjun (1985) and Damini (1993), and later co-produced Chennai Express and Ra.One with Shah Rukh Khan. With his brother Aly Morani he co-owns Cineyug, a film production and event-management company. His article also records his involvement in the 2G spectrum case and other controversies.</t>
        </is>
      </c>
      <c r="I299" s="5" t="inlineStr">
        <is>
          <t>Producing from the mid-1980s with Arjun.</t>
        </is>
      </c>
      <c r="J299" s="5" t="inlineStr">
        <is>
          <t>With Kapoor: Damini (1993). Elsewhere, Arjun, Chennai Express and Ra.One.</t>
        </is>
      </c>
      <c r="K299" s="19" t="inlineStr">
        <is>
          <t>Mainstream star vehicles produced alongside a live-events business.</t>
        </is>
      </c>
      <c r="L299" s="19" t="inlineStr">
        <is>
          <t>A commercial producer working with established directors and, latterly, with Shah Rukh Khan's company.</t>
        </is>
      </c>
      <c r="M299" s="5" t="n"/>
      <c r="N299" s="19" t="inlineStr">
        <is>
          <t>Co-owner of Cineyug, one of India's significant film and live-event companies.</t>
        </is>
      </c>
      <c r="O299" s="19" t="inlineStr">
        <is>
          <t>One film: Rajkumar Santoshi's Damini (1993), which his article names directly — 'the universally acclaimed 1993 film Damini which starred Sunny Deol, Meenakshi Seshadri and Rishi Kapoor'. Kapoor plays the husband of a woman who witnesses a rape in his family's house and is disbelieved; the film's moral authority belongs to others, and his character's weakness is the point.</t>
        </is>
      </c>
      <c r="P299" s="17" t="n">
        <v>1</v>
      </c>
      <c r="Q299" s="5" t="inlineStr">
        <is>
          <t>FILM-093</t>
        </is>
      </c>
      <c r="R299" s="5" t="inlineStr">
        <is>
          <t>Damini (1993)</t>
        </is>
      </c>
      <c r="S299" s="5" t="inlineStr">
        <is>
          <t>Karim Morani produced Damini, the most critically substantial hit of Rishi Kapoor's later career, and his article names Kapoor among its stars. With his brother Aly Morani he owns Cineyug, a production and live-events company, and his credits run from Arjun in 1985 to Chennai Express and Ra.One with Shah Rukh Khan's banner. Damini (1993) is built around Meenakshi Seshadri's character, who sees a servant raped by her brother-in-law and is systematically disbelieved, and Sunny Deol's alcoholic lawyer; Kapoor plays the husband whose family loyalty makes him complicit. It won Rajkumar Santoshi his second consecutive Filmfare Award for Best Director. Morani's article also records his involvement in the 2G spectrum case.</t>
        </is>
      </c>
      <c r="T299" s="5" t="inlineStr">
        <is>
          <t>SOURCE-319</t>
        </is>
      </c>
      <c r="U299" s="5" t="inlineStr">
        <is>
          <t>High</t>
        </is>
      </c>
    </row>
    <row r="300" ht="94" customHeight="1">
      <c r="A300" s="15" t="inlineStr">
        <is>
          <t>PERSON-299</t>
        </is>
      </c>
      <c r="B300" s="5" t="inlineStr">
        <is>
          <t>Kashi Richard</t>
        </is>
      </c>
      <c r="C300" s="5" t="inlineStr">
        <is>
          <t>Song composer</t>
        </is>
      </c>
      <c r="D300" s="18" t="n"/>
      <c r="E300" s="18" t="n"/>
      <c r="F300" s="5" t="n"/>
      <c r="G300" s="5" t="inlineStr">
        <is>
          <t>Hindi cinema</t>
        </is>
      </c>
      <c r="H300" s="5" t="inlineStr">
        <is>
          <t>A composer credited on one film in this filmography, with no Wikipedia article of his own.</t>
        </is>
      </c>
      <c r="I300" s="5" t="n"/>
      <c r="J300" s="5" t="inlineStr">
        <is>
          <t>With Kapoor: Jhootha Kahin Ka (2019).</t>
        </is>
      </c>
      <c r="K300" s="19" t="inlineStr">
        <is>
          <t>Not documented.</t>
        </is>
      </c>
      <c r="L300" s="19" t="inlineStr">
        <is>
          <t>Not documented.</t>
        </is>
      </c>
      <c r="M300" s="5" t="n"/>
      <c r="N300" s="19" t="inlineStr">
        <is>
          <t>Not independently documented.</t>
        </is>
      </c>
      <c r="O300" s="19" t="inlineStr">
        <is>
          <t>One film: Jhootha Kahin Ka (2019), on which six composers or groups are credited — Yo Yo Honey Singh, Amjad Nadeem–Aamir, Sanjeev–Ajay, Rahul Jain, this composer and one other. It was among Kapoor's last releases.</t>
        </is>
      </c>
      <c r="P300" s="17" t="n">
        <v>1</v>
      </c>
      <c r="Q300" s="5" t="inlineStr">
        <is>
          <t>FILM-158</t>
        </is>
      </c>
      <c r="R300" s="5" t="inlineStr">
        <is>
          <t>Jhootha Kahin Ka (2019)</t>
        </is>
      </c>
      <c r="S300" s="5" t="inlineStr">
        <is>
          <t>Kashi Richard is one of six composing credits on Jhootha Kahin Ka (2019) and has no documented biography. The film, a farce released months before Kapoor's death, is the extreme case of a pattern this workbook traces across fifty years: in 1973 Laxmikant–Pyarelal wrote every song in Bobby, and they went on to score thirty-two of his films; by 2019 a single soundtrack was divided among six separate parties, most of whom left no record. The row exists because the workbook records every credited collaborator, and it is built from the film's credits alone.</t>
        </is>
      </c>
      <c r="T300" s="5" t="inlineStr">
        <is>
          <t>SOURCE-150</t>
        </is>
      </c>
      <c r="U300" s="5" t="inlineStr">
        <is>
          <t>Low</t>
        </is>
      </c>
    </row>
    <row r="301" ht="94" customHeight="1">
      <c r="A301" s="15" t="inlineStr">
        <is>
          <t>PERSON-300</t>
        </is>
      </c>
      <c r="B301" s="5" t="inlineStr">
        <is>
          <t>Kaushal Bharti</t>
        </is>
      </c>
      <c r="C301" s="5" t="inlineStr">
        <is>
          <t>Writer</t>
        </is>
      </c>
      <c r="D301" s="18" t="n"/>
      <c r="E301" s="18" t="n"/>
      <c r="F301" s="5" t="n"/>
      <c r="G301" s="5" t="inlineStr">
        <is>
          <t>Hindi cinema</t>
        </is>
      </c>
      <c r="H301" s="5" t="inlineStr">
        <is>
          <t>A writer credited on one film in this filmography, with no Wikipedia article of his own.</t>
        </is>
      </c>
      <c r="I301" s="5" t="n"/>
      <c r="J301" s="5" t="inlineStr">
        <is>
          <t>With Kapoor: Phool Khile Hain Gulshan Gulshan (1978).</t>
        </is>
      </c>
      <c r="K301" s="19" t="inlineStr">
        <is>
          <t>Not documented.</t>
        </is>
      </c>
      <c r="L301" s="19" t="inlineStr">
        <is>
          <t>Not documented.</t>
        </is>
      </c>
      <c r="M301" s="5" t="n"/>
      <c r="N301" s="19" t="inlineStr">
        <is>
          <t>Not independently documented.</t>
        </is>
      </c>
      <c r="O301" s="19" t="inlineStr">
        <is>
          <t>One film: Phool Khile Hain Gulshan Gulshan (1978), the second of Sikandar Khanna's two films with Kapoor and the one during whose making the director died. The script is shared with Rajendra Krishan, the lyricist and screenwriter.</t>
        </is>
      </c>
      <c r="P301" s="17" t="n">
        <v>1</v>
      </c>
      <c r="Q301" s="5" t="inlineStr">
        <is>
          <t>FILM-021</t>
        </is>
      </c>
      <c r="R301" s="5" t="inlineStr">
        <is>
          <t>Phool Khile Hain Gulshan Gulshan (1978)</t>
        </is>
      </c>
      <c r="S301" s="5" t="inlineStr">
        <is>
          <t>Kaushal Bharti is credited as a writer on Phool Khile Hain Gulshan Gulshan (1978) and has no documented biography. The film is remembered, to the extent it is remembered at all, for its director's death: Sikandar Khanna's article records that he died during its making. It was his second film with Kapoor after Zinda Dil, scored by Laxmikant–Pyarelal, and written with Rajendra Krishan, the veteran lyricist and screenwriter. This row is built from the film's credits alone.</t>
        </is>
      </c>
      <c r="T301" s="5" t="inlineStr">
        <is>
          <t>SOURCE-023</t>
        </is>
      </c>
      <c r="U301" s="5" t="inlineStr">
        <is>
          <t>Low</t>
        </is>
      </c>
    </row>
    <row r="302" ht="94" customHeight="1">
      <c r="A302" s="15" t="inlineStr">
        <is>
          <t>PERSON-301</t>
        </is>
      </c>
      <c r="B302" s="5" t="inlineStr">
        <is>
          <t>Kaybe Pictures</t>
        </is>
      </c>
      <c r="C302" s="5" t="inlineStr">
        <is>
          <t>Production banner</t>
        </is>
      </c>
      <c r="D302" s="18" t="n"/>
      <c r="E302" s="18" t="n"/>
      <c r="F302" s="5" t="n"/>
      <c r="G302" s="5" t="inlineStr">
        <is>
          <t>English-language Indian cinema</t>
        </is>
      </c>
      <c r="H302" s="5" t="inlineStr">
        <is>
          <t>A production banner credited on one film in this filmography, with no Wikipedia article of its own.</t>
        </is>
      </c>
      <c r="I302" s="5" t="n"/>
      <c r="J302" s="5" t="inlineStr">
        <is>
          <t>With Kapoor: Sambar Salsa (2007).</t>
        </is>
      </c>
      <c r="K302" s="19" t="inlineStr">
        <is>
          <t>Not documented.</t>
        </is>
      </c>
      <c r="L302" s="19" t="inlineStr">
        <is>
          <t>Not documented.</t>
        </is>
      </c>
      <c r="M302" s="5" t="n"/>
      <c r="N302" s="19" t="inlineStr">
        <is>
          <t>Not independently documented.</t>
        </is>
      </c>
      <c r="O302" s="19" t="inlineStr">
        <is>
          <t>One credit, on Sambar Salsa (2007), one of the two English-language films in this filmography, both written and directed by Kapoor's cousin Aditya Raj Kapoor and both released that year. They are the least documented entries in the workbook.</t>
        </is>
      </c>
      <c r="P302" s="17" t="n">
        <v>1</v>
      </c>
      <c r="Q302" s="5" t="inlineStr">
        <is>
          <t>FILM-124</t>
        </is>
      </c>
      <c r="R302" s="5" t="inlineStr">
        <is>
          <t>Sambar Salsa (2007)</t>
        </is>
      </c>
      <c r="S302" s="5" t="inlineStr">
        <is>
          <t>Kaybe Pictures is the banner on Sambar Salsa (2007) and has no recorded history. The film is one of two English-language pictures Rishi Kapoor made that year, both written and directed by his first cousin Aditya Raj Kapoor — the son of Shammi Kapoor — and both so slightly distributed that this workbook can record almost nothing about them: no reviews of substance, no commercial figures, and producers and banners with no documentation at all. They fall in the gap between his Yash Raj supporting roles and the Dharma films that followed. This row is built from the film's credits alone.</t>
        </is>
      </c>
      <c r="T302" s="5" t="inlineStr">
        <is>
          <t>SOURCE-117</t>
        </is>
      </c>
      <c r="U302" s="5" t="inlineStr">
        <is>
          <t>Low</t>
        </is>
      </c>
    </row>
    <row r="303" ht="139" customHeight="1">
      <c r="A303" s="15" t="inlineStr">
        <is>
          <t>PERSON-302</t>
        </is>
      </c>
      <c r="B303" s="5" t="inlineStr">
        <is>
          <t>Keshu Ramsay</t>
        </is>
      </c>
      <c r="C303" s="5" t="inlineStr">
        <is>
          <t>Director</t>
        </is>
      </c>
      <c r="D303" s="17" t="n">
        <v>1955</v>
      </c>
      <c r="E303" s="17" t="n">
        <v>2010</v>
      </c>
      <c r="F303" s="5" t="n"/>
      <c r="G303" s="5" t="inlineStr">
        <is>
          <t>Hindi cinema</t>
        </is>
      </c>
      <c r="H303" s="5" t="inlineStr">
        <is>
          <t>Keshu Ramsay (1955–2010) was an Indian producer and film director, one of the Ramsay Brothers — the sibling group of directors, producers and editors that included Shyam, Kumar, Tulsi and Kiran Ramsay and that defined Hindi horror cinema. He is noted particularly for producing the Khiladi series.</t>
        </is>
      </c>
      <c r="I303" s="5" t="inlineStr">
        <is>
          <t>Working within the Ramsay family's production unit from the 1970s and 1980s.</t>
        </is>
      </c>
      <c r="J303" s="5" t="inlineStr">
        <is>
          <t>With Kapoor: Khoj (1989). Elsewhere, the Khiladi films.</t>
        </is>
      </c>
      <c r="K303" s="19" t="inlineStr">
        <is>
          <t>Genre filmmaking: horror in the family tradition, and later the action thriller.</t>
        </is>
      </c>
      <c r="L303" s="19" t="inlineStr">
        <is>
          <t>A commercial producer-director who moved the family business from low-budget horror into mainstream action.</t>
        </is>
      </c>
      <c r="M303" s="5" t="n"/>
      <c r="N303" s="19" t="inlineStr">
        <is>
          <t>A member of the family that created the Hindi horror film as a commercial genre, and the producer of the Khiladi series.</t>
        </is>
      </c>
      <c r="O303" s="19" t="inlineStr">
        <is>
          <t>One film: Khoj (1989), a thriller with a Bappi Lahiri score, co-produced by his brother Kiran Ramsay — one of the nine films Kapoor released between 1989 and 1991 and among the least documented. The Ramsay connection is the point of interest: a family synonymous with horror making a mainstream picture with a romantic star at the end of his lead career.</t>
        </is>
      </c>
      <c r="P303" s="17" t="n">
        <v>1</v>
      </c>
      <c r="Q303" s="5" t="inlineStr">
        <is>
          <t>FILM-072</t>
        </is>
      </c>
      <c r="R303" s="5" t="inlineStr">
        <is>
          <t>Khoj (1989)</t>
        </is>
      </c>
      <c r="S303" s="5" t="inlineStr">
        <is>
          <t>Keshu Ramsay directed Khoj (1989), and his row records an unexpected intersection. The Ramsay Brothers — Shyam, Kumar, Tulsi, Kiran, Keshu and others — were the family that invented the Hindi horror film as a commercial genre, working at the bottom of the market with their own crews. Keshu moved the family business towards mainstream action and produced the Khiladi series. Khoj, a thriller with a Bappi Lahiri score co-produced by his brother Kiran, belongs to the crowded 1989–91 stretch when Kapoor was making three or four films a year for whoever offered work. He died in 2010 at fifty-five.</t>
        </is>
      </c>
      <c r="T303" s="5" t="inlineStr">
        <is>
          <t>SOURCE-315</t>
        </is>
      </c>
      <c r="U303" s="5" t="inlineStr">
        <is>
          <t>Medium</t>
        </is>
      </c>
    </row>
    <row r="304" ht="139" customHeight="1">
      <c r="A304" s="15" t="inlineStr">
        <is>
          <t>PERSON-303</t>
        </is>
      </c>
      <c r="B304" s="5" t="inlineStr">
        <is>
          <t>Khalid Mohammed</t>
        </is>
      </c>
      <c r="C304" s="5" t="inlineStr">
        <is>
          <t>Director; Writer</t>
        </is>
      </c>
      <c r="D304" s="18" t="n"/>
      <c r="E304" s="18" t="n"/>
      <c r="F304" s="5" t="inlineStr">
        <is>
          <t>1994–present</t>
        </is>
      </c>
      <c r="G304" s="5" t="inlineStr">
        <is>
          <t>Hindi cinema; Indian journalism</t>
        </is>
      </c>
      <c r="H304" s="5" t="inlineStr">
        <is>
          <t>Khalid Mohamed is an Indian journalist, editor, film critic, screenwriter and director. He worked for The Times of India for twenty-seven years and later for DNA and the Hindustan Times, and was the lead editor of Filmfare magazine. He is the son of the singer Zubeida Begum, on whose life he based the screenplay of Shyam Benegal's Zubeidaa (2001), and is known as a filmmaker for Fiza and Silsiilay.</t>
        </is>
      </c>
      <c r="I304" s="5" t="inlineStr">
        <is>
          <t>Screenwriting from the 1990s; directing from the 2000s.</t>
        </is>
      </c>
      <c r="J304" s="5" t="inlineStr">
        <is>
          <t>With Kapoor: Tehzeeb (2003), which he wrote and directed. Elsewhere, Fiza, Mammo and Zubeidaa as screenwriter.</t>
        </is>
      </c>
      <c r="K304" s="19" t="inlineStr">
        <is>
          <t>The Muslim family and its women; performance, memory and the mother who cannot be forgiven.</t>
        </is>
      </c>
      <c r="L304" s="19" t="inlineStr">
        <is>
          <t>A critic's cinema: literate, dialogue-led and concerned with the inner lives of its female characters.</t>
        </is>
      </c>
      <c r="M304" s="5" t="n"/>
      <c r="N304" s="19" t="inlineStr">
        <is>
          <t>One of India's most prominent film critics and editors, and the writer of a notable trilogy of Muslim-social films directed by Shyam Benegal.</t>
        </is>
      </c>
      <c r="O304" s="19" t="inlineStr">
        <is>
          <t>One film: Tehzeeb (2003), which he wrote and directed, with Kapoor as the dying husband of Shabana Azmi's celebrated singer in a story of mother and daughter. For the actor it is an unusual credit — a literate family drama in the Muslim-social tradition, made in the middle of the quiet years before Hum Tum, with music by A. R. Rahman and dialogue by Javed Siddiqui.</t>
        </is>
      </c>
      <c r="P304" s="17" t="n">
        <v>1</v>
      </c>
      <c r="Q304" s="5" t="inlineStr">
        <is>
          <t>FILM-117</t>
        </is>
      </c>
      <c r="R304" s="5" t="inlineStr">
        <is>
          <t>Tehzeeb (2003)</t>
        </is>
      </c>
      <c r="S304" s="5" t="inlineStr">
        <is>
          <t>Khalid Mohamed wrote and directed Tehzeeb, one of the more serious films Rishi Kapoor made between his leading career and his reinvention. A film critic and editor for nearly three decades — The Times of India, DNA, the Hindustan Times, and the editorship of Filmfare — Mohamed also wrote Shyam Benegal's Mammo, Zubeidaa and Sardari Begum, the last two drawing on his own family: his mother was the singer Zubeida Begum. Tehzeeb (2003) is his second film as director, a drama of a famous singer and her estranged daughter, with Shabana Azmi, Urmila Matondkar and Kapoor as the dying husband, A. R. Rahman's music and Javed Siddiqui's dialogue. It is one of the few genuinely literary projects in the whole filmography.</t>
        </is>
      </c>
      <c r="T304" s="5" t="inlineStr">
        <is>
          <t>SOURCE-316</t>
        </is>
      </c>
      <c r="U304" s="5" t="inlineStr">
        <is>
          <t>High</t>
        </is>
      </c>
    </row>
    <row r="305" ht="169" customHeight="1">
      <c r="A305" s="15" t="inlineStr">
        <is>
          <t>PERSON-304</t>
        </is>
      </c>
      <c r="B305" s="5" t="inlineStr">
        <is>
          <t>Khayyam</t>
        </is>
      </c>
      <c r="C305" s="5" t="inlineStr">
        <is>
          <t>Song composer</t>
        </is>
      </c>
      <c r="D305" s="17" t="n">
        <v>1927</v>
      </c>
      <c r="E305" s="17" t="n">
        <v>2019</v>
      </c>
      <c r="F305" s="5" t="n"/>
      <c r="G305" s="5" t="inlineStr">
        <is>
          <t>Hindi cinema</t>
        </is>
      </c>
      <c r="H305" s="5" t="inlineStr">
        <is>
          <t>Mohammed Zahur Khayyam Hashmi (18 February 1927 – 19 August 2019), known as Khayyam, was an Indian music director and background-score composer whose career spanned four decades. He won three Filmfare Awards — Best Music in 1977 for Kabhie Kabhie and in 1982 for Umrao Jaan, and a lifetime achievement award in 2010 — the Sangeet Natak Akademi Award for Creative Music in 2007, and the Padma Bhushan in 2011. He is known for Umrao Jaan, Kabhi Kabhie, Noorie, Thodisi Bewafaii, Dil-e-Nadaan and Razia Sultan.</t>
        </is>
      </c>
      <c r="I305" s="5" t="inlineStr">
        <is>
          <t>Composing from the late 1940s; his critical and commercial peak came with Kabhie Kabhie (1976) and Umrao Jaan (1981).</t>
        </is>
      </c>
      <c r="J305" s="5" t="inlineStr">
        <is>
          <t>With Kapoor: Kabhie Kabhie (1976). Elsewhere, Umrao Jaan, Noorie and Razia Sultan.</t>
        </is>
      </c>
      <c r="K305" s="19" t="inlineStr">
        <is>
          <t>The ghazal and the Urdu lyric set with unusual restraint; music conceived for the poem rather than the star.</t>
        </is>
      </c>
      <c r="L305" s="19" t="inlineStr">
        <is>
          <t>A composer of deliberate sparseness and classical discipline, celebrated for giving the lyric primacy over the arrangement.</t>
        </is>
      </c>
      <c r="M305" s="5" t="inlineStr">
        <is>
          <t>Three Filmfare Awards, including Best Music for Kabhie Kabhie (1977) and Umrao Jaan (1982); Sangeet Natak Akademi Award (2007); Padma Bhushan (2011).</t>
        </is>
      </c>
      <c r="N305" s="19" t="inlineStr">
        <is>
          <t>One of the most critically revered composers in Hindi film history, and the composer of Umrao Jaan.</t>
        </is>
      </c>
      <c r="O305" s="19" t="inlineStr">
        <is>
          <t>One film — and Khayyam won the Filmfare Award for Best Music for it. Yash Chopra's Kabhie Kabhie (1976) is the ensemble in which Kapoor and Neetu Singh's young romance plays against an older marriage haunted by a first love, written by Sagar Sarhadi, and its title song is among the most admired in Hindi cinema. It is the only Kapoor film in this workbook whose score won its composer that award.</t>
        </is>
      </c>
      <c r="P305" s="17" t="n">
        <v>1</v>
      </c>
      <c r="Q305" s="5" t="inlineStr">
        <is>
          <t>FILM-009</t>
        </is>
      </c>
      <c r="R305" s="5" t="inlineStr">
        <is>
          <t>Kabhie Kabhie (1976)</t>
        </is>
      </c>
      <c r="S305" s="5" t="inlineStr">
        <is>
          <t>Khayyam wrote the music for Kabhie Kabhie, and won the Filmfare Award for Best Music for it — the only score in this filmography to take that prize. One of the most revered composers in Hindi cinema, honoured with the Sangeet Natak Akademi Award and the Padma Bhushan and remembered above all for Umrao Jaan, Khayyam worked in a deliberately spare idiom that gave the Urdu lyric primacy over arrangement. Yash Chopra's Kabhie Kabhie (1976) was his breakthrough in the mainstream: Kapoor and Neetu Singh as the young couple, Amitabh Bachchan and Raakhee as the older marriage shadowed by a first love, and a title song that has outlasted nearly everything else either man made that decade. Khayyam died in 2019, eight months before Kapoor.</t>
        </is>
      </c>
      <c r="T305" s="5" t="inlineStr">
        <is>
          <t>SOURCE-317</t>
        </is>
      </c>
      <c r="U305" s="5" t="inlineStr">
        <is>
          <t>High</t>
        </is>
      </c>
    </row>
    <row r="306" ht="94" customHeight="1">
      <c r="A306" s="15" t="inlineStr">
        <is>
          <t>PERSON-305</t>
        </is>
      </c>
      <c r="B306" s="5" t="inlineStr">
        <is>
          <t>Kiran Ramsay</t>
        </is>
      </c>
      <c r="C306" s="5" t="inlineStr">
        <is>
          <t>Producer</t>
        </is>
      </c>
      <c r="D306" s="18" t="n"/>
      <c r="E306" s="18" t="n"/>
      <c r="F306" s="5" t="n"/>
      <c r="G306" s="5" t="inlineStr">
        <is>
          <t>Hindi cinema</t>
        </is>
      </c>
      <c r="H306" s="5" t="inlineStr">
        <is>
          <t>Karan Ramsay, also known as Kiran Ramsay, is a producer, sound designer and director of Hindi films and one of the Ramsay Brothers, the sibling group — Shyam, Kumar, Keshu, Tulsi, Gangu and Arjun Ramsay — that made Hindi horror cinema a commercial genre.</t>
        </is>
      </c>
      <c r="I306" s="5" t="inlineStr">
        <is>
          <t>Working within the family's production unit.</t>
        </is>
      </c>
      <c r="J306" s="5" t="inlineStr">
        <is>
          <t>With Kapoor: Khoj (1989).</t>
        </is>
      </c>
      <c r="K306" s="19" t="inlineStr">
        <is>
          <t>Genre filmmaking within a family production unit; sound as much as production.</t>
        </is>
      </c>
      <c r="L306" s="19" t="inlineStr">
        <is>
          <t>A producer and sound designer rather than a director of record.</t>
        </is>
      </c>
      <c r="M306" s="5" t="n"/>
      <c r="N306" s="19" t="inlineStr">
        <is>
          <t>A member of the Ramsay family, whose low-budget horror films of the 1970s and 1980s created a durable Indian genre.</t>
        </is>
      </c>
      <c r="O306" s="19" t="inlineStr">
        <is>
          <t>One film: Khoj (1989), which his brother Keshu Ramsay directed, with a Bappi Lahiri score — one of the nine films Kapoor released between 1989 and 1991 and among the least documented in the workbook.</t>
        </is>
      </c>
      <c r="P306" s="17" t="n">
        <v>1</v>
      </c>
      <c r="Q306" s="5" t="inlineStr">
        <is>
          <t>FILM-072</t>
        </is>
      </c>
      <c r="R306" s="5" t="inlineStr">
        <is>
          <t>Khoj (1989)</t>
        </is>
      </c>
      <c r="S306" s="5" t="inlineStr">
        <is>
          <t>Kiran Ramsay co-produced Khoj (1989) with his brother Keshu, who directed it. The Ramsays were a production family in the fullest sense: seven brothers working as directors, producers, cinematographers, editors and sound men, who built Hindi horror into a commercial genre from the 1970s on with their own crews and almost no outside money. Khoj is not a horror film but a thriller, scored by Bappi Lahiri, and it belongs to the crowded 1989–91 stretch when Kapoor took whatever lead work was available. The family's presence in this filmography is a reminder of how much of the Hindi industry was organised around households rather than studios.</t>
        </is>
      </c>
      <c r="T306" s="5" t="inlineStr">
        <is>
          <t>SOURCE-318</t>
        </is>
      </c>
      <c r="U306" s="5" t="inlineStr">
        <is>
          <t>Medium</t>
        </is>
      </c>
    </row>
    <row r="307" ht="124" customHeight="1">
      <c r="A307" s="15" t="inlineStr">
        <is>
          <t>PERSON-306</t>
        </is>
      </c>
      <c r="B307" s="5" t="inlineStr">
        <is>
          <t>Kunal Kohli Productions</t>
        </is>
      </c>
      <c r="C307" s="5" t="inlineStr">
        <is>
          <t>Production banner</t>
        </is>
      </c>
      <c r="D307" s="18" t="n"/>
      <c r="E307" s="18" t="n"/>
      <c r="F307" s="5" t="n"/>
      <c r="G307" s="5" t="inlineStr">
        <is>
          <t>Hindi cinema</t>
        </is>
      </c>
      <c r="H307" s="5" t="inlineStr">
        <is>
          <t>The production company founded by the director Kunal Kohli. According to his article, its first production was his own fantasy comedy-drama Thoda Pyaar Thoda Magic (2008), co-produced by Yash Raj Films, and it went on to make Break Ke Baad (2010), Teri Meri Kahaani (2012) and Phir Se... (2018). The company has no article of its own; Kohli's is cited on his row in this sheet.</t>
        </is>
      </c>
      <c r="I307" s="5" t="n"/>
      <c r="J307" s="5" t="inlineStr">
        <is>
          <t>With Kapoor: Thoda Pyaar Thoda Magic (2008). Elsewhere, Break Ke Baad and Teri Meri Kahaani.</t>
        </is>
      </c>
      <c r="K307" s="19" t="inlineStr">
        <is>
          <t>Light romance and fantasy in the Yash Raj register.</t>
        </is>
      </c>
      <c r="L307" s="19" t="inlineStr">
        <is>
          <t>A director's own banner, producing his films and those of others in a similar mode.</t>
        </is>
      </c>
      <c r="M307" s="5" t="n"/>
      <c r="N307" s="19" t="inlineStr">
        <is>
          <t>Not independently documented.</t>
        </is>
      </c>
      <c r="O307" s="19" t="inlineStr">
        <is>
          <t>One credit, and it was the company's first film: Thoda Pyaar Thoda Magic (2008), the third of Kohli's three consecutive films with Kapoor after Hum Tum and Fanaa. Those three, made between 2004 and 2008, are what re-established Kapoor as a bankable supporting presence in mainstream Hindi cinema.</t>
        </is>
      </c>
      <c r="P307" s="17" t="n">
        <v>1</v>
      </c>
      <c r="Q307" s="5" t="inlineStr">
        <is>
          <t>FILM-127</t>
        </is>
      </c>
      <c r="R307" s="5" t="inlineStr">
        <is>
          <t>Thoda Pyaar Thoda Magic (2008)</t>
        </is>
      </c>
      <c r="S307" s="5" t="inlineStr">
        <is>
          <t>Kunal Kohli Productions made its first film with Rishi Kapoor in it. Kohli had directed him in Hum Tum (2004) — the film that reopened his career — and Fanaa (2006) before founding the company, whose debut production, co-financed by Yash Raj Films, was his own fantasy comedy Thoda Pyaar Thoda Magic in 2008. It completed a run of three films in five years with the same director, the sequence that turned Kapoor from a star without work into a reliable character actor. The banner has no separate documentation; what is known of it comes from Kohli's own article, which this row cites rather than duplicating.</t>
        </is>
      </c>
      <c r="T307" s="5" t="inlineStr">
        <is>
          <t>SOURCE-199</t>
        </is>
      </c>
      <c r="U307" s="5" t="inlineStr">
        <is>
          <t>Medium</t>
        </is>
      </c>
    </row>
    <row r="308" ht="79" customHeight="1">
      <c r="A308" s="15" t="inlineStr">
        <is>
          <t>PERSON-307</t>
        </is>
      </c>
      <c r="B308" s="5" t="inlineStr">
        <is>
          <t>Kundan A. Thadani</t>
        </is>
      </c>
      <c r="C308" s="5" t="inlineStr">
        <is>
          <t>Producer</t>
        </is>
      </c>
      <c r="D308" s="18" t="n"/>
      <c r="E308" s="18" t="n"/>
      <c r="F308" s="5" t="n"/>
      <c r="G308" s="5" t="inlineStr">
        <is>
          <t>Hindi cinema</t>
        </is>
      </c>
      <c r="H308" s="5" t="inlineStr">
        <is>
          <t>A producer credited on one film in this filmography, with no Wikipedia article of his own.</t>
        </is>
      </c>
      <c r="I308" s="5" t="n"/>
      <c r="J308" s="5" t="inlineStr">
        <is>
          <t>With Kapoor: Do Premee (1980).</t>
        </is>
      </c>
      <c r="K308" s="19" t="inlineStr">
        <is>
          <t>Not documented.</t>
        </is>
      </c>
      <c r="L308" s="19" t="inlineStr">
        <is>
          <t>Not documented.</t>
        </is>
      </c>
      <c r="M308" s="5" t="n"/>
      <c r="N308" s="19" t="inlineStr">
        <is>
          <t>Not independently documented.</t>
        </is>
      </c>
      <c r="O308" s="19" t="inlineStr">
        <is>
          <t>One film: Do Premee (1980), a Laxmikant–Pyarelal-scored romance written by the novelist Gulshan Nanda, from the period when Kapoor's romantic vehicles were still being made at scale.</t>
        </is>
      </c>
      <c r="P308" s="17" t="n">
        <v>1</v>
      </c>
      <c r="Q308" s="5" t="inlineStr">
        <is>
          <t>FILM-028</t>
        </is>
      </c>
      <c r="R308" s="5" t="inlineStr">
        <is>
          <t>Do Premee (1980)</t>
        </is>
      </c>
      <c r="S308" s="5" t="inlineStr">
        <is>
          <t>Kundan A. Thadani produced Do Premee (1980) and has no documented biography. The film is a romance from the start of the 1980s with a Laxmikant–Pyarelal score and a story by Gulshan Nanda, the most widely read Hindi popular novelist of his generation, whose plots of concealment and thwarted love had supplied a dozen hits in the preceding decades. It was among Nanda's last credits — he died in 1985 — and among the last of Kapoor's romances to be built on that older melodramatic model. This row is built from the film's credits alone.</t>
        </is>
      </c>
      <c r="T308" s="5" t="inlineStr">
        <is>
          <t>SOURCE-028</t>
        </is>
      </c>
      <c r="U308" s="5" t="inlineStr">
        <is>
          <t>Low</t>
        </is>
      </c>
    </row>
    <row r="309" ht="109" customHeight="1">
      <c r="A309" s="15" t="inlineStr">
        <is>
          <t>PERSON-308</t>
        </is>
      </c>
      <c r="B309" s="5" t="inlineStr">
        <is>
          <t>Lalit Kapoor</t>
        </is>
      </c>
      <c r="C309" s="5" t="inlineStr">
        <is>
          <t>Producer</t>
        </is>
      </c>
      <c r="D309" s="18" t="n"/>
      <c r="E309" s="18" t="n"/>
      <c r="F309" s="5" t="n"/>
      <c r="G309" s="5" t="inlineStr">
        <is>
          <t>Hindi cinema</t>
        </is>
      </c>
      <c r="H309" s="5" t="inlineStr">
        <is>
          <t>A producer credited on one film in this filmography, with no Wikipedia article of his own. There is no evidence in the credits of any relation to the Kapoor family of this filmography.</t>
        </is>
      </c>
      <c r="I309" s="5" t="n"/>
      <c r="J309" s="5" t="inlineStr">
        <is>
          <t>With Kapoor: Deewana (1992).</t>
        </is>
      </c>
      <c r="K309" s="19" t="inlineStr">
        <is>
          <t>Not documented.</t>
        </is>
      </c>
      <c r="L309" s="19" t="inlineStr">
        <is>
          <t>Not documented.</t>
        </is>
      </c>
      <c r="M309" s="5" t="n"/>
      <c r="N309" s="19" t="inlineStr">
        <is>
          <t>Not independently documented.</t>
        </is>
      </c>
      <c r="O309" s="19" t="inlineStr">
        <is>
          <t>One film, and the pivotal one: Deewana (1992), Raj Kanwar's directorial debut, in which Kapoor plays the singer presumed dead whose widow marries the younger man played by a debuting Shah Rukh Khan. The film was a hit and marks the handover of the Hindi romantic lead between generations.</t>
        </is>
      </c>
      <c r="P309" s="17" t="n">
        <v>1</v>
      </c>
      <c r="Q309" s="5" t="inlineStr">
        <is>
          <t>FILM-087</t>
        </is>
      </c>
      <c r="R309" s="5" t="inlineStr">
        <is>
          <t>Deewana (1992)</t>
        </is>
      </c>
      <c r="S309" s="5" t="inlineStr">
        <is>
          <t>Lalit Kapoor is one of several producers credited on Deewana (1992) and has no documented biography; the surname appears to be coincidental, as nothing in the credits connects him to the Kapoor family. The film is the single most consequential entry in the second half of this filmography: Rishi Kapoor as Ravi, the wealthy singer believed killed, and Shah Rukh Khan in his film debut as the man his widow marries. It succeeded commercially, won Khan a Filmfare award for best debut, and is read — then and since — as the moment the romantic lead passed from one generation to the next. This row is built from the film's credits alone.</t>
        </is>
      </c>
      <c r="T309" s="5" t="inlineStr">
        <is>
          <t>SOURCE-081</t>
        </is>
      </c>
      <c r="U309" s="5" t="inlineStr">
        <is>
          <t>Low</t>
        </is>
      </c>
    </row>
    <row r="310" ht="139" customHeight="1">
      <c r="A310" s="15" t="inlineStr">
        <is>
          <t>PERSON-309</t>
        </is>
      </c>
      <c r="B310" s="5" t="inlineStr">
        <is>
          <t>Leena Yadav</t>
        </is>
      </c>
      <c r="C310" s="5" t="inlineStr">
        <is>
          <t>Director; Producer; Writer</t>
        </is>
      </c>
      <c r="D310" s="17" t="n">
        <v>1971</v>
      </c>
      <c r="E310" s="18" t="n"/>
      <c r="F310" s="5" t="n"/>
      <c r="G310" s="5" t="inlineStr">
        <is>
          <t>Hindi cinema</t>
        </is>
      </c>
      <c r="H310" s="5" t="inlineStr">
        <is>
          <t>Leena Yadav (born 6 January 1971) is an Indian film director, producer, screenwriter and editor who began in television before moving to features. Her first international feature, Parched, premiered at the Toronto International Film Festival in 2015. She is married to the cinematographer and producer Aseem Bajaj, who is also credited on this film, and her father-in-law is the theatre figure Ram Gopal Bajaj.</t>
        </is>
      </c>
      <c r="I310" s="5" t="inlineStr">
        <is>
          <t>Television before features; Parched (2015) brought her international notice.</t>
        </is>
      </c>
      <c r="J310" s="5" t="inlineStr">
        <is>
          <t>With Kapoor: Rajma Chawal (2018). Elsewhere, Parched and Teen Patti.</t>
        </is>
      </c>
      <c r="K310" s="19" t="inlineStr">
        <is>
          <t>Women's lives outside the mainstream frame; isolation and the possibility of connection.</t>
        </is>
      </c>
      <c r="L310" s="19" t="inlineStr">
        <is>
          <t>A director from an editing and television background whose features are character-led and shot with an independent sensibility.</t>
        </is>
      </c>
      <c r="M310" s="5" t="n"/>
      <c r="N310" s="19" t="inlineStr">
        <is>
          <t>One of the few Indian women directing internationally distributed features in the 2010s.</t>
        </is>
      </c>
      <c r="O310" s="19" t="inlineStr">
        <is>
          <t>One film: Rajma Chawal (2018), which she wrote, produced and directed — a Netflix release in which Kapoor plays a widowed father in old Delhi who, unable to speak to his estranged son, poses online as a young woman to reach him. It is among the quietest and most sympathetic of his last parts, and her husband Aseem Bajaj is credited as a producer on the same film.</t>
        </is>
      </c>
      <c r="P310" s="17" t="n">
        <v>1</v>
      </c>
      <c r="Q310" s="5" t="inlineStr">
        <is>
          <t>FILM-157</t>
        </is>
      </c>
      <c r="R310" s="5" t="inlineStr">
        <is>
          <t>Rajma Chawal (2018)</t>
        </is>
      </c>
      <c r="S310" s="5" t="inlineStr">
        <is>
          <t>Leena Yadav directed one of Rishi Kapoor's last and most affecting performances. A television professional turned filmmaker whose Parched premiered at Toronto in 2015, Yadav works at an independent scale and writes about people the mainstream frame excludes. Rajma Chawal (2018), made for Netflix, casts Kapoor as a widower in the old city of Delhi who cannot talk to his son and so invents a young woman's social-media profile to reach him — a role built on loneliness and foolishness rather than authority, and unavailable to him in the years when he was a star. Her husband, Aseem Bajaj, produced it. The film came two years before his death.</t>
        </is>
      </c>
      <c r="T310" s="5" t="inlineStr">
        <is>
          <t>SOURCE-320</t>
        </is>
      </c>
      <c r="U310" s="5" t="inlineStr">
        <is>
          <t>High</t>
        </is>
      </c>
    </row>
    <row r="311" ht="154" customHeight="1">
      <c r="A311" s="15" t="inlineStr">
        <is>
          <t>PERSON-310</t>
        </is>
      </c>
      <c r="B311" s="5" t="inlineStr">
        <is>
          <t>Lucky Ali</t>
        </is>
      </c>
      <c r="C311" s="5" t="inlineStr">
        <is>
          <t>Song composer</t>
        </is>
      </c>
      <c r="D311" s="17" t="n">
        <v>1958</v>
      </c>
      <c r="E311" s="18" t="n"/>
      <c r="F311" s="5" t="inlineStr">
        <is>
          <t>1978–present</t>
        </is>
      </c>
      <c r="G311" s="5" t="inlineStr">
        <is>
          <t>Indian popular music; Hindi cinema</t>
        </is>
      </c>
      <c r="H311" s="5" t="inlineStr">
        <is>
          <t>Maqsood Mahmood Ali, known as Lucky Ali (born 19 September 1958 in Bangalore), is an Indian singer, songwriter and actor who emerged as a significant figure of Indipop in the 1990s with a series of popular singles and albums. He won the Filmfare Award for Best Male Playback Singer in 2001 for 'Ek Pal Ka Jeena' and was nominated again for 'Aa Bhi Jaa' from Sur at the 48th Filmfare Awards. He is a son of the actor and director Mehmood.</t>
        </is>
      </c>
      <c r="I311" s="5" t="inlineStr">
        <is>
          <t>Recording from 1978; his breakthrough as a non-film artist came in the mid-1990s.</t>
        </is>
      </c>
      <c r="J311" s="5" t="inlineStr">
        <is>
          <t>With Kapoor: Love at Times Square (2003). Elsewhere, his albums Sunoh, Sifar and Aks, and 'Ek Pal Ka Jeena' from Kaho Naa... Pyaar Hai.</t>
        </is>
      </c>
      <c r="K311" s="19" t="inlineStr">
        <is>
          <t>Melancholy, guitar-led non-film pop brought occasionally into cinema.</t>
        </is>
      </c>
      <c r="L311" s="19" t="inlineStr">
        <is>
          <t>A singer-songwriter working largely outside the film industry, with a distinctive unforced vocal style.</t>
        </is>
      </c>
      <c r="M311" s="5" t="inlineStr">
        <is>
          <t>Filmfare Award for Best Male Playback Singer (2001) for 'Ek Pal Ka Jeena', with a further nomination for Sur.</t>
        </is>
      </c>
      <c r="N311" s="19" t="inlineStr">
        <is>
          <t>One of the defining voices of 1990s Indipop, the non-film movement that briefly rivalled film music in India.</t>
        </is>
      </c>
      <c r="O311" s="19" t="inlineStr">
        <is>
          <t>One film: Love at Times Square (2003), which Dev Anand wrote, produced and directed. The family pattern is the striking part — Lucky Ali's father, the comedian and filmmaker Mehmood, directed Ginny Aur Johnny (1976), so father and son each hold a single credit in this filmography, twenty-seven years apart.</t>
        </is>
      </c>
      <c r="P311" s="17" t="n">
        <v>1</v>
      </c>
      <c r="Q311" s="5" t="inlineStr">
        <is>
          <t>FILM-116</t>
        </is>
      </c>
      <c r="R311" s="5" t="inlineStr">
        <is>
          <t>Love at Times Square (2003)</t>
        </is>
      </c>
      <c r="S311" s="5" t="inlineStr">
        <is>
          <t>Lucky Ali composed for one Rishi Kapoor film, and his row records a generational coincidence. The son of Mehmood — the great comic actor who also directed Ginny Aur Johnny, in which Kapoor starred in 1976 — Lucky Ali became one of the defining voices of 1990s Indipop with Sunoh and Sifar, working largely outside the film industry, and won the Filmfare Award for Best Male Playback Singer in 2001 for 'Ek Pal Ka Jeena'. His single film credit here is Love at Times Square (2003), the late picture Dev Anand wrote, produced and directed at seventy-nine, with Kapoor in support. Father and son thus appear in this workbook twenty-seven years apart, in two of its most obscure entries.</t>
        </is>
      </c>
      <c r="T311" s="5" t="inlineStr">
        <is>
          <t>SOURCE-321</t>
        </is>
      </c>
      <c r="U311" s="5" t="inlineStr">
        <is>
          <t>High</t>
        </is>
      </c>
    </row>
    <row r="312" ht="94" customHeight="1">
      <c r="A312" s="15" t="inlineStr">
        <is>
          <t>PERSON-311</t>
        </is>
      </c>
      <c r="B312" s="5" t="inlineStr">
        <is>
          <t>M. D. Sunder</t>
        </is>
      </c>
      <c r="C312" s="5" t="inlineStr">
        <is>
          <t>Writer</t>
        </is>
      </c>
      <c r="D312" s="18" t="n"/>
      <c r="E312" s="18" t="n"/>
      <c r="F312" s="5" t="n"/>
      <c r="G312" s="5" t="inlineStr">
        <is>
          <t>Hindi cinema</t>
        </is>
      </c>
      <c r="H312" s="5" t="inlineStr">
        <is>
          <t>A writer credited on one film in this filmography, with no Wikipedia article of his own.</t>
        </is>
      </c>
      <c r="I312" s="5" t="n"/>
      <c r="J312" s="5" t="inlineStr">
        <is>
          <t>With Kapoor: Dosti Dushmani (1986).</t>
        </is>
      </c>
      <c r="K312" s="19" t="inlineStr">
        <is>
          <t>Not documented.</t>
        </is>
      </c>
      <c r="L312" s="19" t="inlineStr">
        <is>
          <t>Not documented; credited alongside Rahi Masoom Raza and M. Balamurugan.</t>
        </is>
      </c>
      <c r="M312" s="5" t="n"/>
      <c r="N312" s="19" t="inlineStr">
        <is>
          <t>Not independently documented.</t>
        </is>
      </c>
      <c r="O312" s="19" t="inlineStr">
        <is>
          <t>One film: T. Rama Rao's Dosti Dushmani (1986), a multi-star melodrama from the southern-remake pipeline that supplied much of Kapoor's mid-1980s work, with a script shared with Rahi Masoom Raza.</t>
        </is>
      </c>
      <c r="P312" s="17" t="n">
        <v>1</v>
      </c>
      <c r="Q312" s="5" t="inlineStr">
        <is>
          <t>FILM-055</t>
        </is>
      </c>
      <c r="R312" s="5" t="inlineStr">
        <is>
          <t>Dosti Dushmani (1986)</t>
        </is>
      </c>
      <c r="S312" s="5" t="inlineStr">
        <is>
          <t>M. D. Sunder is one of three writers credited on Dosti Dushmani (1986) and has no documented biography. The film belongs to the current of southern filmmaking that dominated Kapoor's middle period: T. Rama Rao directing, a Telugu formula transplanted into Hindi, Laxmikant–Pyarelal scoring, and a cast assembled for breadth rather than coherence. His co-writers were Rahi Masoom Raza, a Sahitya Akademi-level Urdu novelist, and M. Balamurugan, who is equally undocumented — a juxtaposition typical of the period's collective credits. This row is built from the film's credits alone.</t>
        </is>
      </c>
      <c r="T312" s="5" t="inlineStr">
        <is>
          <t>SOURCE-053</t>
        </is>
      </c>
      <c r="U312" s="5" t="inlineStr">
        <is>
          <t>Low</t>
        </is>
      </c>
    </row>
    <row r="313" ht="79" customHeight="1">
      <c r="A313" s="15" t="inlineStr">
        <is>
          <t>PERSON-312</t>
        </is>
      </c>
      <c r="B313" s="5" t="inlineStr">
        <is>
          <t>M. Parvez</t>
        </is>
      </c>
      <c r="C313" s="5" t="inlineStr">
        <is>
          <t>Writer</t>
        </is>
      </c>
      <c r="D313" s="18" t="n"/>
      <c r="E313" s="18" t="n"/>
      <c r="F313" s="5" t="n"/>
      <c r="G313" s="5" t="inlineStr">
        <is>
          <t>Hindi cinema</t>
        </is>
      </c>
      <c r="H313" s="5" t="inlineStr">
        <is>
          <t>A writer credited on one film in this filmography, with no Wikipedia article of his own.</t>
        </is>
      </c>
      <c r="I313" s="5" t="n"/>
      <c r="J313" s="5" t="inlineStr">
        <is>
          <t>With Kapoor: Izzat Ki Roti (1993).</t>
        </is>
      </c>
      <c r="K313" s="19" t="inlineStr">
        <is>
          <t>Not documented.</t>
        </is>
      </c>
      <c r="L313" s="19" t="inlineStr">
        <is>
          <t>Not documented.</t>
        </is>
      </c>
      <c r="M313" s="5" t="n"/>
      <c r="N313" s="19" t="inlineStr">
        <is>
          <t>Not independently documented.</t>
        </is>
      </c>
      <c r="O313" s="19" t="inlineStr">
        <is>
          <t>One film: Izzat Ki Roti (1993), directed by K. Pappu — a brother of Raj Kanwar, who had directed Deewana the previous year — with a Bappi Lahiri score and Ranbir Pushp among its writers.</t>
        </is>
      </c>
      <c r="P313" s="17" t="n">
        <v>1</v>
      </c>
      <c r="Q313" s="5" t="inlineStr">
        <is>
          <t>FILM-095</t>
        </is>
      </c>
      <c r="R313" s="5" t="inlineStr">
        <is>
          <t>Izzat Ki Roti (1993)</t>
        </is>
      </c>
      <c r="S313" s="5" t="inlineStr">
        <is>
          <t>M. Parvez is credited as a writer on Izzat Ki Roti (1993) and has no documented biography. The film belongs to the final stretch of Kapoor's lead career, directed by K. Pappu whose brother Raj Kanwar had, a year earlier, made Deewana — the film in which Kapoor handed the romantic lead to Shah Rukh Khan. Two brothers, two consecutive years, two very different outcomes: one of the most consequential films of the decade and one that left no trace. This row is built from the film's credits alone.</t>
        </is>
      </c>
      <c r="T313" s="5" t="inlineStr">
        <is>
          <t>SOURCE-087</t>
        </is>
      </c>
      <c r="U313" s="5" t="inlineStr">
        <is>
          <t>Low</t>
        </is>
      </c>
    </row>
    <row r="314" ht="94" customHeight="1">
      <c r="A314" s="15" t="inlineStr">
        <is>
          <t>PERSON-313</t>
        </is>
      </c>
      <c r="B314" s="5" t="inlineStr">
        <is>
          <t>M.M.C. Cooper</t>
        </is>
      </c>
      <c r="C314" s="5" t="inlineStr">
        <is>
          <t>Producer</t>
        </is>
      </c>
      <c r="D314" s="18" t="n"/>
      <c r="E314" s="18" t="n"/>
      <c r="F314" s="5" t="n"/>
      <c r="G314" s="5" t="inlineStr">
        <is>
          <t>Hindi cinema</t>
        </is>
      </c>
      <c r="H314" s="5" t="inlineStr">
        <is>
          <t>A producer credited on one film in this filmography, with no Wikipedia article of his own.</t>
        </is>
      </c>
      <c r="I314" s="5" t="n"/>
      <c r="J314" s="5" t="inlineStr">
        <is>
          <t>With Kapoor: Rishta To Ho Aisa (1992).</t>
        </is>
      </c>
      <c r="K314" s="19" t="inlineStr">
        <is>
          <t>The household melodrama.</t>
        </is>
      </c>
      <c r="L314" s="19" t="inlineStr">
        <is>
          <t>Not documented.</t>
        </is>
      </c>
      <c r="M314" s="5" t="n"/>
      <c r="N314" s="19" t="inlineStr">
        <is>
          <t>Not independently documented.</t>
        </is>
      </c>
      <c r="O314" s="19" t="inlineStr">
        <is>
          <t>One film: Rishta To Ho Aisa (1992), the fourth of Kalpataru's five family melodramas with Kapoor, written with Kader Khan and scored by Laxmikant–Pyarelal.</t>
        </is>
      </c>
      <c r="P314" s="17" t="n">
        <v>1</v>
      </c>
      <c r="Q314" s="5" t="inlineStr">
        <is>
          <t>FILM-086</t>
        </is>
      </c>
      <c r="R314" s="5" t="inlineStr">
        <is>
          <t>Rishta To Ho Aisa (1992)</t>
        </is>
      </c>
      <c r="S314" s="5" t="inlineStr">
        <is>
          <t>M.M.C. Cooper produced Rishta To Ho Aisa (1992) and has no documented biography. The film is one of five household melodramas Kalpataru directed with Kapoor between 1988 and 1994 — titled for the family rather than any romance, written largely by Kader Khan, scored by Laxmikant–Pyarelal, and reviewed essentially nowhere. Released in the same year as Deewana and Bol Radha Bol, it shows what the bulk of his output looked like even as those two films were deciding the shape of his later career. This row is built from the film's credits alone.</t>
        </is>
      </c>
      <c r="T314" s="5" t="inlineStr">
        <is>
          <t>SOURCE-084</t>
        </is>
      </c>
      <c r="U314" s="5" t="inlineStr">
        <is>
          <t>Low</t>
        </is>
      </c>
    </row>
    <row r="315" ht="94" customHeight="1">
      <c r="A315" s="15" t="inlineStr">
        <is>
          <t>PERSON-314</t>
        </is>
      </c>
      <c r="B315" s="5" t="inlineStr">
        <is>
          <t>MacGuffin Pictures</t>
        </is>
      </c>
      <c r="C315" s="5" t="inlineStr">
        <is>
          <t>Production banner</t>
        </is>
      </c>
      <c r="D315" s="18" t="n"/>
      <c r="E315" s="18" t="n"/>
      <c r="F315" s="5" t="n"/>
      <c r="G315" s="5" t="inlineStr">
        <is>
          <t>Hindi cinema</t>
        </is>
      </c>
      <c r="H315" s="5" t="inlineStr">
        <is>
          <t>A production banner credited on one film in this filmography, with no Wikipedia article of its own.</t>
        </is>
      </c>
      <c r="I315" s="5" t="n"/>
      <c r="J315" s="5" t="inlineStr">
        <is>
          <t>With Kapoor: Sharmaji Namkeen (2022).</t>
        </is>
      </c>
      <c r="K315" s="19" t="inlineStr">
        <is>
          <t>Not documented.</t>
        </is>
      </c>
      <c r="L315" s="19" t="inlineStr">
        <is>
          <t>Not documented.</t>
        </is>
      </c>
      <c r="M315" s="5" t="n"/>
      <c r="N315" s="19" t="inlineStr">
        <is>
          <t>Not independently documented.</t>
        </is>
      </c>
      <c r="O315" s="19" t="inlineStr">
        <is>
          <t>One credit, on Sharmaji Namkeen (2022) — the last film in this filmography, which Kapoor was shooting when he died in April 2020 and which was completed with Paresh Rawal performing the remaining scenes as the same character.</t>
        </is>
      </c>
      <c r="P315" s="17" t="n">
        <v>1</v>
      </c>
      <c r="Q315" s="5" t="inlineStr">
        <is>
          <t>FILM-160</t>
        </is>
      </c>
      <c r="R315" s="5" t="inlineStr">
        <is>
          <t>Sharmaji Namkeen (2022)</t>
        </is>
      </c>
      <c r="S315" s="5" t="inlineStr">
        <is>
          <t>MacGuffin Pictures is one of the banners on Sharmaji Namkeen (2022) and has no recorded history. The film closes this filmography: Hitesh Bhatia's gentle comedy about a man forced into retirement who finds purpose cooking for other people's parties, with Kapoor in the title role. He had shot about half of it when he died in April 2020, and rather than abandon or recast the film, the producers had Paresh Rawal play the remaining scenes as the same man — so that two actors alternate in one part. It was released posthumously in 2022. This row is built from the film's credits alone.</t>
        </is>
      </c>
      <c r="T315" s="5" t="inlineStr">
        <is>
          <t>SOURCE-152</t>
        </is>
      </c>
      <c r="U315" s="5" t="inlineStr">
        <is>
          <t>Low</t>
        </is>
      </c>
    </row>
    <row r="316" ht="184" customHeight="1">
      <c r="A316" s="15" t="inlineStr">
        <is>
          <t>PERSON-315</t>
        </is>
      </c>
      <c r="B316" s="5" t="inlineStr">
        <is>
          <t>Madan Mohan</t>
        </is>
      </c>
      <c r="C316" s="5" t="inlineStr">
        <is>
          <t>Song composer</t>
        </is>
      </c>
      <c r="D316" s="17" t="n">
        <v>1924</v>
      </c>
      <c r="E316" s="17" t="n">
        <v>1975</v>
      </c>
      <c r="F316" s="5" t="inlineStr">
        <is>
          <t>1950–1975</t>
        </is>
      </c>
      <c r="G316" s="5" t="inlineStr">
        <is>
          <t>Hindi cinema</t>
        </is>
      </c>
      <c r="H316" s="5" t="inlineStr">
        <is>
          <t>Madan Mohan Kohli (25 June 1924 – 14 July 1975), known as Madan Mohan, was an Indian music director of the 1950s, 1960s and 1970s, considered one of the most melodious composers in Hindi cinema and particularly remembered for his ghazals and for his work with Lata Mangeshkar. He won the National Film Award for Best Music Direction for Dastak (1971) and was nominated for the Filmfare Award for Woh Kaun Thi in 1964; he was posthumously awarded the IIFA Award for Best Music Director in 2005 for Veer-Zaara, which used tunes he had left unrecorded.</t>
        </is>
      </c>
      <c r="I316" s="5" t="inlineStr">
        <is>
          <t>Composing from 1950.</t>
        </is>
      </c>
      <c r="J316" s="5" t="inlineStr">
        <is>
          <t>With Kapoor: Laila Majnu (1976). Elsewhere, Woh Kaun Thi, Anpadh, Dastak and the posthumous Veer-Zaara.</t>
        </is>
      </c>
      <c r="K316" s="19" t="inlineStr">
        <is>
          <t>The ghazal in film; melody of unusual refinement, written for the voice rather than the arrangement.</t>
        </is>
      </c>
      <c r="L316" s="19" t="inlineStr">
        <is>
          <t>A composer of exceptional melodic precision, celebrated by musicians more than by the box office, who worked largely with Lata Mangeshkar and Mohammed Rafi.</t>
        </is>
      </c>
      <c r="M316" s="5" t="inlineStr">
        <is>
          <t>National Film Award for Best Music Direction for Dastak (1971); posthumous IIFA Award for Veer-Zaara (2005).</t>
        </is>
      </c>
      <c r="N316" s="19" t="inlineStr">
        <is>
          <t>Widely regarded as the finest composer of ghazals in Hindi cinema, and the only one whose unused tunes became a hit soundtrack thirty years after his death.</t>
        </is>
      </c>
      <c r="O316" s="19" t="inlineStr">
        <is>
          <t>One film: H. S. Rawail's Laila Majnu (1976). His article names three of its songs — 'Hoke Mayus Tere Dar Se', 'Tere Dar Pe Aaya Hu' and 'Barbad-e-Mohabbat', all recorded with Mohammed Rafi — among the hits of his last years. He died in July 1975, before the film's release, and Jaidev is also credited on it; this workbook records both composers as credited.</t>
        </is>
      </c>
      <c r="P316" s="17" t="n">
        <v>1</v>
      </c>
      <c r="Q316" s="5" t="inlineStr">
        <is>
          <t>FILM-013</t>
        </is>
      </c>
      <c r="R316" s="5" t="inlineStr">
        <is>
          <t>Laila Majnu (1976)</t>
        </is>
      </c>
      <c r="S316" s="5" t="inlineStr">
        <is>
          <t>Madan Mohan wrote the songs of Laila Majnu and did not live to see the film open. One of the most admired composers in Hindi cinema — a National Film Award winner for Dastak and the acknowledged master of the film ghazal, whose unrecorded tunes were used thirty years after his death for Veer-Zaara — he was at the end of his career when H. S. Rawail cast the twenty-four-year-old Rishi Kapoor as Qais in the classical Arabic love tragedy. His article names 'Hoke Mayus Tere Dar Se', 'Tere Dar Pe Aaya Hu' and 'Barbad-e-Mohabbat', all sung by Mohammed Rafi, among the hits of his final years. Madan Mohan died in July 1975; the film was released in 1976 with Jaidev also credited.</t>
        </is>
      </c>
      <c r="T316" s="5" t="inlineStr">
        <is>
          <t>SOURCE-322</t>
        </is>
      </c>
      <c r="U316" s="5" t="inlineStr">
        <is>
          <t>High</t>
        </is>
      </c>
    </row>
    <row r="317" ht="124" customHeight="1">
      <c r="A317" s="15" t="inlineStr">
        <is>
          <t>PERSON-316</t>
        </is>
      </c>
      <c r="B317" s="5" t="inlineStr">
        <is>
          <t>Maddock Films</t>
        </is>
      </c>
      <c r="C317" s="5" t="inlineStr">
        <is>
          <t>Production banner</t>
        </is>
      </c>
      <c r="D317" s="18" t="n"/>
      <c r="E317" s="18" t="n"/>
      <c r="F317" s="5" t="inlineStr">
        <is>
          <t>2005–present</t>
        </is>
      </c>
      <c r="G317" s="5" t="inlineStr">
        <is>
          <t>Hindi cinema</t>
        </is>
      </c>
      <c r="H317" s="5" t="inlineStr">
        <is>
          <t>Maddock Films is an Indian film production company founded by the producer and director Dinesh Vijan in 2005 and based in Mumbai. Its productions include Love Aaj Kal (2009), Cocktail (2012), Badlapur (2015), Hindi Medium (2017) and its sequel Angrezi Medium, Luka Chuppi (2019), Bala (2019), Mimi (2021) and Chhaava (2025).</t>
        </is>
      </c>
      <c r="I317" s="5" t="inlineStr">
        <is>
          <t>Founded in 2005; Love Aaj Kal (2009) was among its early productions.</t>
        </is>
      </c>
      <c r="J317" s="5" t="inlineStr">
        <is>
          <t>With Kapoor: Love Aaj Kal (2009). Elsewhere, Cocktail, Hindi Medium, Stree and the horror-comedy films built from it.</t>
        </is>
      </c>
      <c r="K317" s="19" t="inlineStr">
        <is>
          <t>Contemporary urban romance; the small-town comedy; and latterly a connected horror-comedy universe.</t>
        </is>
      </c>
      <c r="L317" s="19" t="inlineStr">
        <is>
          <t>A producer-led house with a strong instinct for commercial trends, backing writer-directors and building franchises.</t>
        </is>
      </c>
      <c r="M317" s="5" t="n"/>
      <c r="N317" s="19" t="inlineStr">
        <is>
          <t>One of the most commercially successful independent production companies in contemporary Hindi cinema.</t>
        </is>
      </c>
      <c r="O317" s="19" t="inlineStr">
        <is>
          <t>One credit, on Imtiaz Ali's Love Aaj Kal (2009), in which Kapoor plays the elderly Veer Singh whose decades-long courtship in 1960s Delhi is set against a modern couple's casual romance. The casting makes his own screen past the film's subject — the lover-boy of the 1970s appearing as the witness to an older idea of love.</t>
        </is>
      </c>
      <c r="P317" s="17" t="n">
        <v>1</v>
      </c>
      <c r="Q317" s="5" t="inlineStr">
        <is>
          <t>FILM-131</t>
        </is>
      </c>
      <c r="R317" s="5" t="inlineStr">
        <is>
          <t>Love Aaj Kal (2009)</t>
        </is>
      </c>
      <c r="S317" s="5" t="inlineStr">
        <is>
          <t>Maddock Films produced Love Aaj Kal, the film that turned Rishi Kapoor's romantic history into narrative material. Founded by Dinesh Vijan in 2005, the company became one of the most commercially astute independents in Hindi cinema, with Cocktail, Badlapur, Hindi Medium and the Stree horror-comedies to its name. Love Aaj Kal (2009) runs two romances in parallel: a contemporary couple who protect themselves from commitment, and the patient decades-long courtship of Veer Singh, played in the present by Kapoor. Casting the actor who had embodied uncomplicated devotion in the 1970s as the last witness to it is the film's argument, and one of the clearest instances in this workbook of his past being used deliberately.</t>
        </is>
      </c>
      <c r="T317" s="5" t="inlineStr">
        <is>
          <t>SOURCE-323</t>
        </is>
      </c>
      <c r="U317" s="5" t="inlineStr">
        <is>
          <t>High</t>
        </is>
      </c>
    </row>
    <row r="318" ht="109" customHeight="1">
      <c r="A318" s="15" t="inlineStr">
        <is>
          <t>PERSON-317</t>
        </is>
      </c>
      <c r="B318" s="5" t="inlineStr">
        <is>
          <t>Madhu Bhojwani</t>
        </is>
      </c>
      <c r="C318" s="5" t="inlineStr">
        <is>
          <t>Producer</t>
        </is>
      </c>
      <c r="D318" s="18" t="n"/>
      <c r="E318" s="18" t="n"/>
      <c r="F318" s="5" t="n"/>
      <c r="G318" s="5" t="inlineStr">
        <is>
          <t>Hindi cinema</t>
        </is>
      </c>
      <c r="H318" s="5" t="inlineStr">
        <is>
          <t>A producer credited on one film in this filmography, with no Wikipedia article of her own. The article on Emmay Entertainment, cited on that company's row in this sheet, names her as a co-founder alongside Nikkhil Advani and Monisha Advani.</t>
        </is>
      </c>
      <c r="I318" s="5" t="n"/>
      <c r="J318" s="5" t="inlineStr">
        <is>
          <t>With Kapoor: D-Day (2013).</t>
        </is>
      </c>
      <c r="K318" s="19" t="inlineStr">
        <is>
          <t>The ensemble thriller and the issue-driven commercial film, through Emmay Entertainment.</t>
        </is>
      </c>
      <c r="L318" s="19" t="inlineStr">
        <is>
          <t>Not documented individually.</t>
        </is>
      </c>
      <c r="M318" s="5" t="n"/>
      <c r="N318" s="19" t="inlineStr">
        <is>
          <t>Not independently documented.</t>
        </is>
      </c>
      <c r="O318" s="19" t="inlineStr">
        <is>
          <t>One film: Nikkhil Advani's D-Day (2013), the first feature her company produced, in which Kapoor plays Iqbal Seth, a Dawood Ibrahim-like crime boss hiding in Karachi — one of the most unsympathetic roles of his career and part of the late widening of his range.</t>
        </is>
      </c>
      <c r="P318" s="17" t="n">
        <v>1</v>
      </c>
      <c r="Q318" s="5" t="inlineStr">
        <is>
          <t>FILM-143</t>
        </is>
      </c>
      <c r="R318" s="5" t="inlineStr">
        <is>
          <t>D-Day (2013)</t>
        </is>
      </c>
      <c r="S318" s="5" t="inlineStr">
        <is>
          <t>Madhu Bhojwani co-produced D-Day (2013), the first film made by Emmay Entertainment, the company she founded in 2011 with Nikkhil Advani and Monisha Advani. She has no Wikipedia article of her own; what is recorded of her appears in the company's. D-Day is among the strongest of Rishi Kapoor's late character roles: an Indian intelligence operation to extract a fugitive gangster from Karachi, with Kapoor as the gangster — genial, paternal and pitiless. Coming a year after Agneepath's Rauf Lala, it confirmed that his second career would not be confined to indulgent fathers. She is also one of the few women among this workbook's 561 credited collaborators.</t>
        </is>
      </c>
      <c r="T318" s="5" t="inlineStr">
        <is>
          <t>SOURCE-135</t>
        </is>
      </c>
      <c r="U318" s="5" t="inlineStr">
        <is>
          <t>Low</t>
        </is>
      </c>
    </row>
    <row r="319" ht="79" customHeight="1">
      <c r="A319" s="15" t="inlineStr">
        <is>
          <t>PERSON-318</t>
        </is>
      </c>
      <c r="B319" s="5" t="inlineStr">
        <is>
          <t>Mahendra Saral</t>
        </is>
      </c>
      <c r="C319" s="5" t="inlineStr">
        <is>
          <t>Writer</t>
        </is>
      </c>
      <c r="D319" s="18" t="n"/>
      <c r="E319" s="18" t="n"/>
      <c r="F319" s="5" t="n"/>
      <c r="G319" s="5" t="inlineStr">
        <is>
          <t>Hindi cinema</t>
        </is>
      </c>
      <c r="H319" s="5" t="inlineStr">
        <is>
          <t>A writer credited on one film in this filmography, with no Wikipedia article of his own.</t>
        </is>
      </c>
      <c r="I319" s="5" t="n"/>
      <c r="J319" s="5" t="inlineStr">
        <is>
          <t>With Kapoor: Badaltey Rishtey (1978).</t>
        </is>
      </c>
      <c r="K319" s="19" t="inlineStr">
        <is>
          <t>Not documented.</t>
        </is>
      </c>
      <c r="L319" s="19" t="inlineStr">
        <is>
          <t>Not documented; credited alongside Madan Joshi and Phani Majumdar.</t>
        </is>
      </c>
      <c r="M319" s="5" t="n"/>
      <c r="N319" s="19" t="inlineStr">
        <is>
          <t>Not independently documented.</t>
        </is>
      </c>
      <c r="O319" s="19" t="inlineStr">
        <is>
          <t>One film: Badaltey Rishtey (1978), a Laxmikant–Pyarelal-scored triangle from the end of Kapoor's first flush of stardom, with Phani Majumdar — a director working since 1938 — among its writers.</t>
        </is>
      </c>
      <c r="P319" s="17" t="n">
        <v>1</v>
      </c>
      <c r="Q319" s="5" t="inlineStr">
        <is>
          <t>FILM-022</t>
        </is>
      </c>
      <c r="R319" s="5" t="inlineStr">
        <is>
          <t>Badaltey Rishtey (1978)</t>
        </is>
      </c>
      <c r="S319" s="5" t="inlineStr">
        <is>
          <t>Mahendra Saral is one of several writers credited on Badaltey Rishtey (1978) and has no documented biography. The film is a triangle from the late 1970s, scored by Laxmikant–Pyarelal and written with Madan Joshi and Phani Majumdar, the last a pioneering director whose own career had begun in 1938. Collective writing credits of this kind are the norm across Kapoor's filmography, and in most cases — this one included — only one or two names on the list have left any record. This row is built from the film's credits alone.</t>
        </is>
      </c>
      <c r="T319" s="5" t="inlineStr">
        <is>
          <t>SOURCE-020</t>
        </is>
      </c>
      <c r="U319" s="5" t="inlineStr">
        <is>
          <t>Low</t>
        </is>
      </c>
    </row>
    <row r="320" ht="154" customHeight="1">
      <c r="A320" s="15" t="inlineStr">
        <is>
          <t>PERSON-319</t>
        </is>
      </c>
      <c r="B320" s="5" t="inlineStr">
        <is>
          <t>Mahesh Bhatt</t>
        </is>
      </c>
      <c r="C320" s="5" t="inlineStr">
        <is>
          <t>Director</t>
        </is>
      </c>
      <c r="D320" s="17" t="n">
        <v>1948</v>
      </c>
      <c r="E320" s="18" t="n"/>
      <c r="F320" s="5" t="n"/>
      <c r="G320" s="5" t="inlineStr">
        <is>
          <t>Hindi cinema</t>
        </is>
      </c>
      <c r="H320" s="5" t="inlineStr">
        <is>
          <t>Mahesh Bhatt (born 20 September 1948) is a retired Indian film director, producer and screenwriter, known for unconventional narratives and bold themes and counted among the most prominent filmmakers of 1980s and 1990s Hindi cinema. He has received five National Film Awards and four Filmfare Awards, including the National Film Award – Special Jury Award for Hum Hain Rahi Pyar Ke (1993), and his Tamanna won the National Film Award for Best Film on Other Social Issues.</t>
        </is>
      </c>
      <c r="I320" s="5" t="inlineStr">
        <is>
          <t>Directing from the mid-1970s; his breakthrough was Arth (1982).</t>
        </is>
      </c>
      <c r="J320" s="5" t="inlineStr">
        <is>
          <t>With Kapoor: Naya Daur (1978). Elsewhere, Arth, Saaransh, Naam, Sadak, Hum Hain Rahi Pyar Ke and Zakhm.</t>
        </is>
      </c>
      <c r="K320" s="19" t="inlineStr">
        <is>
          <t>Autobiographical material reworked as melodrama; adultery, addiction and illegitimacy; the woman left to manage the consequences.</t>
        </is>
      </c>
      <c r="L320" s="19" t="inlineStr">
        <is>
          <t>A director of intense, dialogue-driven chamber melodrama, drawing openly on his own life.</t>
        </is>
      </c>
      <c r="M320" s="5" t="inlineStr">
        <is>
          <t>Five National Film Awards and four Filmfare Awards.</t>
        </is>
      </c>
      <c r="N320" s="19" t="inlineStr">
        <is>
          <t>One of the defining Hindi filmmakers of the 1980s and 1990s, and the founder of a family production dynasty.</t>
        </is>
      </c>
      <c r="O320" s="19" t="inlineStr">
        <is>
          <t>One film, and it came before either man was established: Naya Daur (1978), an early Bhatt film with an R. D. Burman score, made four years before Arth made his reputation. The two never worked together again — Bhatt's cinema of adultery, addiction and self-laceration had little use for the lover-boy persona, and by the time he was dominant in the 1990s Kapoor's lead career was ending.</t>
        </is>
      </c>
      <c r="P320" s="17" t="n">
        <v>1</v>
      </c>
      <c r="Q320" s="5" t="inlineStr">
        <is>
          <t>FILM-018</t>
        </is>
      </c>
      <c r="R320" s="5" t="inlineStr">
        <is>
          <t>Naya Daur (1978)</t>
        </is>
      </c>
      <c r="S320" s="5" t="inlineStr">
        <is>
          <t>Mahesh Bhatt directed one Rishi Kapoor film, early and inconsequentially, and the absence of any later collaboration is the more interesting fact. Naya Daur (1978) came four years before Arth, the film that made Bhatt's name, and shares its title with the far better-known 1957 Dilip Kumar picture. Bhatt went on to five National Film Awards and four Filmfare Awards and to dominate a strand of 1980s and 1990s Hindi cinema built on adultery, addiction and autobiography — Arth, Saaransh, Naam, Zakhm — material for which Kapoor's screen persona was almost comically unsuited. Their paths crossed once, before either had found his register.</t>
        </is>
      </c>
      <c r="T320" s="5" t="inlineStr">
        <is>
          <t>SOURCE-324</t>
        </is>
      </c>
      <c r="U320" s="5" t="inlineStr">
        <is>
          <t>High</t>
        </is>
      </c>
    </row>
    <row r="321" ht="124" customHeight="1">
      <c r="A321" s="15" t="inlineStr">
        <is>
          <t>PERSON-320</t>
        </is>
      </c>
      <c r="B321" s="5" t="inlineStr">
        <is>
          <t>Makhan Singh</t>
        </is>
      </c>
      <c r="C321" s="5" t="inlineStr">
        <is>
          <t>Writer</t>
        </is>
      </c>
      <c r="D321" s="18" t="n"/>
      <c r="E321" s="18" t="n"/>
      <c r="F321" s="5" t="n"/>
      <c r="G321" s="5" t="inlineStr">
        <is>
          <t>Hindi cinema</t>
        </is>
      </c>
      <c r="H321" s="5" t="inlineStr">
        <is>
          <t>A writer credited on one film in this filmography, with no Wikipedia article identifiable to him; the bare name resolves to a disambiguation page of trade unionists and sportsmen.</t>
        </is>
      </c>
      <c r="I321" s="5" t="n"/>
      <c r="J321" s="5" t="inlineStr">
        <is>
          <t>With Kapoor: Ek Chadar Maili Si (1986).</t>
        </is>
      </c>
      <c r="K321" s="19" t="inlineStr">
        <is>
          <t>Not documented.</t>
        </is>
      </c>
      <c r="L321" s="19" t="inlineStr">
        <is>
          <t>Not documented.</t>
        </is>
      </c>
      <c r="M321" s="5" t="n"/>
      <c r="N321" s="19" t="inlineStr">
        <is>
          <t>Not independently documented.</t>
        </is>
      </c>
      <c r="O321" s="19" t="inlineStr">
        <is>
          <t>One film, and a substantial one: Ek Chadar Maili Si (1986), adapted from Rajinder Singh Bedi's Sahitya Akademi-winning Urdu novel, in which Kapoor plays a man compelled by custom to marry his dead brother's widow, opposite Hema Malini. It is among the few genuinely literary films of his middle period.</t>
        </is>
      </c>
      <c r="P321" s="17" t="n">
        <v>1</v>
      </c>
      <c r="Q321" s="5" t="inlineStr">
        <is>
          <t>FILM-054</t>
        </is>
      </c>
      <c r="R321" s="5" t="inlineStr">
        <is>
          <t>Ek Chadar Maili Si (1986)</t>
        </is>
      </c>
      <c r="S321" s="5" t="inlineStr">
        <is>
          <t>Makhan Singh is credited as a writer on Ek Chadar Maili Si (1986) and cannot be identified further; the name on Wikipedia leads only to a disambiguation page. The film is one of the most serious in this filmography: Rajinder Singh Bedi's novel about a widow forced by custom into marriage with her husband's younger brother, which had won the Sahitya Akademi Award in 1965 and had already been filmed in Pakistan, with Kapoor as the brother and Hema Malini as the widow. Several writers are credited, among them the veteran director Phani Majumdar. This row is built from the film's credits alone.</t>
        </is>
      </c>
      <c r="T321" s="5" t="inlineStr">
        <is>
          <t>SOURCE-052</t>
        </is>
      </c>
      <c r="U321" s="5" t="inlineStr">
        <is>
          <t>Low</t>
        </is>
      </c>
    </row>
    <row r="322" ht="124" customHeight="1">
      <c r="A322" s="15" t="inlineStr">
        <is>
          <t>PERSON-321</t>
        </is>
      </c>
      <c r="B322" s="5" t="inlineStr">
        <is>
          <t>Manash Productions</t>
        </is>
      </c>
      <c r="C322" s="5" t="inlineStr">
        <is>
          <t>Production banner</t>
        </is>
      </c>
      <c r="D322" s="18" t="n"/>
      <c r="E322" s="18" t="n"/>
      <c r="F322" s="5" t="n"/>
      <c r="G322" s="5" t="inlineStr">
        <is>
          <t>Hindi cinema</t>
        </is>
      </c>
      <c r="H322" s="5" t="inlineStr">
        <is>
          <t>A production banner credited on one film in this filmography, with no Wikipedia article of its own.</t>
        </is>
      </c>
      <c r="I322" s="5" t="n"/>
      <c r="J322" s="5" t="inlineStr">
        <is>
          <t>With Kapoor: Love Ke Chakkar Mein (2006).</t>
        </is>
      </c>
      <c r="K322" s="19" t="inlineStr">
        <is>
          <t>Not documented.</t>
        </is>
      </c>
      <c r="L322" s="19" t="inlineStr">
        <is>
          <t>Not documented.</t>
        </is>
      </c>
      <c r="M322" s="5" t="n"/>
      <c r="N322" s="19" t="inlineStr">
        <is>
          <t>Not independently documented.</t>
        </is>
      </c>
      <c r="O322" s="19" t="inlineStr">
        <is>
          <t>One credit, on Love Ke Chakkar Mein (2006), in which Kapoor is top-billed but functionally the antagonist, coercing a younger couple in a variation on Indecent Proposal — one of very few unsympathetic leads in his career, and one he took six years after Karobaar had used the same premise with him on the other side of it.</t>
        </is>
      </c>
      <c r="P322" s="17" t="n">
        <v>1</v>
      </c>
      <c r="Q322" s="5" t="inlineStr">
        <is>
          <t>FILM-121</t>
        </is>
      </c>
      <c r="R322" s="5" t="inlineStr">
        <is>
          <t>Love Ke Chakkar Mein (2006)</t>
        </is>
      </c>
      <c r="S322" s="5" t="inlineStr">
        <is>
          <t>Manash Productions is the banner on Love Ke Chakkar Mein (2006) and has no recorded history. The film is among the odder entries in the filmography: Kapoor takes top billing as a wealthy man who buys his way into a young couple's marriage, playing the coercer rather than the lover. It belongs to the thin period before Dharma and Yash Raj reframed him, and shows him testing unsympathetic roles well before Agneepath made that turn respectable. This row is built from the film's credits alone.</t>
        </is>
      </c>
      <c r="T322" s="5" t="inlineStr">
        <is>
          <t>SOURCE-113</t>
        </is>
      </c>
      <c r="U322" s="5" t="inlineStr">
        <is>
          <t>Low</t>
        </is>
      </c>
    </row>
    <row r="323" ht="124" customHeight="1">
      <c r="A323" s="15" t="inlineStr">
        <is>
          <t>PERSON-322</t>
        </is>
      </c>
      <c r="B323" s="5" t="inlineStr">
        <is>
          <t>Maneesh Sharma</t>
        </is>
      </c>
      <c r="C323" s="5" t="inlineStr">
        <is>
          <t>Director</t>
        </is>
      </c>
      <c r="D323" s="17" t="n">
        <v>1978</v>
      </c>
      <c r="E323" s="18" t="n"/>
      <c r="F323" s="5" t="inlineStr">
        <is>
          <t>2004–present</t>
        </is>
      </c>
      <c r="G323" s="5" t="inlineStr">
        <is>
          <t>Hindi cinema</t>
        </is>
      </c>
      <c r="H323" s="5" t="inlineStr">
        <is>
          <t>Maneesh Sharma (born 6 January 1978 in Delhi) is an Indian filmmaker educated at Hansraj College and the California Institute of the Arts. He has directed Band Baaja Baaraat (2010), Ladies vs Ricky Bahl (2011), Shuddh Desi Romance (2013), Fan (2016) and Tiger 3 (2023), and won the Filmfare Award for Best Debut Director for his first film.</t>
        </is>
      </c>
      <c r="I323" s="5" t="inlineStr">
        <is>
          <t>Band Baaja Baaraat (2010), which won him the Filmfare Award for Best Debut Director.</t>
        </is>
      </c>
      <c r="J323" s="5" t="inlineStr">
        <is>
          <t>With Kapoor: Shuddh Desi Romance (2013). Elsewhere, Band Baaja Baaraat, Fan and Tiger 3.</t>
        </is>
      </c>
      <c r="K323" s="19" t="inlineStr">
        <is>
          <t>Young people negotiating marriage and work in north Indian cities; the romance treated as a practical problem.</t>
        </is>
      </c>
      <c r="L323" s="19" t="inlineStr">
        <is>
          <t>A Yash Raj-trained director working in a naturalistic contemporary register, with location-specific detail and non-star casting.</t>
        </is>
      </c>
      <c r="M323" s="5" t="inlineStr">
        <is>
          <t>Filmfare Award for Best Debut Director for Band Baaja Baaraat.</t>
        </is>
      </c>
      <c r="N323" s="19" t="inlineStr">
        <is>
          <t>One of the directors Yash Raj Films developed in-house during its studio phase, and a maker of its modern small-town romances.</t>
        </is>
      </c>
      <c r="O323" s="19" t="inlineStr">
        <is>
          <t>One film: Shuddh Desi Romance (2013), written by Jaideep Sahni and set among commitment-shy young people in Jaipur, with Kapoor as a wedding contractor. His article names the film's leads — Sushant Singh Rajput, Parineeti Chopra and the debuting Vaani Kapoor — without mentioning him, which fairly reflects the size of the part.</t>
        </is>
      </c>
      <c r="P323" s="17" t="n">
        <v>1</v>
      </c>
      <c r="Q323" s="5" t="inlineStr">
        <is>
          <t>FILM-144</t>
        </is>
      </c>
      <c r="R323" s="5" t="inlineStr">
        <is>
          <t>Shuddh Desi Romance (2013)</t>
        </is>
      </c>
      <c r="S323" s="5" t="inlineStr">
        <is>
          <t>Maneesh Sharma directed one of Rishi Kapoor's late supporting roles, in a film whose subject is the opposite of everything Kapoor's own romances asserted. A Yash Raj-trained filmmaker who won the Filmfare Award for Best Debut Director for Band Baaja Baaraat and went on to make Fan and Tiger 3, Sharma specialises in young north Indians treating love as a practical difficulty. Shuddh Desi Romance (2013), written by Jaideep Sahni, follows people who keep abandoning their own weddings; Kapoor plays the contractor who keeps having to arrange them. In 1973 he had played a boy willing to lose everything for love; forty years later he was the man hired to put up the tent.</t>
        </is>
      </c>
      <c r="T323" s="5" t="inlineStr">
        <is>
          <t>SOURCE-325</t>
        </is>
      </c>
      <c r="U323" s="5" t="inlineStr">
        <is>
          <t>High</t>
        </is>
      </c>
    </row>
    <row r="324" ht="109" customHeight="1">
      <c r="A324" s="15" t="inlineStr">
        <is>
          <t>PERSON-323</t>
        </is>
      </c>
      <c r="B324" s="5" t="inlineStr">
        <is>
          <t>Mangesh Dhakde</t>
        </is>
      </c>
      <c r="C324" s="5" t="inlineStr">
        <is>
          <t>Background-score composer</t>
        </is>
      </c>
      <c r="D324" s="18" t="n"/>
      <c r="E324" s="18" t="n"/>
      <c r="F324" s="5" t="n"/>
      <c r="G324" s="5" t="inlineStr">
        <is>
          <t>Hindi cinema</t>
        </is>
      </c>
      <c r="H324" s="5" t="inlineStr">
        <is>
          <t>A background-score composer credited on one film in this filmography, with no Wikipedia article of his own.</t>
        </is>
      </c>
      <c r="I324" s="5" t="n"/>
      <c r="J324" s="5" t="inlineStr">
        <is>
          <t>With Kapoor: Mulk (2018).</t>
        </is>
      </c>
      <c r="K324" s="19" t="inlineStr">
        <is>
          <t>Not documented.</t>
        </is>
      </c>
      <c r="L324" s="19" t="inlineStr">
        <is>
          <t>Not documented.</t>
        </is>
      </c>
      <c r="M324" s="5" t="n"/>
      <c r="N324" s="19" t="inlineStr">
        <is>
          <t>Not independently documented.</t>
        </is>
      </c>
      <c r="O324" s="19" t="inlineStr">
        <is>
          <t>One film: Anubhav Sinha's Mulk (2018), in which Kapoor plays Murad Ali Mohammed, the head of a Varanasi Muslim family forced to defend its loyalty in court after a nephew's terrorist act — the most substantial role of his last years, in a film whose music is deliberately restrained.</t>
        </is>
      </c>
      <c r="P324" s="17" t="n">
        <v>1</v>
      </c>
      <c r="Q324" s="5" t="inlineStr">
        <is>
          <t>FILM-155</t>
        </is>
      </c>
      <c r="R324" s="5" t="inlineStr">
        <is>
          <t>Mulk (2018)</t>
        </is>
      </c>
      <c r="S324" s="5" t="inlineStr">
        <is>
          <t>Mangesh Dhakde wrote the background score for Mulk (2018) and has no documented biography. The film gave Rishi Kapoor his best late dramatic part: a Varanasi patriarch whose family's belonging is litigated in open court, played with a stillness his romantic career had never required. Mulk belongs to a register almost absent from the rest of this workbook — a film carried by argument rather than song, where the score stays out of the way. In a filmography of which thirty-two films were scored by Laxmikant–Pyarelal, that restraint is itself notable. This row is built from the film's credits alone.</t>
        </is>
      </c>
      <c r="T324" s="5" t="inlineStr">
        <is>
          <t>SOURCE-148</t>
        </is>
      </c>
      <c r="U324" s="5" t="inlineStr">
        <is>
          <t>Low</t>
        </is>
      </c>
    </row>
    <row r="325" ht="169" customHeight="1">
      <c r="A325" s="15" t="inlineStr">
        <is>
          <t>PERSON-324</t>
        </is>
      </c>
      <c r="B325" s="5" t="inlineStr">
        <is>
          <t>Mani Ratnam</t>
        </is>
      </c>
      <c r="C325" s="5" t="inlineStr">
        <is>
          <t>Writer</t>
        </is>
      </c>
      <c r="D325" s="17" t="n">
        <v>1956</v>
      </c>
      <c r="E325" s="18" t="n"/>
      <c r="F325" s="5" t="inlineStr">
        <is>
          <t>1983–present</t>
        </is>
      </c>
      <c r="G325" s="5" t="inlineStr">
        <is>
          <t>Tamil cinema; Hindi cinema</t>
        </is>
      </c>
      <c r="H325" s="5" t="inlineStr">
        <is>
          <t>Gopalaratnam Subramaniam (born 2 June 1956 in Madurai), known as Mani Ratnam, is an Indian director, producer and screenwriter working predominantly in Tamil cinema and occasionally in Hindi, Malayalam, Telugu and Kannada. He is widely regarded as one of the most prominent and successful directors in Indian cinema, with seven National Film Awards, four Filmfare Awards, seven Filmfare Awards South and numerous international festival awards. He received the Padma Shri in 2002.</t>
        </is>
      </c>
      <c r="I325" s="5" t="inlineStr">
        <is>
          <t>Directing from 1983; Mouna Ragam (1986) and Nayakan (1987) established him.</t>
        </is>
      </c>
      <c r="J325" s="5" t="inlineStr">
        <is>
          <t>With Kapoor: Kasak (1992), on which he holds a writing credit. Elsewhere, Nayakan, Roja, Bombay, Dil Se and Guru as director.</t>
        </is>
      </c>
      <c r="K325" s="19" t="inlineStr">
        <is>
          <t>Love set against political violence; the city; marriages made and unmade under pressure.</t>
        </is>
      </c>
      <c r="L325" s="19" t="inlineStr">
        <is>
          <t>A director of visual and musical sophistication who brought art-cinema technique into mass Indian filmmaking.</t>
        </is>
      </c>
      <c r="M325" s="5" t="inlineStr">
        <is>
          <t>Seven National Film Awards, four Filmfare Awards, seven Filmfare Awards South and the Padma Shri (2002).</t>
        </is>
      </c>
      <c r="N325" s="19" t="inlineStr">
        <is>
          <t>One of the most influential Indian filmmakers of the past four decades.</t>
        </is>
      </c>
      <c r="O325" s="19" t="inlineStr">
        <is>
          <t>One credit, and an indirect one: he is credited as a writer on Kasak (1992), the Hindi film K. Bapaiah directed with Kapoor. Bapaiah's career was built on transplanting southern material into Hindi, so the credit most likely reflects a Tamil original of Ratnam's rather than any work on the Hindi film itself; the sources consulted here do not name that original, and the connection is recorded as a credit without further inference.</t>
        </is>
      </c>
      <c r="P325" s="17" t="n">
        <v>1</v>
      </c>
      <c r="Q325" s="5" t="inlineStr">
        <is>
          <t>FILM-084</t>
        </is>
      </c>
      <c r="R325" s="5" t="inlineStr">
        <is>
          <t>Kasak (1992)</t>
        </is>
      </c>
      <c r="S325" s="5" t="inlineStr">
        <is>
          <t>Mani Ratnam appears once in this filmography, and almost certainly at second hand. One of the most important Indian filmmakers of the past forty years — Nayakan, Roja, Bombay, Guru, seven National Film Awards and the Padma Shri — he is credited as a writer on Kasak (1992), a Hindi melodrama directed by K. Bapaiah with Rishi Kapoor and a Rajesh Roshan score. Bapaiah made some eighty films largely by remaking southern successes in Hindi, so the credit most plausibly records a Tamil original rather than any direct involvement; this workbook's sources do not identify it. The row is worth keeping for the fact itself: the filmography of Hindi cinema's great romantic lead touches Ratnam's only through a remake nobody remembers.</t>
        </is>
      </c>
      <c r="T325" s="5" t="inlineStr">
        <is>
          <t>SOURCE-326</t>
        </is>
      </c>
      <c r="U325" s="5" t="inlineStr">
        <is>
          <t>Medium</t>
        </is>
      </c>
    </row>
    <row r="326" ht="139" customHeight="1">
      <c r="A326" s="15" t="inlineStr">
        <is>
          <t>PERSON-325</t>
        </is>
      </c>
      <c r="B326" s="5" t="inlineStr">
        <is>
          <t>Manivannan</t>
        </is>
      </c>
      <c r="C326" s="5" t="inlineStr">
        <is>
          <t>Writer</t>
        </is>
      </c>
      <c r="D326" s="17" t="n">
        <v>1954</v>
      </c>
      <c r="E326" s="17" t="n">
        <v>2013</v>
      </c>
      <c r="F326" s="5" t="inlineStr">
        <is>
          <t>1978–2013</t>
        </is>
      </c>
      <c r="G326" s="5" t="inlineStr">
        <is>
          <t>Tamil cinema; Hindi cinema</t>
        </is>
      </c>
      <c r="H326" s="5" t="inlineStr">
        <is>
          <t>Manivannan (31 July 1954 – 15 June 2013) was an Indian actor, film director, screenwriter, voice artist, playback singer and social activist who worked in Tamil cinema. He began as a story and dialogue writer for the director Bharathiraja between 1980 and 1982, became a successful director who experimented across genres, and later worked prolifically as a character actor.</t>
        </is>
      </c>
      <c r="I326" s="5" t="inlineStr">
        <is>
          <t>Writing for Bharathiraja from 1980; directing thereafter.</t>
        </is>
      </c>
      <c r="J326" s="5" t="inlineStr">
        <is>
          <t>With Kapoor: Naseeb Apna Apna (1986). Elsewhere, a large body of Tamil films as director and actor.</t>
        </is>
      </c>
      <c r="K326" s="19" t="inlineStr">
        <is>
          <t>Rural Tamil melodrama and political satire; the common man against institutions.</t>
        </is>
      </c>
      <c r="L326" s="19" t="inlineStr">
        <is>
          <t>A writer-director from the Bharathiraja school, later one of Tamil cinema's most recognisable supporting actors.</t>
        </is>
      </c>
      <c r="M326" s="5" t="n"/>
      <c r="N326" s="19" t="inlineStr">
        <is>
          <t>A significant figure in 1980s Tamil cinema as both director and writer, and later a ubiquitous character actor.</t>
        </is>
      </c>
      <c r="O326" s="19" t="inlineStr">
        <is>
          <t>One credit: he is credited as a writer on Naseeb Apna Apna (1986), the T. Rama Rao film produced by K. C. Bokadia with Kapoor opposite Farha. Like Mani Ratnam's credit on Kasak, it almost certainly reflects a Tamil original remade for the Hindi market rather than work on the Hindi film, and it marks the same southern pipeline that supplied much of Kapoor's mid-1980s output.</t>
        </is>
      </c>
      <c r="P326" s="17" t="n">
        <v>1</v>
      </c>
      <c r="Q326" s="5" t="inlineStr">
        <is>
          <t>FILM-052</t>
        </is>
      </c>
      <c r="R326" s="5" t="inlineStr">
        <is>
          <t>Naseeb Apna Apna (1986)</t>
        </is>
      </c>
      <c r="S326" s="5" t="inlineStr">
        <is>
          <t>Manivannan's single credit in this filmography belongs to the southern remake trade. A writer for Bharathiraja who became a prolific Tamil director and then one of that industry's most familiar character actors, he is credited as a writer on Naseeb Apna Apna (1986) — a Hindi film directed by T. Rama Rao, who made a career of transplanting Telugu and Tamil successes into Hindi, produced by K. C. Bokadia and scored by Laxmikant–Pyarelal. The credit most likely records a Tamil original. Its interest for this workbook is structural: between 1985 and 1992 a substantial share of Kapoor's films came through this pipeline, with southern writers and directors supplying material the Bombay mainstream had stopped offering him.</t>
        </is>
      </c>
      <c r="T326" s="5" t="inlineStr">
        <is>
          <t>SOURCE-327</t>
        </is>
      </c>
      <c r="U326" s="5" t="inlineStr">
        <is>
          <t>Medium</t>
        </is>
      </c>
    </row>
    <row r="327" ht="169" customHeight="1">
      <c r="A327" s="15" t="inlineStr">
        <is>
          <t>PERSON-326</t>
        </is>
      </c>
      <c r="B327" s="5" t="inlineStr">
        <is>
          <t>Manmohan Singh</t>
        </is>
      </c>
      <c r="C327" s="5" t="inlineStr">
        <is>
          <t>Director</t>
        </is>
      </c>
      <c r="D327" s="18" t="n"/>
      <c r="E327" s="18" t="n"/>
      <c r="F327" s="5" t="inlineStr">
        <is>
          <t>1970s–present</t>
        </is>
      </c>
      <c r="G327" s="5" t="inlineStr">
        <is>
          <t>Hindi cinema; Punjabi cinema</t>
        </is>
      </c>
      <c r="H327" s="5" t="inlineStr">
        <is>
          <t>Manmohan Singh is an Indian cinematographer and film director. As a cinematographer he worked repeatedly for Yash Chopra and Aditya Chopra, shooting Chandni (1989), Lamhe (1991), Darr (1993), Dilwale Dulhania Le Jayenge (1995), Dil To Pagal Hai (1997) and Mohabbatein (2000), and won two Filmfare Awards, for Chandni and Darr. He directed his first Hindi film, Pehla Pehla Pyar, in 1994 and his first Punjabi film, Jee Aayan Nu, in 2003, becoming a leading figure in Punjabi cinema.</t>
        </is>
      </c>
      <c r="I327" s="5" t="inlineStr">
        <is>
          <t>Cinematography from the 1970s; directing from Pehla Pehla Pyar (1994).</t>
        </is>
      </c>
      <c r="J327" s="5" t="inlineStr">
        <is>
          <t>With Kapoor: Pehla Pehla Pyar (1994) as director — and, earlier, Chandni (1989) as cinematographer. Elsewhere, Dilwale Dulhania Le Jayenge and the Punjabi films from Jee Aayan Nu onwards.</t>
        </is>
      </c>
      <c r="K327" s="19" t="inlineStr">
        <is>
          <t>The Yash Raj romance photographed as landscape and chiffon; later, Punjabi family drama.</t>
        </is>
      </c>
      <c r="L327" s="19" t="inlineStr">
        <is>
          <t>A cinematographer whose images defined the look of 1990s Hindi romance, and a director of warm, music-led Punjabi cinema.</t>
        </is>
      </c>
      <c r="M327" s="5" t="inlineStr">
        <is>
          <t>Two Filmfare Awards for cinematography, for Chandni and Darr.</t>
        </is>
      </c>
      <c r="N327" s="19" t="inlineStr">
        <is>
          <t>The cinematographer most responsible for the visual style of Yash Raj Films' romances, and a founding figure of the modern Punjabi film industry.</t>
        </is>
      </c>
      <c r="O327" s="19" t="inlineStr">
        <is>
          <t>Two points of contact, of which the workbook records one as a credit. He directed Kapoor in Pehla Pehla Pyar (1994), his own first Hindi film; five years earlier he had photographed Chandni, the Yash Chopra romance that restored Kapoor to leading-man status opposite Sridevi, and won the Filmfare Award for Best Cinematography for it. The look of Kapoor's most important late-career romance is therefore his.</t>
        </is>
      </c>
      <c r="P327" s="17" t="n">
        <v>1</v>
      </c>
      <c r="Q327" s="5" t="inlineStr">
        <is>
          <t>FILM-101</t>
        </is>
      </c>
      <c r="R327" s="5" t="inlineStr">
        <is>
          <t>Pehla Pehla Pyar (1994)</t>
        </is>
      </c>
      <c r="S327" s="5" t="inlineStr">
        <is>
          <t>Manmohan Singh photographed the film that revived Rishi Kapoor's romantic career and then directed him in one that did not. As Yash Chopra's cinematographer he shot Chandni (1989) — the film that returned Kapoor to leading man opposite Sridevi — and won the Filmfare Award for it, before going on to Lamhe, Darr, Dilwale Dulhania Le Jayenge and Mohabbatein, the run of films that fixed the visual language of 1990s Hindi romance. His first film as director was Pehla Pehla Pyar (1994), a modest romance with Kapoor, written by Rumi Jaffery and Honey Irani; it made no impression. He later became one of the central figures of modern Punjabi cinema, beginning with Jee Aayan Nu in 2003.</t>
        </is>
      </c>
      <c r="T327" s="5" t="inlineStr">
        <is>
          <t>SOURCE-328</t>
        </is>
      </c>
      <c r="U327" s="5" t="inlineStr">
        <is>
          <t>High</t>
        </is>
      </c>
    </row>
    <row r="328" ht="94" customHeight="1">
      <c r="A328" s="15" t="inlineStr">
        <is>
          <t>PERSON-327</t>
        </is>
      </c>
      <c r="B328" s="5" t="inlineStr">
        <is>
          <t>Manu Rishi Chadha</t>
        </is>
      </c>
      <c r="C328" s="5" t="inlineStr">
        <is>
          <t>Writer</t>
        </is>
      </c>
      <c r="D328" s="18" t="n"/>
      <c r="E328" s="18" t="n"/>
      <c r="F328" s="5" t="n"/>
      <c r="G328" s="5" t="inlineStr">
        <is>
          <t>Hindi cinema</t>
        </is>
      </c>
      <c r="H328" s="5" t="inlineStr">
        <is>
          <t>A writer credited on one film in this filmography, with no Wikipedia article resolved for him in this research.</t>
        </is>
      </c>
      <c r="I328" s="5" t="n"/>
      <c r="J328" s="5" t="inlineStr">
        <is>
          <t>With Kapoor: Rajma Chawal (2018).</t>
        </is>
      </c>
      <c r="K328" s="19" t="inlineStr">
        <is>
          <t>Contemporary Delhi dialogue and the generational gap.</t>
        </is>
      </c>
      <c r="L328" s="19" t="inlineStr">
        <is>
          <t>Not documented here.</t>
        </is>
      </c>
      <c r="M328" s="5" t="n"/>
      <c r="N328" s="19" t="inlineStr">
        <is>
          <t>Not documented here.</t>
        </is>
      </c>
      <c r="O328" s="19" t="inlineStr">
        <is>
          <t>One film: Leena Yadav's Rajma Chawal (2018), in which Kapoor plays a widowed father in old Delhi who creates a fake social-media profile to reach his estranged son — among the gentlest and most sympathetic parts of his final years.</t>
        </is>
      </c>
      <c r="P328" s="17" t="n">
        <v>1</v>
      </c>
      <c r="Q328" s="5" t="inlineStr">
        <is>
          <t>FILM-157</t>
        </is>
      </c>
      <c r="R328" s="5" t="inlineStr">
        <is>
          <t>Rajma Chawal (2018)</t>
        </is>
      </c>
      <c r="S328" s="5" t="inlineStr">
        <is>
          <t>Manu Rishi Chadha is credited as a writer on Rajma Chawal (2018), and no article for him was resolved in this research. The film, directed by Leena Yadav for Netflix, casts Kapoor as a widower in the old city of Delhi who, unable to talk to his son, invents a young woman's online profile in order to reach him. It is a role built on loneliness and self-deception rather than authority, of a kind unavailable to him during his years as a star, and it belongs with Do Dooni Chaar and Sharmaji Namkeen among the late films that found something ordinary in him. This row is built from the film's credits alone.</t>
        </is>
      </c>
      <c r="T328" s="5" t="inlineStr">
        <is>
          <t>SOURCE-149</t>
        </is>
      </c>
      <c r="U328" s="5" t="inlineStr">
        <is>
          <t>Low</t>
        </is>
      </c>
    </row>
    <row r="329" ht="94" customHeight="1">
      <c r="A329" s="15" t="inlineStr">
        <is>
          <t>PERSON-328</t>
        </is>
      </c>
      <c r="B329" s="5" t="inlineStr">
        <is>
          <t>Marco Enterprises</t>
        </is>
      </c>
      <c r="C329" s="5" t="inlineStr">
        <is>
          <t>Production banner</t>
        </is>
      </c>
      <c r="D329" s="18" t="n"/>
      <c r="E329" s="18" t="n"/>
      <c r="F329" s="5" t="n"/>
      <c r="G329" s="5" t="inlineStr">
        <is>
          <t>Hindi cinema</t>
        </is>
      </c>
      <c r="H329" s="5" t="inlineStr">
        <is>
          <t>A production banner credited on one film in this filmography, with no Wikipedia article of its own.</t>
        </is>
      </c>
      <c r="I329" s="5" t="n"/>
      <c r="J329" s="5" t="inlineStr">
        <is>
          <t>With Kapoor: Rishta To Ho Aisa (1992).</t>
        </is>
      </c>
      <c r="K329" s="19" t="inlineStr">
        <is>
          <t>The household melodrama.</t>
        </is>
      </c>
      <c r="L329" s="19" t="inlineStr">
        <is>
          <t>Not documented.</t>
        </is>
      </c>
      <c r="M329" s="5" t="n"/>
      <c r="N329" s="19" t="inlineStr">
        <is>
          <t>Not independently documented.</t>
        </is>
      </c>
      <c r="O329" s="19" t="inlineStr">
        <is>
          <t>One credit, on Rishta To Ho Aisa (1992), the fourth of Kalpataru's five family melodramas with Kapoor, written with Kader Khan and scored by Laxmikant–Pyarelal.</t>
        </is>
      </c>
      <c r="P329" s="17" t="n">
        <v>1</v>
      </c>
      <c r="Q329" s="5" t="inlineStr">
        <is>
          <t>FILM-086</t>
        </is>
      </c>
      <c r="R329" s="5" t="inlineStr">
        <is>
          <t>Rishta To Ho Aisa (1992)</t>
        </is>
      </c>
      <c r="S329" s="5" t="inlineStr">
        <is>
          <t>Marco Enterprises is a banner on Rishta To Ho Aisa (1992) and has no recorded history. The film is one of five household melodramas Kalpataru made with Kapoor between 1988 and 1994 — pictures named for the family rather than for any romance, written largely by Kader Khan, scored by Laxmikant–Pyarelal, financed by companies with no public profile and reviewed almost nowhere. It was released in the same year as Deewana and Bol Radha Bol, which shows what the bulk of his output looked like even as those two films decided the shape of his later career. This row is built from the film's credits alone.</t>
        </is>
      </c>
      <c r="T329" s="5" t="inlineStr">
        <is>
          <t>SOURCE-084</t>
        </is>
      </c>
      <c r="U329" s="5" t="inlineStr">
        <is>
          <t>Low</t>
        </is>
      </c>
    </row>
    <row r="330" ht="94" customHeight="1">
      <c r="A330" s="15" t="inlineStr">
        <is>
          <t>PERSON-329</t>
        </is>
      </c>
      <c r="B330" s="5" t="inlineStr">
        <is>
          <t>Mayank Arts</t>
        </is>
      </c>
      <c r="C330" s="5" t="inlineStr">
        <is>
          <t>Production banner</t>
        </is>
      </c>
      <c r="D330" s="18" t="n"/>
      <c r="E330" s="18" t="n"/>
      <c r="F330" s="5" t="n"/>
      <c r="G330" s="5" t="inlineStr">
        <is>
          <t>Hindi cinema</t>
        </is>
      </c>
      <c r="H330" s="5" t="inlineStr">
        <is>
          <t>A production banner credited on one film in this filmography, with no Wikipedia article of its own.</t>
        </is>
      </c>
      <c r="I330" s="5" t="n"/>
      <c r="J330" s="5" t="inlineStr">
        <is>
          <t>With Kapoor: Deewana (1992).</t>
        </is>
      </c>
      <c r="K330" s="19" t="inlineStr">
        <is>
          <t>Not documented.</t>
        </is>
      </c>
      <c r="L330" s="19" t="inlineStr">
        <is>
          <t>Not documented.</t>
        </is>
      </c>
      <c r="M330" s="5" t="n"/>
      <c r="N330" s="19" t="inlineStr">
        <is>
          <t>Not independently documented, though its one credit is on a film of real consequence.</t>
        </is>
      </c>
      <c r="O330" s="19" t="inlineStr">
        <is>
          <t>One credit, and on the pivotal film of the later career: Deewana (1992), Raj Kanwar's directorial debut, in which Kapoor plays the singer presumed dead whose widow marries the younger man played by a debuting Shah Rukh Khan.</t>
        </is>
      </c>
      <c r="P330" s="17" t="n">
        <v>1</v>
      </c>
      <c r="Q330" s="5" t="inlineStr">
        <is>
          <t>FILM-087</t>
        </is>
      </c>
      <c r="R330" s="5" t="inlineStr">
        <is>
          <t>Deewana (1992)</t>
        </is>
      </c>
      <c r="S330" s="5" t="inlineStr">
        <is>
          <t>Mayank Arts is one of the banners on Deewana (1992) and has no recorded history. The film is the single most consequential entry in the second half of this filmography: Kapoor as Ravi, the wealthy singer believed killed, and Shah Rukh Khan in his film debut as the man his widow marries. It was a commercial success, won Khan a Filmfare award for best debut, and is read as the moment Hindi cinema's romantic lead passed between generations — with Kapoor performing the handover on screen. Several producers and two banners are credited on it, none of them documented. This row is built from the film's credits alone.</t>
        </is>
      </c>
      <c r="T330" s="5" t="inlineStr">
        <is>
          <t>SOURCE-081</t>
        </is>
      </c>
      <c r="U330" s="5" t="inlineStr">
        <is>
          <t>Low</t>
        </is>
      </c>
    </row>
    <row r="331" ht="109" customHeight="1">
      <c r="A331" s="15" t="inlineStr">
        <is>
          <t>PERSON-330</t>
        </is>
      </c>
      <c r="B331" s="5" t="inlineStr">
        <is>
          <t>Mayur Puri</t>
        </is>
      </c>
      <c r="C331" s="5" t="inlineStr">
        <is>
          <t>Writer</t>
        </is>
      </c>
      <c r="D331" s="18" t="n"/>
      <c r="E331" s="18" t="n"/>
      <c r="F331" s="5" t="n"/>
      <c r="G331" s="5" t="inlineStr">
        <is>
          <t>Hindi cinema</t>
        </is>
      </c>
      <c r="H331" s="5" t="inlineStr">
        <is>
          <t>Mayur Puri, from Ajmer in Rajasthan, is an Indian screenwriter, lyricist, actor and filmmaker based in Mumbai. His song and dialogue work includes Farah Khan's Om Shanti Om (2007) and Happy New Year (2014) and the ABCD: Any Body Can Dance films, and he directed his first short film, Firdaws, in 2017.</t>
        </is>
      </c>
      <c r="I331" s="5" t="inlineStr">
        <is>
          <t>Writing songs and dialogue from the mid-2000s.</t>
        </is>
      </c>
      <c r="J331" s="5" t="inlineStr">
        <is>
          <t>With Kapoor: Tell Me O Kkhuda (2011). Elsewhere, Om Shanti Om, Happy New Year and the ABCD films.</t>
        </is>
      </c>
      <c r="K331" s="19" t="inlineStr">
        <is>
          <t>Spectacle, dance and self-aware Hindi film pastiche.</t>
        </is>
      </c>
      <c r="L331" s="19" t="inlineStr">
        <is>
          <t>A lyricist-screenwriter attached to large commercial entertainments, especially Farah Khan's.</t>
        </is>
      </c>
      <c r="M331" s="5" t="n"/>
      <c r="N331" s="19" t="inlineStr">
        <is>
          <t>Not independently prominent, but a regular contributor to some of the biggest Hindi films of the 2000s and 2010s.</t>
        </is>
      </c>
      <c r="O331" s="19" t="inlineStr">
        <is>
          <t>One film: Tell Me O Kkhuda (2011), which Hema Malini wrote, produced and directed, with Kapoor among a cast of veterans in support. Puri also wrote for Om Shanti Om (2007), in which Kapoor appears as himself, though this workbook's credits for that film do not list him.</t>
        </is>
      </c>
      <c r="P331" s="17" t="n">
        <v>2</v>
      </c>
      <c r="Q331" s="5" t="inlineStr">
        <is>
          <t>FILM-136; FILM-148</t>
        </is>
      </c>
      <c r="R331" s="5" t="inlineStr">
        <is>
          <t>Tell Me O Kkhuda (2011)</t>
        </is>
      </c>
      <c r="S331" s="5" t="inlineStr">
        <is>
          <t>Mayur Puri wrote for Tell Me O Kkhuda (2011), one of the least seen films in this filmography. A screenwriter and lyricist from Ajmer whose work runs through Farah Khan's biggest pictures — Om Shanti Om, Happy New Year — and the ABCD dance films, Puri belongs to the machinery of large commercial Hindi cinema. Tell Me O Kkhuda was Hema Malini's third film as director, built around her daughter Esha Deol, with Kapoor and several of his contemporaries taking small parts; it failed commercially. It is the only credit shared by Kapoor and Hema Malini, the leading female star of the decade in which he became a lead.</t>
        </is>
      </c>
      <c r="T331" s="5" t="inlineStr">
        <is>
          <t>SOURCE-329</t>
        </is>
      </c>
      <c r="U331" s="5" t="inlineStr">
        <is>
          <t>Medium</t>
        </is>
      </c>
    </row>
    <row r="332" ht="124" customHeight="1">
      <c r="A332" s="15" t="inlineStr">
        <is>
          <t>PERSON-331</t>
        </is>
      </c>
      <c r="B332" s="5" t="inlineStr">
        <is>
          <t>Mehboob Studios</t>
        </is>
      </c>
      <c r="C332" s="5" t="inlineStr">
        <is>
          <t>Production banner</t>
        </is>
      </c>
      <c r="D332" s="18" t="n"/>
      <c r="E332" s="18" t="n"/>
      <c r="F332" s="5" t="inlineStr">
        <is>
          <t>1954–present</t>
        </is>
      </c>
      <c r="G332" s="5" t="inlineStr">
        <is>
          <t>Hindi cinema</t>
        </is>
      </c>
      <c r="H332" s="5" t="inlineStr">
        <is>
          <t>Mehboob Studio is an Indian film and recording studio in Bandra, Mumbai, founded in 1954 by the director and producer Mehboob Khan, who had earlier owned Mehboob Productions, founded in 1942. It is most associated with Mother India (1957), which won the Filmfare Awards for Best Film and Best Director and was nominated for the Academy Award for Best Foreign Language Film.</t>
        </is>
      </c>
      <c r="I332" s="5" t="inlineStr">
        <is>
          <t>Operating as a studio from 1954.</t>
        </is>
      </c>
      <c r="J332" s="5" t="inlineStr">
        <is>
          <t>With Kapoor: Chala Murari Hero Banne (1977). Elsewhere, it is the facility at which a large part of Hindi cinema was shot and recorded.</t>
        </is>
      </c>
      <c r="K332" s="19" t="inlineStr">
        <is>
          <t>A facility rather than a production house with a slate.</t>
        </is>
      </c>
      <c r="L332" s="19" t="inlineStr">
        <is>
          <t>Not applicable; it is a studio and recording stage.</t>
        </is>
      </c>
      <c r="M332" s="5" t="n"/>
      <c r="N332" s="19" t="inlineStr">
        <is>
          <t>One of the most historically significant film facilities in India, founded by the maker of Mother India.</t>
        </is>
      </c>
      <c r="O332" s="19" t="inlineStr">
        <is>
          <t>One credit, on Asrani's Chala Murari Hero Banne (1977) — a satire about a man trying to become a film star, in which the real stars, Kapoor among them, appear within the joke. That the credit is a studio rather than a producer is fitting for a film about the industry's own machinery.</t>
        </is>
      </c>
      <c r="P332" s="17" t="n">
        <v>1</v>
      </c>
      <c r="Q332" s="5" t="inlineStr">
        <is>
          <t>FILM-017</t>
        </is>
      </c>
      <c r="R332" s="5" t="inlineStr">
        <is>
          <t>Chala Murari Hero Banne (1977)</t>
        </is>
      </c>
      <c r="S332" s="5" t="inlineStr">
        <is>
          <t>Mehboob Studio appears once in this filmography, on a film about the film industry. Founded in Bandra in 1954 by Mehboob Khan — the maker of Mother India, which won Filmfare's Best Film and Best Director and an Academy Award nomination — the studio became one of the most used facilities in Indian cinema, a place rather than a production house. Its credit here is on Chala Murari Hero Banne (1977), the satire Asrani wrote, directed and starred in about a hopeful trying to become a hero, with the real stars appearing as themselves. Kapoor was four years past Bobby and already famous enough to be part of the joke.</t>
        </is>
      </c>
      <c r="T332" s="5" t="inlineStr">
        <is>
          <t>SOURCE-330</t>
        </is>
      </c>
      <c r="U332" s="5" t="inlineStr">
        <is>
          <t>Medium</t>
        </is>
      </c>
    </row>
    <row r="333" ht="154" customHeight="1">
      <c r="A333" s="15" t="inlineStr">
        <is>
          <t>PERSON-332</t>
        </is>
      </c>
      <c r="B333" s="5" t="inlineStr">
        <is>
          <t>Mehmood</t>
        </is>
      </c>
      <c r="C333" s="5" t="inlineStr">
        <is>
          <t>Director</t>
        </is>
      </c>
      <c r="D333" s="17" t="n">
        <v>1932</v>
      </c>
      <c r="E333" s="17" t="n">
        <v>2004</v>
      </c>
      <c r="F333" s="5" t="n"/>
      <c r="G333" s="5" t="inlineStr">
        <is>
          <t>Hindi cinema</t>
        </is>
      </c>
      <c r="H333" s="5" t="inlineStr">
        <is>
          <t>Mehmood Ali (29 September 1932 – 23 July 2004), known as Mehmood, was an Indian actor, singer, director and producer who appeared in over 300 Hindi films across more than four decades, playing comic, serious and emotional roles, and was known as Bollywood's original Bhaijaan. He received twenty-five award nominations. Meena Kumari was his sister-in-law, and his children include the singer Lucky Ali and the actress Ginny.</t>
        </is>
      </c>
      <c r="I333" s="5" t="inlineStr">
        <is>
          <t>Acting from the 1940s; directing and producing from the 1960s.</t>
        </is>
      </c>
      <c r="J333" s="5" t="inlineStr">
        <is>
          <t>With Kapoor: Ginny Aur Johnny (1976), which he directed. Elsewhere, Padosan, Pyar Kiye Jaa and Bombay to Goa.</t>
        </is>
      </c>
      <c r="K333" s="19" t="inlineStr">
        <is>
          <t>Comedy built on mimicry and regional caricature; family productions starring his own children.</t>
        </is>
      </c>
      <c r="L333" s="19" t="inlineStr">
        <is>
          <t>A comedian-director whose own films were vehicles for family members and for his particular brand of performance.</t>
        </is>
      </c>
      <c r="M333" s="5" t="n"/>
      <c r="N333" s="19" t="inlineStr">
        <is>
          <t>The most popular comic actor in Hindi cinema for two decades and one of the few to become a director and producer in his own right.</t>
        </is>
      </c>
      <c r="O333" s="19" t="inlineStr">
        <is>
          <t>One film: Ginny Aur Johnny (1976), which he directed. His article records that it starred his daughter Ginny and was based on the 1973 American film Paper Moon — so Kapoor, three years after Bobby, was cast as the adult foil to a child star in a Hindi version of a Hollywood picture. His son Lucky Ali also holds a credit in this filmography, as a composer on Love at Times Square (2003), twenty-seven years later.</t>
        </is>
      </c>
      <c r="P333" s="17" t="n">
        <v>1</v>
      </c>
      <c r="Q333" s="5" t="inlineStr">
        <is>
          <t>FILM-012</t>
        </is>
      </c>
      <c r="R333" s="5" t="inlineStr">
        <is>
          <t>Ginny Aur Johnny (1976)</t>
        </is>
      </c>
      <c r="S333" s="5" t="inlineStr">
        <is>
          <t>Mehmood directed Rishi Kapoor in a Hindi version of Paper Moon. The most popular comic actor in Hindi cinema for two decades, with more than 300 films behind him, Mehmood also produced and directed, usually building films around his own family. Ginny Aur Johnny (1976), his article records, starred his daughter Ginny and was based on Peter Bogdanovich's 1973 film about a conman and a child; Kapoor, twenty-three and three years past Bobby, played opposite the child. The family connection extends further: Mehmood's son Lucky Ali composed for Love at Times Square in 2003, so father and son each hold one credit in this workbook, twenty-seven years apart and both in obscure films.</t>
        </is>
      </c>
      <c r="T333" s="5" t="inlineStr">
        <is>
          <t>SOURCE-331</t>
        </is>
      </c>
      <c r="U333" s="5" t="inlineStr">
        <is>
          <t>High</t>
        </is>
      </c>
    </row>
    <row r="334" ht="94" customHeight="1">
      <c r="A334" s="15" t="inlineStr">
        <is>
          <t>PERSON-333</t>
        </is>
      </c>
      <c r="B334" s="5" t="inlineStr">
        <is>
          <t>Mirza Brothers</t>
        </is>
      </c>
      <c r="C334" s="5" t="inlineStr">
        <is>
          <t>Writer</t>
        </is>
      </c>
      <c r="D334" s="18" t="n"/>
      <c r="E334" s="18" t="n"/>
      <c r="F334" s="5" t="n"/>
      <c r="G334" s="5" t="inlineStr">
        <is>
          <t>Hindi cinema</t>
        </is>
      </c>
      <c r="H334" s="5" t="inlineStr">
        <is>
          <t>A writing credit on one film in this filmography, given as a pair under a collective name, with no Wikipedia article identifiable to it.</t>
        </is>
      </c>
      <c r="I334" s="5" t="n"/>
      <c r="J334" s="5" t="inlineStr">
        <is>
          <t>With Kapoor: Aap Ke Deewane (1980).</t>
        </is>
      </c>
      <c r="K334" s="19" t="inlineStr">
        <is>
          <t>Not documented.</t>
        </is>
      </c>
      <c r="L334" s="19" t="inlineStr">
        <is>
          <t>Not documented; credited alongside Madan Joshi.</t>
        </is>
      </c>
      <c r="M334" s="5" t="n"/>
      <c r="N334" s="19" t="inlineStr">
        <is>
          <t>Not independently documented.</t>
        </is>
      </c>
      <c r="O334" s="19" t="inlineStr">
        <is>
          <t>One film: Aap Ke Deewane (1980), the first production of Rakesh Roshan's Filmkraft, directed by Surendra Mohan with a Rajesh Roshan score. The film failed, and the surviving account of its plot does not record how its triangle resolves.</t>
        </is>
      </c>
      <c r="P334" s="17" t="n">
        <v>1</v>
      </c>
      <c r="Q334" s="5" t="inlineStr">
        <is>
          <t>FILM-030</t>
        </is>
      </c>
      <c r="R334" s="5" t="inlineStr">
        <is>
          <t>Aap Ke Deewane (1980)</t>
        </is>
      </c>
      <c r="S334" s="5" t="inlineStr">
        <is>
          <t>The Mirza Brothers are credited as writers on Aap Ke Deewane (1980) and cannot be identified further. The film has a small place in industrial history as the first production of Filmkraft, the company Rakesh Roshan founded that year and which went on to make Khudgarz, Karan Arjun and the Krrish films; it was a box-office failure, and the plot summary this workbook could recover breaks off without resolving its triangle. Collective credits under a family name — Mirza Brothers, Ramsay Brothers, Sippy — recur through the Hindi industry of the period. This row is built from the film's credits alone.</t>
        </is>
      </c>
      <c r="T334" s="5" t="inlineStr">
        <is>
          <t>SOURCE-030</t>
        </is>
      </c>
      <c r="U334" s="5" t="inlineStr">
        <is>
          <t>Low</t>
        </is>
      </c>
    </row>
    <row r="335" ht="94" customHeight="1">
      <c r="A335" s="15" t="inlineStr">
        <is>
          <t>PERSON-334</t>
        </is>
      </c>
      <c r="B335" s="5" t="inlineStr">
        <is>
          <t>Mohan Sehgal</t>
        </is>
      </c>
      <c r="C335" s="5" t="inlineStr">
        <is>
          <t>Director</t>
        </is>
      </c>
      <c r="D335" s="18" t="n"/>
      <c r="E335" s="18" t="n"/>
      <c r="F335" s="5" t="n"/>
      <c r="G335" s="5" t="inlineStr">
        <is>
          <t>Hindi cinema</t>
        </is>
      </c>
      <c r="H335" s="5" t="inlineStr">
        <is>
          <t>A director credited on one film in this filmography, with no Wikipedia article resolved for him in this research.</t>
        </is>
      </c>
      <c r="I335" s="5" t="n"/>
      <c r="J335" s="5" t="inlineStr">
        <is>
          <t>With Kapoor: Sher Dil (1990).</t>
        </is>
      </c>
      <c r="K335" s="19" t="inlineStr">
        <is>
          <t>Not documented.</t>
        </is>
      </c>
      <c r="L335" s="19" t="inlineStr">
        <is>
          <t>Not documented.</t>
        </is>
      </c>
      <c r="M335" s="5" t="n"/>
      <c r="N335" s="19" t="inlineStr">
        <is>
          <t>Not documented here.</t>
        </is>
      </c>
      <c r="O335" s="19" t="inlineStr">
        <is>
          <t>One film: Sher Dil (1990), a Laxmikant–Pyarelal-scored picture from the stretch between 1989 and 1991 in which Kapoor released nine films, nearly all of them unreviewed and several directed by men with no surviving record.</t>
        </is>
      </c>
      <c r="P335" s="17" t="n">
        <v>1</v>
      </c>
      <c r="Q335" s="5" t="inlineStr">
        <is>
          <t>FILM-078</t>
        </is>
      </c>
      <c r="R335" s="5" t="inlineStr">
        <is>
          <t>Sher Dil (1990)</t>
        </is>
      </c>
      <c r="S335" s="5" t="inlineStr">
        <is>
          <t>Mohan Sehgal directed Sher Dil (1990), and no article for him was resolved in this research. The film belongs to the least documented period in this filmography: nine releases between 1989 and 1991, financed by small producers, scored almost without exception by Laxmikant–Pyarelal, and directed by figures — Kalpataru, Surendra Mohan, Deepak Sareen, this one — whose records range from a single sentence to nothing at all. The aggregate is more informative than any individual row: at the point where Kapoor was working hardest, the industry was documenting him least. This row is built from the film's credits alone.</t>
        </is>
      </c>
      <c r="T335" s="5" t="inlineStr">
        <is>
          <t>SOURCE-073</t>
        </is>
      </c>
      <c r="U335" s="5" t="inlineStr">
        <is>
          <t>Low</t>
        </is>
      </c>
    </row>
    <row r="336" ht="94" customHeight="1">
      <c r="A336" s="15" t="inlineStr">
        <is>
          <t>PERSON-335</t>
        </is>
      </c>
      <c r="B336" s="5" t="inlineStr">
        <is>
          <t>Monisha Advani</t>
        </is>
      </c>
      <c r="C336" s="5" t="inlineStr">
        <is>
          <t>Producer</t>
        </is>
      </c>
      <c r="D336" s="18" t="n"/>
      <c r="E336" s="18" t="n"/>
      <c r="F336" s="5" t="n"/>
      <c r="G336" s="5" t="inlineStr">
        <is>
          <t>Hindi cinema</t>
        </is>
      </c>
      <c r="H336" s="5" t="inlineStr">
        <is>
          <t>A producer credited on one film in this filmography, with no Wikipedia article of her own. The article on Emmay Entertainment names her as a co-founder of that company in 2011, with her brother Nikkhil Advani and Madhu Bhojwani.</t>
        </is>
      </c>
      <c r="I336" s="5" t="n"/>
      <c r="J336" s="5" t="inlineStr">
        <is>
          <t>With Kapoor: D-Day (2013). Elsewhere, Emmay's slate including Airlift and Batla House.</t>
        </is>
      </c>
      <c r="K336" s="19" t="inlineStr">
        <is>
          <t>The ensemble thriller and the issue-driven commercial film.</t>
        </is>
      </c>
      <c r="L336" s="19" t="inlineStr">
        <is>
          <t>Not documented individually.</t>
        </is>
      </c>
      <c r="M336" s="5" t="n"/>
      <c r="N336" s="19" t="inlineStr">
        <is>
          <t>Not independently documented.</t>
        </is>
      </c>
      <c r="O336" s="19" t="inlineStr">
        <is>
          <t>One film: Nikkhil Advani's D-Day (2013), the first feature her company produced, in which Kapoor plays Iqbal Seth, a Dawood Ibrahim-like crime boss living under protection in Karachi — among the most unsympathetic roles of his career.</t>
        </is>
      </c>
      <c r="P336" s="17" t="n">
        <v>1</v>
      </c>
      <c r="Q336" s="5" t="inlineStr">
        <is>
          <t>FILM-143</t>
        </is>
      </c>
      <c r="R336" s="5" t="inlineStr">
        <is>
          <t>D-Day (2013)</t>
        </is>
      </c>
      <c r="S336" s="5" t="inlineStr">
        <is>
          <t>Monisha Advani co-produced D-Day (2013), the first film from Emmay Entertainment, the company she founded in 2011 with her brother Nikkhil Advani and Madhu Bhojwani. She has no article of her own; what is recorded of her appears in the company's. D-Day gave Rishi Kapoor one of his strongest late roles: the fugitive gangster in Karachi, played with a geniality that makes the character worse rather than better. Coming a year after Agneepath's Rauf Lala, it confirmed that the second half of his career would include real menace alongside the indulgent fathers. She is one of relatively few women among this workbook's 561 credited collaborators.</t>
        </is>
      </c>
      <c r="T336" s="5" t="inlineStr">
        <is>
          <t>SOURCE-135; SOURCE-288</t>
        </is>
      </c>
      <c r="U336" s="5" t="inlineStr">
        <is>
          <t>Medium</t>
        </is>
      </c>
    </row>
    <row r="337" ht="94" customHeight="1">
      <c r="A337" s="15" t="inlineStr">
        <is>
          <t>PERSON-336</t>
        </is>
      </c>
      <c r="B337" s="5" t="inlineStr">
        <is>
          <t>Movie Temple Productions</t>
        </is>
      </c>
      <c r="C337" s="5" t="inlineStr">
        <is>
          <t>Production banner</t>
        </is>
      </c>
      <c r="D337" s="18" t="n"/>
      <c r="E337" s="18" t="n"/>
      <c r="F337" s="5" t="n"/>
      <c r="G337" s="5" t="inlineStr">
        <is>
          <t>Hindi cinema</t>
        </is>
      </c>
      <c r="H337" s="5" t="inlineStr">
        <is>
          <t>A production banner credited on one film in this filmography, with no Wikipedia article of its own.</t>
        </is>
      </c>
      <c r="I337" s="5" t="n"/>
      <c r="J337" s="5" t="inlineStr">
        <is>
          <t>With Kapoor: Besharam (2013).</t>
        </is>
      </c>
      <c r="K337" s="19" t="inlineStr">
        <is>
          <t>Not documented.</t>
        </is>
      </c>
      <c r="L337" s="19" t="inlineStr">
        <is>
          <t>Not documented.</t>
        </is>
      </c>
      <c r="M337" s="5" t="n"/>
      <c r="N337" s="19" t="inlineStr">
        <is>
          <t>Not independently documented.</t>
        </is>
      </c>
      <c r="O337" s="19" t="inlineStr">
        <is>
          <t>One credit, on Besharam (2013), Abhinav Kashyap's comedy and the only film in which Rishi Kapoor, his wife Neetu Singh and their son Ranbir Kapoor all appear — the parents as police officers, the son as the title character.</t>
        </is>
      </c>
      <c r="P337" s="17" t="n">
        <v>1</v>
      </c>
      <c r="Q337" s="5" t="inlineStr">
        <is>
          <t>FILM-145</t>
        </is>
      </c>
      <c r="R337" s="5" t="inlineStr">
        <is>
          <t>Besharam (2013)</t>
        </is>
      </c>
      <c r="S337" s="5" t="inlineStr">
        <is>
          <t>Movie Temple Productions is a banner on Besharam (2013) and has no recorded history. The film matters to this filmography as a family document rather than as work: Abhinav Kashyap's follow-up to Dabangg cast Ranbir Kapoor as a cheerful car thief with both his parents as the police officers pursuing him — Rishi Kapoor and Neetu Singh, who had been paired as romantic leads in a dozen films of the 1970s. It is the only film in which all three appear, and it failed both critically and commercially. This row is built from the film's credits alone.</t>
        </is>
      </c>
      <c r="T337" s="5" t="inlineStr">
        <is>
          <t>SOURCE-137</t>
        </is>
      </c>
      <c r="U337" s="5" t="inlineStr">
        <is>
          <t>Low</t>
        </is>
      </c>
    </row>
    <row r="338" ht="124" customHeight="1">
      <c r="A338" s="15" t="inlineStr">
        <is>
          <t>PERSON-337</t>
        </is>
      </c>
      <c r="B338" s="5" t="inlineStr">
        <is>
          <t>Mukesh Talreja</t>
        </is>
      </c>
      <c r="C338" s="5" t="inlineStr">
        <is>
          <t>Producer</t>
        </is>
      </c>
      <c r="D338" s="18" t="n"/>
      <c r="E338" s="18" t="n"/>
      <c r="F338" s="5" t="n"/>
      <c r="G338" s="5" t="inlineStr">
        <is>
          <t>Hindi cinema</t>
        </is>
      </c>
      <c r="H338" s="5" t="inlineStr">
        <is>
          <t>A producer credited on one film in this filmography, with no Wikipedia article of his own.</t>
        </is>
      </c>
      <c r="I338" s="5" t="n"/>
      <c r="J338" s="5" t="inlineStr">
        <is>
          <t>With Kapoor: Patiala House (2011).</t>
        </is>
      </c>
      <c r="K338" s="19" t="inlineStr">
        <is>
          <t>Not documented.</t>
        </is>
      </c>
      <c r="L338" s="19" t="inlineStr">
        <is>
          <t>Not documented.</t>
        </is>
      </c>
      <c r="M338" s="5" t="n"/>
      <c r="N338" s="19" t="inlineStr">
        <is>
          <t>Not independently documented.</t>
        </is>
      </c>
      <c r="O338" s="19" t="inlineStr">
        <is>
          <t>One film: Nikkhil Advani's Patiala House (2011), in which Kapoor plays the Southall patriarch whose bitterness after a racist attack leads him to forbid his son's cricket career — one of the stronger roles of his late period, and his fourth film opposite Dimple Kapadia after Bobby, Saagar and Pyaar Mein Twist.</t>
        </is>
      </c>
      <c r="P338" s="17" t="n">
        <v>1</v>
      </c>
      <c r="Q338" s="5" t="inlineStr">
        <is>
          <t>FILM-135</t>
        </is>
      </c>
      <c r="R338" s="5" t="inlineStr">
        <is>
          <t>Patiala House (2011)</t>
        </is>
      </c>
      <c r="S338" s="5" t="inlineStr">
        <is>
          <t>Mukesh Talreja is one of five producers credited on Patiala House (2011) and has no documented biography. The film gave Kapoor a genuinely cold part: Gurtej Singh Kahlon, a London Punjabi whose experience of racist violence has hardened into control over his son's life, forbidding him the cricket career he wants. It also reunited him with Dimple Kapadia for the fourth time since Bobby, now as a long-married couple. Five producers across three banners are credited, which is characteristic of T-Series-era financing. This row is built from the film's credits alone.</t>
        </is>
      </c>
      <c r="T338" s="5" t="inlineStr">
        <is>
          <t>SOURCE-127</t>
        </is>
      </c>
      <c r="U338" s="5" t="inlineStr">
        <is>
          <t>Low</t>
        </is>
      </c>
    </row>
    <row r="339" ht="124" customHeight="1">
      <c r="A339" s="15" t="inlineStr">
        <is>
          <t>PERSON-338</t>
        </is>
      </c>
      <c r="B339" s="5" t="inlineStr">
        <is>
          <t>Mukta Arts</t>
        </is>
      </c>
      <c r="C339" s="5" t="inlineStr">
        <is>
          <t>Production banner</t>
        </is>
      </c>
      <c r="D339" s="18" t="n"/>
      <c r="E339" s="18" t="n"/>
      <c r="F339" s="5" t="inlineStr">
        <is>
          <t>1982–present</t>
        </is>
      </c>
      <c r="G339" s="5" t="inlineStr">
        <is>
          <t>Hindi cinema</t>
        </is>
      </c>
      <c r="H339" s="5" t="inlineStr">
        <is>
          <t>Mukta Arts is the production company founded by the director Subhash Ghai in 1982, which became a public company in 2000. Its article names Ghai and Rahul Puri among its key people.</t>
        </is>
      </c>
      <c r="I339" s="5" t="inlineStr">
        <is>
          <t>Founded in 1982; it produced Ghai's films from Vidhaata onwards.</t>
        </is>
      </c>
      <c r="J339" s="5" t="inlineStr">
        <is>
          <t>With Kapoor: Kaanchi: The Unbreakable (2014). Elsewhere, Ram Lakhan, Saudagar, Khalnayak, Pardes, Taal and Iqbal.</t>
        </is>
      </c>
      <c r="K339" s="19" t="inlineStr">
        <is>
          <t>The showman's melodrama; from the 2000s, a broader slate including small award-winning films.</t>
        </is>
      </c>
      <c r="L339" s="19" t="inlineStr">
        <is>
          <t>A director's own company, built to produce his films and later to train filmmakers through an associated institute.</t>
        </is>
      </c>
      <c r="M339" s="5" t="n"/>
      <c r="N339" s="19" t="inlineStr">
        <is>
          <t>One of the most prominent director-owned production houses in Hindi cinema, and among the first to list publicly.</t>
        </is>
      </c>
      <c r="O339" s="19" t="inlineStr">
        <is>
          <t>One credit, on Kaanchi: The Unbreakable (2014), a late Subhash Ghai film with Kapoor in support. The more consequential connection is outside this credit: Ghai had directed Kapoor in Karz (1980), two years before founding the company, and that film remains one of the two or three on which the actor's reputation rests.</t>
        </is>
      </c>
      <c r="P339" s="17" t="n">
        <v>1</v>
      </c>
      <c r="Q339" s="5" t="inlineStr">
        <is>
          <t>FILM-147</t>
        </is>
      </c>
      <c r="R339" s="5" t="inlineStr">
        <is>
          <t>Kaanchi: The Unbreakable (2014)</t>
        </is>
      </c>
      <c r="S339" s="5" t="inlineStr">
        <is>
          <t>Mukta Arts, Subhash Ghai's company, appears once in this filmography — and late. Founded in 1982, two years after Ghai directed Rishi Kapoor in Karz, the company produced the run of films that made him Hindi cinema's showman of the 1980s and 1990s: Ram Lakhan, Saudagar, Khalnayak, Pardes, Taal. It listed publicly in 2000 and later produced the National Award-winning Iqbal. Its one Kapoor credit is Kaanchi: The Unbreakable (2014), a failure in which the actor took a supporting part thirty-four years after Karz had given him Monty, the reincarnated singer. The gap between the two credits is the whole arc of both careers.</t>
        </is>
      </c>
      <c r="T339" s="5" t="inlineStr">
        <is>
          <t>SOURCE-332</t>
        </is>
      </c>
      <c r="U339" s="5" t="inlineStr">
        <is>
          <t>Medium</t>
        </is>
      </c>
    </row>
    <row r="340" ht="109" customHeight="1">
      <c r="A340" s="15" t="inlineStr">
        <is>
          <t>PERSON-339</t>
        </is>
      </c>
      <c r="B340" s="5" t="inlineStr">
        <is>
          <t>Munir Ahmad</t>
        </is>
      </c>
      <c r="C340" s="5" t="inlineStr">
        <is>
          <t>Producer</t>
        </is>
      </c>
      <c r="D340" s="18" t="n"/>
      <c r="E340" s="18" t="n"/>
      <c r="F340" s="5" t="n"/>
      <c r="G340" s="5" t="inlineStr">
        <is>
          <t>English-language Indian cinema</t>
        </is>
      </c>
      <c r="H340" s="5" t="inlineStr">
        <is>
          <t>A producer credited on one film in this filmography, with no Wikipedia article identifiable to him; the bare name resolves to an unrelated Afghan cricketer.</t>
        </is>
      </c>
      <c r="I340" s="5" t="n"/>
      <c r="J340" s="5" t="inlineStr">
        <is>
          <t>With Kapoor: Don't Stop Dreaming (2007).</t>
        </is>
      </c>
      <c r="K340" s="19" t="inlineStr">
        <is>
          <t>Not documented.</t>
        </is>
      </c>
      <c r="L340" s="19" t="inlineStr">
        <is>
          <t>Not documented.</t>
        </is>
      </c>
      <c r="M340" s="5" t="n"/>
      <c r="N340" s="19" t="inlineStr">
        <is>
          <t>Not independently documented.</t>
        </is>
      </c>
      <c r="O340" s="19" t="inlineStr">
        <is>
          <t>One film: Don't Stop Dreaming (2007), one of the two English-language films in this filmography, both written and directed by Kapoor's cousin Aditya Raj Kapoor. Taz of Stereo Nation composed its soundtrack and co-starred; his article names Kapoor, Sunil Shetty and Richard Blackwood among the cast.</t>
        </is>
      </c>
      <c r="P340" s="17" t="n">
        <v>1</v>
      </c>
      <c r="Q340" s="5" t="inlineStr">
        <is>
          <t>FILM-122</t>
        </is>
      </c>
      <c r="R340" s="5" t="inlineStr">
        <is>
          <t>Don't Stop Dreaming (2007)</t>
        </is>
      </c>
      <c r="S340" s="5" t="inlineStr">
        <is>
          <t>Munir Ahmad is credited as a producer on Don't Stop Dreaming (2007) and cannot be identified further. The film is one of two English-language pictures Kapoor made that year, both written and directed by his first cousin Aditya Raj Kapoor and both so slightly released that almost nothing about them is documented. What is known comes from an unexpected direction: the British Asian singer Taz, who composed the soundtrack and acted in it, has an article that names Kapoor among his co-stars — one of the few places either film is recorded at all. This row is built from the film's credits alone.</t>
        </is>
      </c>
      <c r="T340" s="5" t="inlineStr">
        <is>
          <t>SOURCE-115</t>
        </is>
      </c>
      <c r="U340" s="5" t="inlineStr">
        <is>
          <t>Low</t>
        </is>
      </c>
    </row>
    <row r="341" ht="139" customHeight="1">
      <c r="A341" s="15" t="inlineStr">
        <is>
          <t>PERSON-340</t>
        </is>
      </c>
      <c r="B341" s="5" t="inlineStr">
        <is>
          <t>Mushtaq Jalili</t>
        </is>
      </c>
      <c r="C341" s="5" t="inlineStr">
        <is>
          <t>Writer</t>
        </is>
      </c>
      <c r="D341" s="17" t="n">
        <v>1927</v>
      </c>
      <c r="E341" s="17" t="n">
        <v>2004</v>
      </c>
      <c r="F341" s="5" t="n"/>
      <c r="G341" s="5" t="inlineStr">
        <is>
          <t>Hindi cinema</t>
        </is>
      </c>
      <c r="H341" s="5" t="inlineStr">
        <is>
          <t>Mushtaq Jalili (27 October 1927 – 14 October 2004) was an Indian screenwriter born in Hyderabad, the son of the Urdu poet Fasahat Jung Jaleel, known as Jaleel Manikpuri. He began as an assistant story writer with A. R. Kardar, worked from 1955 in the story department under P. N. Arora, then as an assistant writer with Pandit Mukhram Sharma, and was writing films in his own right from 1963.</t>
        </is>
      </c>
      <c r="I341" s="5" t="inlineStr">
        <is>
          <t>Writing independently from 1963, after apprenticeships with A. R. Kardar, P. N. Arora and Pandit Mukhram Sharma.</t>
        </is>
      </c>
      <c r="J341" s="5" t="inlineStr">
        <is>
          <t>With Kapoor: Naseeb Apna Apna (1986).</t>
        </is>
      </c>
      <c r="K341" s="19" t="inlineStr">
        <is>
          <t>Melodrama in the Urdu-inflected tradition he was trained in.</t>
        </is>
      </c>
      <c r="L341" s="19" t="inlineStr">
        <is>
          <t>A writer formed by three successive apprenticeships in the old Bombay story departments.</t>
        </is>
      </c>
      <c r="M341" s="5" t="n"/>
      <c r="N341" s="19" t="inlineStr">
        <is>
          <t>Not substantially documented, though his training places him in a direct line from the 1940s studio system.</t>
        </is>
      </c>
      <c r="O341" s="19" t="inlineStr">
        <is>
          <t>One film: Naseeb Apna Apna (1986), the T. Rama Rao film produced by K. C. Bokadia with a Laxmikant–Pyarelal score, in which Kapoor starred opposite Farha. He shares the writing credit with Manivannan, whose own credit almost certainly reflects the Tamil original the film was remade from.</t>
        </is>
      </c>
      <c r="P341" s="17" t="n">
        <v>1</v>
      </c>
      <c r="Q341" s="5" t="inlineStr">
        <is>
          <t>FILM-052</t>
        </is>
      </c>
      <c r="R341" s="5" t="inlineStr">
        <is>
          <t>Naseeb Apna Apna (1986)</t>
        </is>
      </c>
      <c r="S341" s="5" t="inlineStr">
        <is>
          <t>Mushtaq Jalili's single credit in this filmography carries an unusual amount of history. The son of the Urdu poet Jaleel Manikpuri, he learned screenwriting through three apprenticeships in the Bombay story departments — with A. R. Kardar, then under P. N. Arora from 1955, then with Pandit Mukhram Sharma — before writing on his own account from 1963. By the time he worked on Naseeb Apna Apna (1986), a southern remake directed by T. Rama Rao with Kapoor opposite Farha, that whole apprenticeship system had gone. His co-writer on the film, Manivannan, was a Tamil director whose credit reflects the original rather than the Hindi version.</t>
        </is>
      </c>
      <c r="T341" s="5" t="inlineStr">
        <is>
          <t>SOURCE-342</t>
        </is>
      </c>
      <c r="U341" s="5" t="inlineStr">
        <is>
          <t>Medium</t>
        </is>
      </c>
    </row>
    <row r="342" ht="124" customHeight="1">
      <c r="A342" s="15" t="inlineStr">
        <is>
          <t>PERSON-341</t>
        </is>
      </c>
      <c r="B342" s="5" t="inlineStr">
        <is>
          <t>Mushtaq Shiekh</t>
        </is>
      </c>
      <c r="C342" s="5" t="inlineStr">
        <is>
          <t>Writer</t>
        </is>
      </c>
      <c r="D342" s="18" t="n"/>
      <c r="E342" s="18" t="n"/>
      <c r="F342" s="5" t="n"/>
      <c r="G342" s="5" t="inlineStr">
        <is>
          <t>Hindi cinema</t>
        </is>
      </c>
      <c r="H342" s="5" t="inlineStr">
        <is>
          <t>Mushtaq Shiekh, from Mumbai, is an Indian screenwriter, author, producer and actor, known mainly for writing the screenplays of Ra.One, Om Shanti Om and Billu.</t>
        </is>
      </c>
      <c r="I342" s="5" t="inlineStr">
        <is>
          <t>Writing for Hindi films in the 2000s, in close association with Farah Khan and Shah Rukh Khan's productions.</t>
        </is>
      </c>
      <c r="J342" s="5" t="inlineStr">
        <is>
          <t>With Kapoor: Om Shanti Om (2007). Elsewhere, Ra.One and Billu.</t>
        </is>
      </c>
      <c r="K342" s="19" t="inlineStr">
        <is>
          <t>Hindi cinema's own history and machinery as subject matter.</t>
        </is>
      </c>
      <c r="L342" s="19" t="inlineStr">
        <is>
          <t>A screenwriter and author working within the Red Chillies and Farah Khan orbit, with books on the industry alongside his scripts.</t>
        </is>
      </c>
      <c r="M342" s="5" t="n"/>
      <c r="N342" s="19" t="inlineStr">
        <is>
          <t>Not independently prominent, though his credits include two of the largest Hindi productions of their period.</t>
        </is>
      </c>
      <c r="O342" s="19" t="inlineStr">
        <is>
          <t>One film: Om Shanti Om (2007), in which Kapoor appears as himself among dozens of stars. The film is a pastiche of the 1970s industry in which he had been a young lead, and its reincarnation plot echoes Karz (1980), one of his own defining films — so the screenplay places him inside a knowing reconstruction of his own era.</t>
        </is>
      </c>
      <c r="P342" s="17" t="n">
        <v>1</v>
      </c>
      <c r="Q342" s="5" t="inlineStr">
        <is>
          <t>FILM-125</t>
        </is>
      </c>
      <c r="R342" s="5" t="inlineStr">
        <is>
          <t>Om Shanti Om (2007)</t>
        </is>
      </c>
      <c r="S342" s="5" t="inlineStr">
        <is>
          <t>Mushtaq Shiekh co-wrote Om Shanti Om, the film that turned the cinema of Rishi Kapoor's youth into material. A Mumbai screenwriter and author best known for Om Shanti Om, Ra.One and Billu, Shiekh worked within the Farah Khan and Red Chillies orbit, and also published books about the industry. Om Shanti Om (2007) sets half its action in the 1970s Hindi film world and borrows its reincarnation structure from Karz, the Subhash Ghai film that had given Kapoor his most durable role in 1980. Kapoor appears as himself. It is the clearest instance in this workbook of his past being recycled as content by the generation that followed him.</t>
        </is>
      </c>
      <c r="T342" s="5" t="inlineStr">
        <is>
          <t>SOURCE-333</t>
        </is>
      </c>
      <c r="U342" s="5" t="inlineStr">
        <is>
          <t>Medium</t>
        </is>
      </c>
    </row>
    <row r="343" ht="124" customHeight="1">
      <c r="A343" s="15" t="inlineStr">
        <is>
          <t>PERSON-342</t>
        </is>
      </c>
      <c r="B343" s="5" t="inlineStr">
        <is>
          <t>N. N. Sippy</t>
        </is>
      </c>
      <c r="C343" s="5" t="inlineStr">
        <is>
          <t>Producer</t>
        </is>
      </c>
      <c r="D343" s="18" t="n"/>
      <c r="E343" s="18" t="n"/>
      <c r="F343" s="5" t="n"/>
      <c r="G343" s="5" t="inlineStr">
        <is>
          <t>Hindi cinema</t>
        </is>
      </c>
      <c r="H343" s="5" t="inlineStr">
        <is>
          <t>A producer credited on one film in this filmography, with no Wikipedia article of his own. The Sippy name recurs in Hindi cinema — G. P. Sippy and Ramesh Sippy also hold credits here — but no source consulted connects them to him.</t>
        </is>
      </c>
      <c r="I343" s="5" t="n"/>
      <c r="J343" s="5" t="inlineStr">
        <is>
          <t>With Kapoor: Sargam (1979).</t>
        </is>
      </c>
      <c r="K343" s="19" t="inlineStr">
        <is>
          <t>Not documented.</t>
        </is>
      </c>
      <c r="L343" s="19" t="inlineStr">
        <is>
          <t>Not documented.</t>
        </is>
      </c>
      <c r="M343" s="5" t="n"/>
      <c r="N343" s="19" t="inlineStr">
        <is>
          <t>Not independently documented.</t>
        </is>
      </c>
      <c r="O343" s="19" t="inlineStr">
        <is>
          <t>One film, and a major one: Sargam (1979), K. Viswanath's Hindi remake of his own Telugu film, in which Kapoor courts Jaya Prada's mute heroine through the dholak. Its Laxmikant–Pyarelal soundtrack was among the biggest of the decade, and the film is one of the three or four on which Kapoor's image as a singing romantic hero rests.</t>
        </is>
      </c>
      <c r="P343" s="17" t="n">
        <v>1</v>
      </c>
      <c r="Q343" s="5" t="inlineStr">
        <is>
          <t>FILM-023</t>
        </is>
      </c>
      <c r="R343" s="5" t="inlineStr">
        <is>
          <t>Sargam (1979)</t>
        </is>
      </c>
      <c r="S343" s="5" t="inlineStr">
        <is>
          <t>N. N. Sippy produced Sargam (1979) and has no documented biography. The film is one of the most important in this filmography: directed by K. Viswanath, the most honoured Telugu filmmaker of his generation, as a Hindi version of his own earlier film, it cast Kapoor as a man in love with a woman who cannot speak and gave him a soundtrack — Laxmikant–Pyarelal's — that defined his singing-hero persona as firmly as Bobby had defined his romantic one. That its producer left no record is one more instance of the pattern this workbook keeps encountering: consequential films financed by people history did not keep.</t>
        </is>
      </c>
      <c r="T343" s="5" t="inlineStr">
        <is>
          <t>SOURCE-024</t>
        </is>
      </c>
      <c r="U343" s="5" t="inlineStr">
        <is>
          <t>Low</t>
        </is>
      </c>
    </row>
    <row r="344" ht="124" customHeight="1">
      <c r="A344" s="15" t="inlineStr">
        <is>
          <t>PERSON-343</t>
        </is>
      </c>
      <c r="B344" s="5" t="inlineStr">
        <is>
          <t>Nadiadwala Grandson Entertainment</t>
        </is>
      </c>
      <c r="C344" s="5" t="inlineStr">
        <is>
          <t>Production banner</t>
        </is>
      </c>
      <c r="D344" s="18" t="n"/>
      <c r="E344" s="18" t="n"/>
      <c r="F344" s="5" t="inlineStr">
        <is>
          <t>1992–present</t>
        </is>
      </c>
      <c r="G344" s="5" t="inlineStr">
        <is>
          <t>Hindi cinema</t>
        </is>
      </c>
      <c r="H344" s="5" t="inlineStr">
        <is>
          <t>Nadiadwala Grandson Entertainment Pvt Ltd is an Indian film production company based in Mumbai, established by Sajid Nadiadwala in 1992 and involved in motion pictures, radio, television and other entertainment activities.</t>
        </is>
      </c>
      <c r="I344" s="5" t="inlineStr">
        <is>
          <t>Established in 1992.</t>
        </is>
      </c>
      <c r="J344" s="5" t="inlineStr">
        <is>
          <t>With Kapoor: Housefull 2 (2012). Elsewhere, the Housefull series, Kick and Baaghi.</t>
        </is>
      </c>
      <c r="K344" s="19" t="inlineStr">
        <is>
          <t>Large-ensemble comedy and mass-market action franchises.</t>
        </is>
      </c>
      <c r="L344" s="19" t="inlineStr">
        <is>
          <t>A producer-led house specialising in franchise entertainment with very large casts.</t>
        </is>
      </c>
      <c r="M344" s="5" t="n"/>
      <c r="N344" s="19" t="inlineStr">
        <is>
          <t>One of the most commercially successful production companies in contemporary Hindi cinema.</t>
        </is>
      </c>
      <c r="O344" s="19" t="inlineStr">
        <is>
          <t>One credit, on Housefull 2 (2012), in which Kapoor and his elder brother Randhir Kapoor play feuding brothers in a cast of a dozen stars — one of the very few occasions the two appeared together on screen as adults. The Nadiadwala name recurs in this filmography through F. A. and I. A. Nadiadwala, producers on films from 1975 and 1989.</t>
        </is>
      </c>
      <c r="P344" s="17" t="n">
        <v>1</v>
      </c>
      <c r="Q344" s="5" t="inlineStr">
        <is>
          <t>FILM-138</t>
        </is>
      </c>
      <c r="R344" s="5" t="inlineStr">
        <is>
          <t>Housefull 2 (2012)</t>
        </is>
      </c>
      <c r="S344" s="5" t="inlineStr">
        <is>
          <t>Nadiadwala Grandson Entertainment produced Housefull 2, and the credit records a small family curiosity. Established by Sajid Nadiadwala in 1992, the company became one of the most commercially successful in Hindi cinema on the strength of franchise comedies and action films. Housefull 2 (2012) is a farce with a dozen stars, in which Rishi Kapoor and Randhir Kapoor play feuding brothers — a rare on-screen pairing of the two Kapoor brothers as adults, forty years after they had appeared together as children in Shree 420. The Nadiadwala name appears twice more in this workbook, on films from 1975 and 1989, through producers about whom nothing is recorded.</t>
        </is>
      </c>
      <c r="T344" s="5" t="inlineStr">
        <is>
          <t>SOURCE-334</t>
        </is>
      </c>
      <c r="U344" s="5" t="inlineStr">
        <is>
          <t>High</t>
        </is>
      </c>
    </row>
    <row r="345" ht="109" customHeight="1">
      <c r="A345" s="15" t="inlineStr">
        <is>
          <t>PERSON-344</t>
        </is>
      </c>
      <c r="B345" s="5" t="inlineStr">
        <is>
          <t>Nalini Shankar</t>
        </is>
      </c>
      <c r="C345" s="5" t="inlineStr">
        <is>
          <t>Producer</t>
        </is>
      </c>
      <c r="D345" s="18" t="n"/>
      <c r="E345" s="18" t="n"/>
      <c r="F345" s="5" t="n"/>
      <c r="G345" s="5" t="inlineStr">
        <is>
          <t>Hindi cinema</t>
        </is>
      </c>
      <c r="H345" s="5" t="inlineStr">
        <is>
          <t>A producer credited on one film in this filmography, with no Wikipedia article of her own.</t>
        </is>
      </c>
      <c r="I345" s="5" t="n"/>
      <c r="J345" s="5" t="inlineStr">
        <is>
          <t>With Kapoor: Sheshnaag (1990).</t>
        </is>
      </c>
      <c r="K345" s="19" t="inlineStr">
        <is>
          <t>The folk-mythological fantasy.</t>
        </is>
      </c>
      <c r="L345" s="19" t="inlineStr">
        <is>
          <t>Not documented.</t>
        </is>
      </c>
      <c r="M345" s="5" t="n"/>
      <c r="N345" s="19" t="inlineStr">
        <is>
          <t>Not independently documented.</t>
        </is>
      </c>
      <c r="O345" s="19" t="inlineStr">
        <is>
          <t>One film: Sheshnaag (1990), the snake-deity fantasy made in the wake of Nagina's success, with a Laxmikant–Pyarelal score and two director credits. She is one of three producers on it and one of the few women credited as a producer anywhere in this filmography.</t>
        </is>
      </c>
      <c r="P345" s="17" t="n">
        <v>1</v>
      </c>
      <c r="Q345" s="5" t="inlineStr">
        <is>
          <t>FILM-077</t>
        </is>
      </c>
      <c r="R345" s="5" t="inlineStr">
        <is>
          <t>Sheshnaag (1990)</t>
        </is>
      </c>
      <c r="S345" s="5" t="inlineStr">
        <is>
          <t>Nalini Shankar is one of three producers credited on Sheshnaag (1990) and has no documented biography. The film belongs to the folk-fantasy cycle that followed Nagina in 1986, in which Kapoor's romantic function was subordinated to curses and serpent deities; it carries two director credits that no source consulted here reconciles. Her row is worth noting in the aggregate: women are scarce among the 561 collaborators in this workbook, and those who appear are concentrated either in the late films or, as here, in single producer credits on pictures nobody wrote about. This row is built from the film's credits alone.</t>
        </is>
      </c>
      <c r="T345" s="5" t="inlineStr">
        <is>
          <t>SOURCE-074</t>
        </is>
      </c>
      <c r="U345" s="5" t="inlineStr">
        <is>
          <t>Low</t>
        </is>
      </c>
    </row>
    <row r="346" ht="79" customHeight="1">
      <c r="A346" s="15" t="inlineStr">
        <is>
          <t>PERSON-345</t>
        </is>
      </c>
      <c r="B346" s="5" t="inlineStr">
        <is>
          <t>Namrata Goyal</t>
        </is>
      </c>
      <c r="C346" s="5" t="inlineStr">
        <is>
          <t>Producer</t>
        </is>
      </c>
      <c r="D346" s="18" t="n"/>
      <c r="E346" s="18" t="n"/>
      <c r="F346" s="5" t="n"/>
      <c r="G346" s="5" t="inlineStr">
        <is>
          <t>Hindi cinema</t>
        </is>
      </c>
      <c r="H346" s="5" t="inlineStr">
        <is>
          <t>A producer credited on one film in this filmography, with no Wikipedia article of her own; the bare name resolves to an unrelated businessman, which is how an earlier pass of this research briefly attached the wrong article.</t>
        </is>
      </c>
      <c r="I346" s="5" t="n"/>
      <c r="J346" s="5" t="inlineStr">
        <is>
          <t>With Kapoor: Manto (2018).</t>
        </is>
      </c>
      <c r="K346" s="19" t="inlineStr">
        <is>
          <t>Not documented.</t>
        </is>
      </c>
      <c r="L346" s="19" t="inlineStr">
        <is>
          <t>Not documented.</t>
        </is>
      </c>
      <c r="M346" s="5" t="n"/>
      <c r="N346" s="19" t="inlineStr">
        <is>
          <t>Not independently documented.</t>
        </is>
      </c>
      <c r="O346" s="19" t="inlineStr">
        <is>
          <t>One film: Nandita Das's Manto (2018), the biographical film about the Urdu writer Saadat Hasan Manto, screened at Cannes in Un Certain Regard, in which Kapoor has a small role.</t>
        </is>
      </c>
      <c r="P346" s="17" t="n">
        <v>1</v>
      </c>
      <c r="Q346" s="5" t="inlineStr">
        <is>
          <t>FILM-156</t>
        </is>
      </c>
      <c r="R346" s="5" t="inlineStr">
        <is>
          <t>Manto (2018)</t>
        </is>
      </c>
      <c r="S346" s="5" t="inlineStr">
        <is>
          <t>Namrata Goyal is one of six producers credited on Manto (2018) and has no documented biography. The film follows the Urdu short-story writer Saadat Hasan Manto through obscenity trials in Bombay and his migration to Pakistan; Kapoor appears briefly. Its financing was spread across six producers and four companies, which is typical of festival-facing Indian cinema, and most of those names leave no trace — in this case the trace that does exist belongs to someone else entirely. This row is built from the film's credits alone.</t>
        </is>
      </c>
      <c r="T346" s="5" t="inlineStr">
        <is>
          <t>SOURCE-147</t>
        </is>
      </c>
      <c r="U346" s="5" t="inlineStr">
        <is>
          <t>Low</t>
        </is>
      </c>
    </row>
    <row r="347" ht="154" customHeight="1">
      <c r="A347" s="15" t="inlineStr">
        <is>
          <t>PERSON-346</t>
        </is>
      </c>
      <c r="B347" s="5" t="inlineStr">
        <is>
          <t>Nandita Das</t>
        </is>
      </c>
      <c r="C347" s="5" t="inlineStr">
        <is>
          <t>Director; Producer; Writer</t>
        </is>
      </c>
      <c r="D347" s="17" t="n">
        <v>1969</v>
      </c>
      <c r="E347" s="18" t="n"/>
      <c r="F347" s="5" t="inlineStr">
        <is>
          <t>1987–present</t>
        </is>
      </c>
      <c r="G347" s="5" t="inlineStr">
        <is>
          <t>Hindi cinema; Indian parallel cinema</t>
        </is>
      </c>
      <c r="H347" s="5" t="inlineStr">
        <is>
          <t>Nandita Das (born 7 November 1969) is an Indian actress and director who has acted in more than forty feature films in ten languages, including Fire (1996), Earth (1998), Bawandar (2000), Kannathil Muthamittal (2002) and Before the Rains (2007). Her directorial debut Firaaq (2008) premiered at the Toronto International Film Festival, and her second film as director, Manto (2018), was screened at the Cannes Film Festival in the Un Certain Regard section.</t>
        </is>
      </c>
      <c r="I347" s="5" t="inlineStr">
        <is>
          <t>Acting from 1987; directorial debut Firaaq (2008).</t>
        </is>
      </c>
      <c r="J347" s="5" t="inlineStr">
        <is>
          <t>With Kapoor: Manto (2018), which she wrote, produced and directed. Elsewhere, Fire and Earth as an actress and Firaaq as a director.</t>
        </is>
      </c>
      <c r="K347" s="19" t="inlineStr">
        <is>
          <t>Communal violence and its aftermath; the writer or artist under state and social pressure; women's autonomy.</t>
        </is>
      </c>
      <c r="L347" s="19" t="inlineStr">
        <is>
          <t>A director from the parallel-cinema tradition working in a restrained, research-driven register, often on politically difficult subjects.</t>
        </is>
      </c>
      <c r="M347" s="5" t="n"/>
      <c r="N347" s="19" t="inlineStr">
        <is>
          <t>One of the most internationally visible Indian actor-directors, associated with Deepa Mehta's elements trilogy and with her own films on communalism and censorship.</t>
        </is>
      </c>
      <c r="O347" s="19" t="inlineStr">
        <is>
          <t>One film: Manto (2018), in which Kapoor takes a small role in a biographical film about the Urdu writer Saadat Hasan Manto and his obscenity trials. For an actor whose career was built on commercial romance, a Cannes-screened literary biopic is as far from Bobby as this filmography reaches, and it came two years before his death.</t>
        </is>
      </c>
      <c r="P347" s="17" t="n">
        <v>1</v>
      </c>
      <c r="Q347" s="5" t="inlineStr">
        <is>
          <t>FILM-156</t>
        </is>
      </c>
      <c r="R347" s="5" t="inlineStr">
        <is>
          <t>Manto (2018)</t>
        </is>
      </c>
      <c r="S347" s="5" t="inlineStr">
        <is>
          <t>Nandita Das directed the most unlikely film in this filmography. An actress of more than forty features in ten languages — Fire, Earth, Bawandar — she turned director with Firaaq, about the aftermath of the 2002 Gujarat violence, and then made Manto (2018), a biographical film about the Urdu short-story writer who was tried for obscenity in both India and Pakistan. It screened at Cannes in Un Certain Regard. Rishi Kapoor appears briefly in it. Nothing in his fifty years of commercial cinema prepares for the credit, and that is its interest: in his last years his name could be attached to a festival film about literary censorship, and he took the part.</t>
        </is>
      </c>
      <c r="T347" s="5" t="inlineStr">
        <is>
          <t>SOURCE-335</t>
        </is>
      </c>
      <c r="U347" s="5" t="inlineStr">
        <is>
          <t>High</t>
        </is>
      </c>
    </row>
    <row r="348" ht="94" customHeight="1">
      <c r="A348" s="15" t="inlineStr">
        <is>
          <t>PERSON-347</t>
        </is>
      </c>
      <c r="B348" s="5" t="inlineStr">
        <is>
          <t>Nandita Das Initiatives LLP</t>
        </is>
      </c>
      <c r="C348" s="5" t="inlineStr">
        <is>
          <t>Production banner</t>
        </is>
      </c>
      <c r="D348" s="18" t="n"/>
      <c r="E348" s="18" t="n"/>
      <c r="F348" s="5" t="n"/>
      <c r="G348" s="5" t="inlineStr">
        <is>
          <t>Hindi cinema</t>
        </is>
      </c>
      <c r="H348" s="5" t="inlineStr">
        <is>
          <t>The production vehicle of the director Nandita Das, credited on Manto (2018). It has no Wikipedia article of its own; her article is cited on her row in this sheet.</t>
        </is>
      </c>
      <c r="I348" s="5" t="n"/>
      <c r="J348" s="5" t="inlineStr">
        <is>
          <t>With Kapoor: Manto (2018).</t>
        </is>
      </c>
      <c r="K348" s="19" t="inlineStr">
        <is>
          <t>Politically engaged independent cinema.</t>
        </is>
      </c>
      <c r="L348" s="19" t="inlineStr">
        <is>
          <t>A director's own company, used to make her films.</t>
        </is>
      </c>
      <c r="M348" s="5" t="n"/>
      <c r="N348" s="19" t="inlineStr">
        <is>
          <t>Not independently documented.</t>
        </is>
      </c>
      <c r="O348" s="19" t="inlineStr">
        <is>
          <t>One credit, on Manto (2018), the Cannes-screened biographical film about the Urdu writer Saadat Hasan Manto in which Kapoor has a small role — the furthest this filmography reaches from the commercial romance that made him.</t>
        </is>
      </c>
      <c r="P348" s="17" t="n">
        <v>1</v>
      </c>
      <c r="Q348" s="5" t="inlineStr">
        <is>
          <t>FILM-156</t>
        </is>
      </c>
      <c r="R348" s="5" t="inlineStr">
        <is>
          <t>Manto (2018)</t>
        </is>
      </c>
      <c r="S348" s="5" t="inlineStr">
        <is>
          <t>Nandita Das Initiatives is the company through which Nandita Das made Manto (2018), and it has no separate documentation. The film, which she wrote, produced and directed, follows Saadat Hasan Manto through the obscenity trials that pursued him in Bombay and Lahore, and was screened at Cannes in Un Certain Regard; Kapoor appears briefly. Four companies and six producers share the credits, an arrangement typical of Indian films made for festivals rather than for the domestic box office. This row is built from the film's credits alone.</t>
        </is>
      </c>
      <c r="T348" s="5" t="inlineStr">
        <is>
          <t>SOURCE-147</t>
        </is>
      </c>
      <c r="U348" s="5" t="inlineStr">
        <is>
          <t>Low</t>
        </is>
      </c>
    </row>
    <row r="349" ht="169" customHeight="1">
      <c r="A349" s="15" t="inlineStr">
        <is>
          <t>PERSON-348</t>
        </is>
      </c>
      <c r="B349" s="5" t="inlineStr">
        <is>
          <t>Narender Bedi</t>
        </is>
      </c>
      <c r="C349" s="5" t="inlineStr">
        <is>
          <t>Director</t>
        </is>
      </c>
      <c r="D349" s="17" t="n">
        <v>1937</v>
      </c>
      <c r="E349" s="17" t="n">
        <v>1982</v>
      </c>
      <c r="F349" s="5" t="inlineStr">
        <is>
          <t>1965–1982</t>
        </is>
      </c>
      <c r="G349" s="5" t="inlineStr">
        <is>
          <t>Hindi cinema</t>
        </is>
      </c>
      <c r="H349" s="5" t="inlineStr">
        <is>
          <t>Narendra Bedi (1 January 1937 – 21 October 1982) was a Hindi film director and the son of the Urdu writer Rajinder Singh Bedi. He is best known for Jawani Diwani (1972), starring Randhir Kapoor and Jaya Bhaduri, for several Rajesh Khanna films, and for the Amitabh Bachchan pictures Benaam (1974) and Adalat (1977).</t>
        </is>
      </c>
      <c r="I349" s="5" t="inlineStr">
        <is>
          <t>Directing from 1965; his breakthrough was Jawani Diwani (1972).</t>
        </is>
      </c>
      <c r="J349" s="5" t="inlineStr">
        <is>
          <t>With Kapoor: Rafoo Chakkar (1975). Elsewhere, Jawani Diwani, Benaam and Adalat.</t>
        </is>
      </c>
      <c r="K349" s="19" t="inlineStr">
        <is>
          <t>Youth comedy and the urban thriller; the star vehicle built on energy rather than melodrama.</t>
        </is>
      </c>
      <c r="L349" s="19" t="inlineStr">
        <is>
          <t>A brisk commercial director with a feel for young audiences, working across comedy and crime.</t>
        </is>
      </c>
      <c r="M349" s="5" t="n"/>
      <c r="N349" s="19" t="inlineStr">
        <is>
          <t>A significant director of 1970s Hindi cinema, cut short by his death at forty-five.</t>
        </is>
      </c>
      <c r="O349" s="19" t="inlineStr">
        <is>
          <t>One film: Rafoo Chakkar (1975), the Hindi reworking of Some Like It Hot in which Kapoor and Paintal hide from gangsters in women's clothes — one of the earliest demonstrations that his range included broad farce. The family connection runs further: Bedi's father, Rajinder Singh Bedi, wrote the novel adapted as Ek Chadar Maili Si, in which Kapoor starred in 1986, and he had earlier directed Kapoor's brother Randhir in Jawani Diwani.</t>
        </is>
      </c>
      <c r="P349" s="17" t="n">
        <v>1</v>
      </c>
      <c r="Q349" s="5" t="inlineStr">
        <is>
          <t>FILM-007</t>
        </is>
      </c>
      <c r="R349" s="5" t="inlineStr">
        <is>
          <t>Rafoo Chakkar (1975)</t>
        </is>
      </c>
      <c r="S349" s="5" t="inlineStr">
        <is>
          <t>Narender Bedi directed the film that showed Rishi Kapoor could play farce, and his family appears twice more in this workbook. The son of Rajinder Singh Bedi — the Urdu novelist whose Ek Chadar Maili Si would be filmed with Kapoor in 1986 — Bedi made his name with Jawani Diwani in 1972, which starred Kapoor's elder brother Randhir, and went on to direct Rajesh Khanna and Amitabh Bachchan. Rafoo Chakkar (1975), his film with Rishi Kapoor, transplants Some Like It Hot to Bombay, with the star spending much of it in women's clothing two years after Bobby. Bedi died in 1982 at forty-five.</t>
        </is>
      </c>
      <c r="T349" s="5" t="inlineStr">
        <is>
          <t>SOURCE-336</t>
        </is>
      </c>
      <c r="U349" s="5" t="inlineStr">
        <is>
          <t>High</t>
        </is>
      </c>
    </row>
    <row r="350" ht="124" customHeight="1">
      <c r="A350" s="15" t="inlineStr">
        <is>
          <t>PERSON-349</t>
        </is>
      </c>
      <c r="B350" s="5" t="inlineStr">
        <is>
          <t>Nasir Hussain Films</t>
        </is>
      </c>
      <c r="C350" s="5" t="inlineStr">
        <is>
          <t>Production banner</t>
        </is>
      </c>
      <c r="D350" s="18" t="n"/>
      <c r="E350" s="18" t="n"/>
      <c r="F350" s="5" t="n"/>
      <c r="G350" s="5" t="inlineStr">
        <is>
          <t>Hindi cinema</t>
        </is>
      </c>
      <c r="H350" s="5" t="inlineStr">
        <is>
          <t>The production banner of the writer-director-producer Nasir Hussain, credited on Hum Kisise Kum Naheen. It has no Wikipedia article of its own; Hussain's article is cited on his row in this sheet, where his career and influence are set out.</t>
        </is>
      </c>
      <c r="I350" s="5" t="n"/>
      <c r="J350" s="5" t="inlineStr">
        <is>
          <t>With Kapoor: Hum Kisise Kum Naheen (1977).</t>
        </is>
      </c>
      <c r="K350" s="19" t="inlineStr">
        <is>
          <t>The musical of disguise and rivalry; youth, performance and courtship through song.</t>
        </is>
      </c>
      <c r="L350" s="19" t="inlineStr">
        <is>
          <t>A family banner built to make Hussain's own musicals, with R. D. Burman scoring and new performers introduced by the films themselves.</t>
        </is>
      </c>
      <c r="M350" s="5" t="n"/>
      <c r="N350" s="19" t="inlineStr">
        <is>
          <t>The company behind several of the films credited with establishing both the 1970s masala musical and, later, the 1990s romance template.</t>
        </is>
      </c>
      <c r="O350" s="19" t="inlineStr">
        <is>
          <t>One credit, on Hum Kisise Kum Naheen (1977), the purest expression of Kapoor's youth persona: a musical of masquerade and competition with an R. D. Burman soundtrack in which the hero sings his way through the plot. It is among the three or four films that fixed his image as the singing romantic lead.</t>
        </is>
      </c>
      <c r="P350" s="17" t="n">
        <v>1</v>
      </c>
      <c r="Q350" s="5" t="inlineStr">
        <is>
          <t>FILM-015</t>
        </is>
      </c>
      <c r="R350" s="5" t="inlineStr">
        <is>
          <t>Hum Kisise Kum Naheen (1977)</t>
        </is>
      </c>
      <c r="S350" s="5" t="inlineStr">
        <is>
          <t>Nasir Hussain Films produced Hum Kisise Kum Naheen, one of the defining films of Rishi Kapoor's youth. The banner belonged to Nasir Hussain, the filmmaker credited with creating the masala form with Yaadon Ki Baraat and, a decade later, the 1990s romance template with Qayamat Se Qayamat Tak. The 1977 film is a musical of disguise and rivalry carried by an R. D. Burman score, in which Kapoor sings, flirts and competes rather than suffers — the register his early stardom rests on. The company has no documentation of its own; what is known comes through Hussain's article, cited on his row rather than duplicated here.</t>
        </is>
      </c>
      <c r="T350" s="5" t="inlineStr">
        <is>
          <t>SOURCE-016</t>
        </is>
      </c>
      <c r="U350" s="5" t="inlineStr">
        <is>
          <t>Low</t>
        </is>
      </c>
    </row>
    <row r="351" ht="94" customHeight="1">
      <c r="A351" s="15" t="inlineStr">
        <is>
          <t>PERSON-350</t>
        </is>
      </c>
      <c r="B351" s="5" t="inlineStr">
        <is>
          <t>Neetu Verma</t>
        </is>
      </c>
      <c r="C351" s="5" t="inlineStr">
        <is>
          <t>Writer</t>
        </is>
      </c>
      <c r="D351" s="18" t="n"/>
      <c r="E351" s="18" t="n"/>
      <c r="F351" s="5" t="n"/>
      <c r="G351" s="5" t="inlineStr">
        <is>
          <t>Hindi cinema</t>
        </is>
      </c>
      <c r="H351" s="5" t="inlineStr">
        <is>
          <t>A writer credited on one film in this filmography, with no Wikipedia article of her own.</t>
        </is>
      </c>
      <c r="I351" s="5" t="n"/>
      <c r="J351" s="5" t="inlineStr">
        <is>
          <t>With Kapoor: Chalk N Duster (2016).</t>
        </is>
      </c>
      <c r="K351" s="19" t="inlineStr">
        <is>
          <t>The institutional drama; teachers and schools.</t>
        </is>
      </c>
      <c r="L351" s="19" t="inlineStr">
        <is>
          <t>Not documented.</t>
        </is>
      </c>
      <c r="M351" s="5" t="n"/>
      <c r="N351" s="19" t="inlineStr">
        <is>
          <t>Not independently documented.</t>
        </is>
      </c>
      <c r="O351" s="19" t="inlineStr">
        <is>
          <t>One film: Chalk N Duster (2016), a drama about schoolteachers resisting a commercialising management, with an ensemble including Shabana Azmi and Juhi Chawla and Kapoor in support — one of the small, socially minded films of his last years.</t>
        </is>
      </c>
      <c r="P351" s="17" t="n">
        <v>1</v>
      </c>
      <c r="Q351" s="5" t="inlineStr">
        <is>
          <t>FILM-150</t>
        </is>
      </c>
      <c r="R351" s="5" t="inlineStr">
        <is>
          <t>Chalk N Duster (2016)</t>
        </is>
      </c>
      <c r="S351" s="5" t="inlineStr">
        <is>
          <t>Neetu Verma is credited as a writer on Chalk N Duster (2016) and has no documented biography. The film is a modest drama about two teachers and the pressures of commercialised schooling, cast with veterans and with Kapoor in a supporting part. She is one of the women credited as writers in this workbook — a small group, concentrated almost entirely in the final fifteen years of the filmography, which is itself a finding worth recording about the industry Kapoor worked in. This row is built from the film's credits alone.</t>
        </is>
      </c>
      <c r="T351" s="5" t="inlineStr">
        <is>
          <t>SOURCE-142</t>
        </is>
      </c>
      <c r="U351" s="5" t="inlineStr">
        <is>
          <t>Low</t>
        </is>
      </c>
    </row>
    <row r="352" ht="94" customHeight="1">
      <c r="A352" s="15" t="inlineStr">
        <is>
          <t>PERSON-351</t>
        </is>
      </c>
      <c r="B352" s="5" t="inlineStr">
        <is>
          <t>Neha Arts</t>
        </is>
      </c>
      <c r="C352" s="5" t="inlineStr">
        <is>
          <t>Production banner</t>
        </is>
      </c>
      <c r="D352" s="18" t="n"/>
      <c r="E352" s="18" t="n"/>
      <c r="F352" s="5" t="n"/>
      <c r="G352" s="5" t="inlineStr">
        <is>
          <t>Hindi cinema</t>
        </is>
      </c>
      <c r="H352" s="5" t="inlineStr">
        <is>
          <t>A production banner credited on one film in this filmography, with no Wikipedia article of its own. It is the banner associated with the producer Nitin Manmohan, who has a separate row in this sheet.</t>
        </is>
      </c>
      <c r="I352" s="5" t="n"/>
      <c r="J352" s="5" t="inlineStr">
        <is>
          <t>With Kapoor: Bol Radha Bol (1992).</t>
        </is>
      </c>
      <c r="K352" s="19" t="inlineStr">
        <is>
          <t>The David Dhawan comedy vehicle.</t>
        </is>
      </c>
      <c r="L352" s="19" t="inlineStr">
        <is>
          <t>Not documented.</t>
        </is>
      </c>
      <c r="M352" s="5" t="n"/>
      <c r="N352" s="19" t="inlineStr">
        <is>
          <t>Not independently documented.</t>
        </is>
      </c>
      <c r="O352" s="19" t="inlineStr">
        <is>
          <t>One credit, on Bol Radha Bol (1992), David Dhawan's double-role farce in which Kapoor plays both a businessman and his criminal lookalike opposite a doubled Juhi Chawla. Released months after Deewana, it was among the last hits he carried alone.</t>
        </is>
      </c>
      <c r="P352" s="17" t="n">
        <v>1</v>
      </c>
      <c r="Q352" s="5" t="inlineStr">
        <is>
          <t>FILM-089</t>
        </is>
      </c>
      <c r="R352" s="5" t="inlineStr">
        <is>
          <t>Bol Radha Bol (1992)</t>
        </is>
      </c>
      <c r="S352" s="5" t="inlineStr">
        <is>
          <t>Neha Arts is the banner on Bol Radha Bol (1992), the last outright hit Rishi Kapoor carried by himself. The company has no recorded history; it belongs to the producer Nitin Manmohan, who made two Dhawan comedies with Kapoor. The film is a double-role farce — Kapoor as a businessman and as the lookalike criminal who takes his place, Juhi Chawla doubled as well — and it came out in the same year as Deewana, where the romantic lead passed to Shah Rukh Khan. The two films together make 1992 the decisive year in this filmography. This row is built from the film's credits alone.</t>
        </is>
      </c>
      <c r="T352" s="5" t="inlineStr">
        <is>
          <t>SOURCE-082</t>
        </is>
      </c>
      <c r="U352" s="5" t="inlineStr">
        <is>
          <t>Low</t>
        </is>
      </c>
    </row>
    <row r="353" ht="109" customHeight="1">
      <c r="A353" s="15" t="inlineStr">
        <is>
          <t>PERSON-352</t>
        </is>
      </c>
      <c r="B353" s="5" t="inlineStr">
        <is>
          <t>Nikhil–Vinay</t>
        </is>
      </c>
      <c r="C353" s="5" t="inlineStr">
        <is>
          <t>Song composer</t>
        </is>
      </c>
      <c r="D353" s="18" t="n"/>
      <c r="E353" s="18" t="n"/>
      <c r="F353" s="5" t="inlineStr">
        <is>
          <t>1991–2006</t>
        </is>
      </c>
      <c r="G353" s="5" t="inlineStr">
        <is>
          <t>Hindi cinema</t>
        </is>
      </c>
      <c r="H353" s="5" t="inlineStr">
        <is>
          <t>Nikhil–Vinay were an Indian composing duo consisting of Nikhil Kamath and Vinay Tiwari, both trained in classical music, active in Hindi cinema from 1991 until their split in 2006. According to their article, the singer Anuradha Paudwal discovered them and recommended them to Gulshan Kumar of T-Series.</t>
        </is>
      </c>
      <c r="I353" s="5" t="inlineStr">
        <is>
          <t>Composing from 1991, under the patronage of T-Series.</t>
        </is>
      </c>
      <c r="J353" s="5" t="inlineStr">
        <is>
          <t>With Kapoor: Love Ke Chakkar Mein (2006). Elsewhere, a long run of 1990s T-Series soundtracks.</t>
        </is>
      </c>
      <c r="K353" s="19" t="inlineStr">
        <is>
          <t>Melodic romance in the T-Series idiom of the 1990s.</t>
        </is>
      </c>
      <c r="L353" s="19" t="inlineStr">
        <is>
          <t>Classically trained melodists working for the music-company production model that dominated 1990s Hindi film song.</t>
        </is>
      </c>
      <c r="M353" s="5" t="n"/>
      <c r="N353" s="19" t="inlineStr">
        <is>
          <t>Representative of the composers T-Series built its catalogue on in the 1990s.</t>
        </is>
      </c>
      <c r="O353" s="19" t="inlineStr">
        <is>
          <t>One film: Love Ke Chakkar Mein (2006), the last year of the duo's partnership, in which Kapoor is top-billed but effectively the antagonist. The credit on that film also appeared in a mangled form as a stray 'Nikhil' alongside the duo's name, which this workbook has consolidated.</t>
        </is>
      </c>
      <c r="P353" s="17" t="n">
        <v>1</v>
      </c>
      <c r="Q353" s="5" t="inlineStr">
        <is>
          <t>FILM-121</t>
        </is>
      </c>
      <c r="R353" s="5" t="inlineStr">
        <is>
          <t>Love Ke Chakkar Mein (2006)</t>
        </is>
      </c>
      <c r="S353" s="5" t="inlineStr">
        <is>
          <t>Nikhil–Vinay scored one Rishi Kapoor film, in the final year of their partnership. Nikhil Kamath and Vinay Tiwari were classically trained musicians brought into films by Anuradha Paudwal's recommendation to Gulshan Kumar of T-Series, and they spent the 1990s supplying melodic romance to that company's catalogue — the music-industry production model that dominated the decade. Love Ke Chakkar Mein (2006) is a late and unflattering credit for both parties: Kapoor top-billed as a man who buys his way into a young couple's marriage, the duo splitting up the same year. The film's composer credits reached this workbook partly garbled and had to be reconciled.</t>
        </is>
      </c>
      <c r="T353" s="5" t="inlineStr">
        <is>
          <t>SOURCE-337</t>
        </is>
      </c>
      <c r="U353" s="5" t="inlineStr">
        <is>
          <t>Medium</t>
        </is>
      </c>
    </row>
    <row r="354" ht="124" customHeight="1">
      <c r="A354" s="15" t="inlineStr">
        <is>
          <t>PERSON-353</t>
        </is>
      </c>
      <c r="B354" s="5" t="inlineStr">
        <is>
          <t>Niranjan Iyengar</t>
        </is>
      </c>
      <c r="C354" s="5" t="inlineStr">
        <is>
          <t>Writer</t>
        </is>
      </c>
      <c r="D354" s="18" t="n"/>
      <c r="E354" s="18" t="n"/>
      <c r="F354" s="5" t="n"/>
      <c r="G354" s="5" t="inlineStr">
        <is>
          <t>Hindi cinema; Indian television</t>
        </is>
      </c>
      <c r="H354" s="5" t="inlineStr">
        <is>
          <t>Niranjan Iyengar, born in Dombivali, Maharashtra, is an Indian screenwriter and lyricist particularly known for his work with the director Karan Johar. He wrote the book The Making of Kabhi Khushi Kabhie Gham and has hosted the talk show Look Who's Talking with Niranjan on Zee Café. He was nominated for the Filmfare Award for Best Lyricist for 'Sajda'.</t>
        </is>
      </c>
      <c r="I354" s="5" t="inlineStr">
        <is>
          <t>Writing for Hindi films from the early 2000s, within Dharma Productions.</t>
        </is>
      </c>
      <c r="J354" s="5" t="inlineStr">
        <is>
          <t>With Kapoor: Student of the Year (2012). Elsewhere, Kabhi Alvida Naa Kehna, My Name Is Khan and Agneepath as writer or dialogue writer.</t>
        </is>
      </c>
      <c r="K354" s="19" t="inlineStr">
        <is>
          <t>Family, friendship and desire inside the Dharma house style; dialogue as emotional set piece.</t>
        </is>
      </c>
      <c r="L354" s="19" t="inlineStr">
        <is>
          <t>A dialogue specialist formed in Karan Johar's filmmaking, with a parallel career in television presenting.</t>
        </is>
      </c>
      <c r="M354" s="5" t="inlineStr">
        <is>
          <t>Filmfare nomination for Best Lyricist for 'Sajda'.</t>
        </is>
      </c>
      <c r="N354" s="19" t="inlineStr">
        <is>
          <t>One of the principal writers of Dharma Productions' output in the 2000s and 2010s.</t>
        </is>
      </c>
      <c r="O354" s="19" t="inlineStr">
        <is>
          <t>One film: Student of the Year (2012), Karan Johar's youth ensemble in which Kapoor plays the dean of a fantasy college and which launched three debutant actors. The casting of a veteran beside newcomers is the structural point: his presence supplied the credibility the cast lacked.</t>
        </is>
      </c>
      <c r="P354" s="17" t="n">
        <v>2</v>
      </c>
      <c r="Q354" s="5" t="inlineStr">
        <is>
          <t>FILM-139; FILM-143</t>
        </is>
      </c>
      <c r="R354" s="5" t="inlineStr">
        <is>
          <t>Student of the Year (2012)</t>
        </is>
      </c>
      <c r="S354" s="5" t="inlineStr">
        <is>
          <t>Niranjan Iyengar wrote Student of the Year, one of three Dharma Productions films that remade Rishi Kapoor's late career. A screenwriter and lyricist formed inside Karan Johar's filmmaking — Kabhi Alvida Naa Kehna, My Name Is Khan — and the author of a book about the making of Kabhi Khushi Kabhie Gham, Iyengar also presents television. Student of the Year (2012) cast three debutants, Sidharth Malhotra, Alia Bhatt and Varun Dhawan, and needed a familiar older presence to anchor them; Kapoor played the dean. In the same year the same company's Agneepath gave him Rauf Lala. Between them, those two films established the two registers — comic elder and genuine villain — that his last decade would alternate.</t>
        </is>
      </c>
      <c r="T354" s="5" t="inlineStr">
        <is>
          <t>SOURCE-338</t>
        </is>
      </c>
      <c r="U354" s="5" t="inlineStr">
        <is>
          <t>Medium</t>
        </is>
      </c>
    </row>
    <row r="355" ht="94" customHeight="1">
      <c r="A355" s="15" t="inlineStr">
        <is>
          <t>PERSON-354</t>
        </is>
      </c>
      <c r="B355" s="5" t="inlineStr">
        <is>
          <t>Niren Bhatt</t>
        </is>
      </c>
      <c r="C355" s="5" t="inlineStr">
        <is>
          <t>Writer</t>
        </is>
      </c>
      <c r="D355" s="18" t="n"/>
      <c r="E355" s="18" t="n"/>
      <c r="F355" s="5" t="inlineStr">
        <is>
          <t>2008–present</t>
        </is>
      </c>
      <c r="G355" s="5" t="inlineStr">
        <is>
          <t>Hindi cinema; Gujarati cinema</t>
        </is>
      </c>
      <c r="H355" s="5" t="inlineStr">
        <is>
          <t>Niren Bhatt is an Indian screenwriter and lyricist working predominantly in Hindi films. He has written the films of the Maddock horror-comedy universe, most notably Stree 2 (2024), which became one of the highest-grossing Hindi films of all time.</t>
        </is>
      </c>
      <c r="I355" s="5" t="inlineStr">
        <is>
          <t>Writing from 2008, initially in television and Gujarati cinema.</t>
        </is>
      </c>
      <c r="J355" s="5" t="inlineStr">
        <is>
          <t>With Kapoor: All Is Well (2015). Elsewhere, Bala, Stree 2 and the Maddock horror-comedy films.</t>
        </is>
      </c>
      <c r="K355" s="19" t="inlineStr">
        <is>
          <t>Comedy built on small-town social anxiety; genre reworked for a mass audience.</t>
        </is>
      </c>
      <c r="L355" s="19" t="inlineStr">
        <is>
          <t>A comedy writer with a strong ear for regional idiom, working across Gujarati and Hindi.</t>
        </is>
      </c>
      <c r="M355" s="5" t="n"/>
      <c r="N355" s="19" t="inlineStr">
        <is>
          <t>One of the most commercially successful screenwriters of 2020s Hindi cinema.</t>
        </is>
      </c>
      <c r="O355" s="19" t="inlineStr">
        <is>
          <t>One film: Umesh Shukla's All Is Well (2015), a family road comedy in which Kapoor plays the father opposite Supriya Pathak, with Abhishek Bachchan as their estranged son. The film failed; Shukla would use Kapoor far better three years later in 102 Not Out.</t>
        </is>
      </c>
      <c r="P355" s="17" t="n">
        <v>1</v>
      </c>
      <c r="Q355" s="5" t="inlineStr">
        <is>
          <t>FILM-148</t>
        </is>
      </c>
      <c r="R355" s="5" t="inlineStr">
        <is>
          <t>All Is Well (2015)</t>
        </is>
      </c>
      <c r="S355" s="5" t="inlineStr">
        <is>
          <t>Niren Bhatt wrote All Is Well (2015), one of the weaker late Rishi Kapoor films, before becoming one of the most commercially successful screenwriters in Hindi cinema. His later work — Bala, and the Maddock horror-comedies culminating in Stree 2, among the highest-grossing Hindi films ever made — came after this credit. All Is Well is a road comedy about an estranged family, directed by Umesh Shukla between Oh My God and 102 Not Out, with Kapoor as the father and Abhishek Bachchan as the son; it was a critical and commercial failure. Shukla's next use of Kapoor, in 102 Not Out, gave him his last leading role.</t>
        </is>
      </c>
      <c r="T355" s="5" t="inlineStr">
        <is>
          <t>SOURCE-339</t>
        </is>
      </c>
      <c r="U355" s="5" t="inlineStr">
        <is>
          <t>Medium</t>
        </is>
      </c>
    </row>
    <row r="356" ht="124" customHeight="1">
      <c r="A356" s="15" t="inlineStr">
        <is>
          <t>PERSON-355</t>
        </is>
      </c>
      <c r="B356" s="5" t="inlineStr">
        <is>
          <t>Nishi Kohli</t>
        </is>
      </c>
      <c r="C356" s="5" t="inlineStr">
        <is>
          <t>Producer</t>
        </is>
      </c>
      <c r="D356" s="17" t="n">
        <v>1935</v>
      </c>
      <c r="E356" s="18" t="n"/>
      <c r="F356" s="5" t="n"/>
      <c r="G356" s="5" t="inlineStr">
        <is>
          <t>Hindi cinema; Punjabi cinema</t>
        </is>
      </c>
      <c r="H356" s="5" t="inlineStr">
        <is>
          <t>Nishi Kohli, born Krishna Kumari Sharma on 1 January 1935 in Sialkot and known professionally as Nishi, is an Indian former actress who worked in Punjabi and Hindi films between 1955 and 1970, frequently opposite Dara Singh. She is known for Railway Platform, Pind di Kudi and Bhangra (1959). She is married to the director Rajkumar Kohli; their sons are Armaan Kohli and Gogi Kohli.</t>
        </is>
      </c>
      <c r="I356" s="5" t="inlineStr">
        <is>
          <t>Acting from 1955; later a producer on her husband's films.</t>
        </is>
      </c>
      <c r="J356" s="5" t="inlineStr">
        <is>
          <t>With Kapoor: Naukar Biwi Ka (1983). Elsewhere, her own acting career in Punjabi and Hindi cinema.</t>
        </is>
      </c>
      <c r="K356" s="19" t="inlineStr">
        <is>
          <t>Family production within a director's household.</t>
        </is>
      </c>
      <c r="L356" s="19" t="inlineStr">
        <is>
          <t>An actress of the 1950s and 1960s who moved into production alongside her husband.</t>
        </is>
      </c>
      <c r="M356" s="5" t="n"/>
      <c r="N356" s="19" t="inlineStr">
        <is>
          <t>A leading actress of Punjabi cinema in her era, and part of the Kohli filmmaking family.</t>
        </is>
      </c>
      <c r="O356" s="19" t="inlineStr">
        <is>
          <t>One film: Naukar Biwi Ka (1983), which her husband Rajkumar Kohli directed and she produced — a household enterprise in the pattern that recurs through this filmography. Kapoor leads a comedy about a husband reduced to his wife's servant, with a Bappi Lahiri score.</t>
        </is>
      </c>
      <c r="P356" s="17" t="n">
        <v>1</v>
      </c>
      <c r="Q356" s="5" t="inlineStr">
        <is>
          <t>FILM-039</t>
        </is>
      </c>
      <c r="R356" s="5" t="inlineStr">
        <is>
          <t>Naukar Biwi Ka (1983)</t>
        </is>
      </c>
      <c r="S356" s="5" t="inlineStr">
        <is>
          <t>Nishi Kohli produced Naukar Biwi Ka (1983) for her husband to direct, and her own career came earlier. Born Krishna Kumari Sharma in Sialkot in 1935, she acted in Punjabi and Hindi films from 1955 to 1970, often opposite Dara Singh, and was known in Punjabi cinema for Bhangra and Pind di Kudi before marrying the director Rajkumar Kohli. Their film with Kapoor is a comedy in which a husband is reduced to serving his own wife, scored by Bappi Lahiri. Husband-and-wife credits on the same picture recur across this workbook — the Desais, the Bohras, the Advanis, the Yadavs — and are one of its clearest findings about how the industry was organised.</t>
        </is>
      </c>
      <c r="T356" s="5" t="inlineStr">
        <is>
          <t>SOURCE-340</t>
        </is>
      </c>
      <c r="U356" s="5" t="inlineStr">
        <is>
          <t>High</t>
        </is>
      </c>
    </row>
    <row r="357" ht="109" customHeight="1">
      <c r="A357" s="15" t="inlineStr">
        <is>
          <t>PERSON-356</t>
        </is>
      </c>
      <c r="B357" s="5" t="inlineStr">
        <is>
          <t>Nucleya</t>
        </is>
      </c>
      <c r="C357" s="5" t="inlineStr">
        <is>
          <t>Song composer</t>
        </is>
      </c>
      <c r="D357" s="18" t="n"/>
      <c r="E357" s="18" t="n"/>
      <c r="F357" s="5" t="inlineStr">
        <is>
          <t>1998–present</t>
        </is>
      </c>
      <c r="G357" s="5" t="inlineStr">
        <is>
          <t>Indian electronic music; Hindi cinema</t>
        </is>
      </c>
      <c r="H357" s="5" t="inlineStr">
        <is>
          <t>Udyan Sagar, known by the stage name Nucleya, is an Indian electronic music producer and DJ, born in Agra and based in Ahmedabad, working since 1998.</t>
        </is>
      </c>
      <c r="I357" s="5" t="inlineStr">
        <is>
          <t>Producing electronic music from 1998; prominent as a solo artist from the 2010s.</t>
        </is>
      </c>
      <c r="J357" s="5" t="inlineStr">
        <is>
          <t>With Kapoor: Kapoor &amp; Sons (2016). Elsewhere, his bass-music albums and festival work.</t>
        </is>
      </c>
      <c r="K357" s="19" t="inlineStr">
        <is>
          <t>Indian bass music — electronic production built on regional samples and folk vocals.</t>
        </is>
      </c>
      <c r="L357" s="19" t="inlineStr">
        <is>
          <t>A producer and DJ from outside the film industry whose work reaches cinema through single-song commissions.</t>
        </is>
      </c>
      <c r="M357" s="5" t="n"/>
      <c r="N357" s="19" t="inlineStr">
        <is>
          <t>One of the most prominent figures in Indian electronic dance music.</t>
        </is>
      </c>
      <c r="O357" s="19" t="inlineStr">
        <is>
          <t>One film: Kapoor &amp; Sons (2016), where he is one of six credited song composers alongside Amaal Mallik, Badshah, Arko, Tanishk Bagchi and Benny Dayal. Kapoor plays the ninety-year-old grandfather in it, under prosthetics, and won the Filmfare Award for Best Supporting Actor.</t>
        </is>
      </c>
      <c r="P357" s="17" t="n">
        <v>1</v>
      </c>
      <c r="Q357" s="5" t="inlineStr">
        <is>
          <t>FILM-152</t>
        </is>
      </c>
      <c r="R357" s="5" t="inlineStr">
        <is>
          <t>Kapoor &amp; Sons (2016)</t>
        </is>
      </c>
      <c r="S357" s="5" t="inlineStr">
        <is>
          <t>Nucleya contributed to the soundtrack of Kapoor &amp; Sons (2016), and the credit measures the distance this filmography covers. An electronic producer and DJ working since 1998, Udyan Sagar built a following in Indian bass music entirely outside cinema before films began commissioning individual tracks from him; on Kapoor &amp; Sons he is one of six composers credited under 'Songs'. The film gave Rishi Kapoor his Filmfare Award for Best Supporting Actor as a mischievous nonagenarian. Forty-three years earlier, Bobby's entire soundtrack had come from one composing duo. The same actor's last significant hit was scored by a committee that included a DJ.</t>
        </is>
      </c>
      <c r="T357" s="5" t="inlineStr">
        <is>
          <t>SOURCE-341</t>
        </is>
      </c>
      <c r="U357" s="5" t="inlineStr">
        <is>
          <t>Medium</t>
        </is>
      </c>
    </row>
    <row r="358" ht="124" customHeight="1">
      <c r="A358" s="15" t="inlineStr">
        <is>
          <t>PERSON-357</t>
        </is>
      </c>
      <c r="B358" s="5" t="inlineStr">
        <is>
          <t>Nupur Asthana</t>
        </is>
      </c>
      <c r="C358" s="5" t="inlineStr">
        <is>
          <t>Director</t>
        </is>
      </c>
      <c r="D358" s="18" t="n"/>
      <c r="E358" s="18" t="n"/>
      <c r="F358" s="5" t="inlineStr">
        <is>
          <t>1998–present</t>
        </is>
      </c>
      <c r="G358" s="5" t="inlineStr">
        <is>
          <t>Hindi cinema; Indian television</t>
        </is>
      </c>
      <c r="H358" s="5" t="inlineStr">
        <is>
          <t>Nupur Asthana, from Uttar Pradesh, is an Indian film and television director and writer. She made her television debut with the series Hip Hip Hurray in 1998 and her film debut with the youth film Mujhse Fraaandship Karoge (2011), produced by Y-Films, the youth arm of Yash Raj Films.</t>
        </is>
      </c>
      <c r="I358" s="5" t="inlineStr">
        <is>
          <t>Television from 1998; film debut Mujhse Fraaandship Karoge (2011).</t>
        </is>
      </c>
      <c r="J358" s="5" t="inlineStr">
        <is>
          <t>With Kapoor: Bewakoofiyaan (2014). Elsewhere, Mujhse Fraaandship Karoge and the television series Hip Hip Hurray.</t>
        </is>
      </c>
      <c r="K358" s="19" t="inlineStr">
        <is>
          <t>Young people negotiating work, money and family expectation.</t>
        </is>
      </c>
      <c r="L358" s="19" t="inlineStr">
        <is>
          <t>A director from television working in a light contemporary register for the Yash Raj studio.</t>
        </is>
      </c>
      <c r="M358" s="5" t="n"/>
      <c r="N358" s="19" t="inlineStr">
        <is>
          <t>One of the small number of women directing mainstream Hindi features in the 2010s.</t>
        </is>
      </c>
      <c r="O358" s="19" t="inlineStr">
        <is>
          <t>One film: Bewakoofiyaan (2014), a Yash Raj romance about a couple strained by unemployment, in which Kapoor plays the heroine's father — a bureaucrat whose objection to her boyfriend is frankly economic. It is one of six Yash Raj films from his character-actor phase, and he is the senior presence against two young leads.</t>
        </is>
      </c>
      <c r="P358" s="17" t="n">
        <v>1</v>
      </c>
      <c r="Q358" s="5" t="inlineStr">
        <is>
          <t>FILM-146</t>
        </is>
      </c>
      <c r="R358" s="5" t="inlineStr">
        <is>
          <t>Bewakoofiyaan (2014)</t>
        </is>
      </c>
      <c r="S358" s="5" t="inlineStr">
        <is>
          <t>Nupur Asthana directed Rishi Kapoor in Bewakoofiyaan (2014), one of his late Yash Raj supporting roles. She came up through television — Hip Hip Hurray, in 1998, was among the first Indian series aimed at teenagers — and made her first feature for Y-Films, the studio's youth label, before this one. Bewakoofiyaan, written by Habib Faisal, is about a young couple whose relationship frays when he loses his job; Kapoor plays her father, a government officer who disapproves on precisely financial grounds. It is a small part, and she is one of very few women to have directed him in a career of 160 films.</t>
        </is>
      </c>
      <c r="T358" s="5" t="inlineStr">
        <is>
          <t>SOURCE-343</t>
        </is>
      </c>
      <c r="U358" s="5" t="inlineStr">
        <is>
          <t>Medium</t>
        </is>
      </c>
    </row>
    <row r="359" ht="184" customHeight="1">
      <c r="A359" s="15" t="inlineStr">
        <is>
          <t>PERSON-358</t>
        </is>
      </c>
      <c r="B359" s="5" t="inlineStr">
        <is>
          <t>Nutan</t>
        </is>
      </c>
      <c r="C359" s="5" t="inlineStr">
        <is>
          <t>Producer</t>
        </is>
      </c>
      <c r="D359" s="17" t="n">
        <v>1936</v>
      </c>
      <c r="E359" s="17" t="n">
        <v>1991</v>
      </c>
      <c r="F359" s="5" t="inlineStr">
        <is>
          <t>1950–1991</t>
        </is>
      </c>
      <c r="G359" s="5" t="inlineStr">
        <is>
          <t>Hindi cinema</t>
        </is>
      </c>
      <c r="H359" s="5" t="inlineStr">
        <is>
          <t>Nutan Samarth-Bahl (4 June 1936 – 21 February 1991) was an Indian actress regarded as one of the finest in the history of Indian cinema, noted for naturalistic performances in parts of conflicted and often unconventional women. In a career spanning four decades she received seven Filmfare Awards, including a then-record five for Best Actress — the first for Seema (1955) and the last, in the Best Supporting Actress category, for Meri Jung — and the Padma Shri in 1974. Her son is the actor Mohnish Bahl, and she belonged to the Mukherjee-Samarth family.</t>
        </is>
      </c>
      <c r="I359" s="5" t="inlineStr">
        <is>
          <t>On screen from 1950; Seema (1955) brought her the first of five Best Actress awards.</t>
        </is>
      </c>
      <c r="J359" s="5" t="inlineStr">
        <is>
          <t>With Kapoor: Saajan Ka Ghar (1994), as producer. Elsewhere, as an actress, Seema, Sujata, Bandini and Milan.</t>
        </is>
      </c>
      <c r="K359" s="19" t="inlineStr">
        <is>
          <t>As an actress, women refusing the roles their families assign them; as a producer, a single late family film.</t>
        </is>
      </c>
      <c r="L359" s="19" t="inlineStr">
        <is>
          <t>An actress of extraordinary restraint in an era of declamation; her production credit is an isolated late venture.</t>
        </is>
      </c>
      <c r="M359" s="5" t="inlineStr">
        <is>
          <t>Seven Filmfare Awards, including a then-record five for Best Actress; the Padma Shri in 1974.</t>
        </is>
      </c>
      <c r="N359" s="19" t="inlineStr">
        <is>
          <t>One of the greatest actresses in Indian cinema, and the holder of the record for Filmfare Best Actress awards in her lifetime.</t>
        </is>
      </c>
      <c r="O359" s="19" t="inlineStr">
        <is>
          <t>One credit, and a surprising one: she is named as a producer of Saajan Ka Ghar (1994), directed by Surendra Bohra with a Nadeem–Shravan score — a modest melodrama released three years after her death, in a function entirely unlike the work that made her. She and Kapoor never appeared together as actors.</t>
        </is>
      </c>
      <c r="P359" s="17" t="n">
        <v>1</v>
      </c>
      <c r="Q359" s="5" t="inlineStr">
        <is>
          <t>FILM-100</t>
        </is>
      </c>
      <c r="R359" s="5" t="inlineStr">
        <is>
          <t>Saajan Ka Ghar (1994)</t>
        </is>
      </c>
      <c r="S359" s="5" t="inlineStr">
        <is>
          <t>Nutan appears in this filmography once, and not as an actress. One of the greatest performers in Indian cinema — five Filmfare Best Actress awards, a then-record, for Seema, Sujata, Bandini and others, a Padma Shri in 1974, and a style of unadorned realism decades ahead of the industry around her — she is credited here as a producer of Saajan Ka Ghar (1994), a Nadeem–Shravan-scored melodrama directed by Surendra Bohra. Nutan died in February 1991, three years before its release, so the credit records involvement in a project she did not live to see out. That she and Rishi Kapoor never shared a scene in fifty years of overlapping careers is the more striking fact.</t>
        </is>
      </c>
      <c r="T359" s="5" t="inlineStr">
        <is>
          <t>SOURCE-344</t>
        </is>
      </c>
      <c r="U359" s="5" t="inlineStr">
        <is>
          <t>High</t>
        </is>
      </c>
    </row>
    <row r="360" ht="79" customHeight="1">
      <c r="A360" s="15" t="inlineStr">
        <is>
          <t>PERSON-359</t>
        </is>
      </c>
      <c r="B360" s="5" t="inlineStr">
        <is>
          <t>Om Prakash Mittal</t>
        </is>
      </c>
      <c r="C360" s="5" t="inlineStr">
        <is>
          <t>Producer</t>
        </is>
      </c>
      <c r="D360" s="18" t="n"/>
      <c r="E360" s="18" t="n"/>
      <c r="F360" s="5" t="n"/>
      <c r="G360" s="5" t="inlineStr">
        <is>
          <t>Hindi cinema</t>
        </is>
      </c>
      <c r="H360" s="5" t="inlineStr">
        <is>
          <t>A producer credited on one film in this filmography, with no Wikipedia article of his own.</t>
        </is>
      </c>
      <c r="I360" s="5" t="n"/>
      <c r="J360" s="5" t="inlineStr">
        <is>
          <t>With Kapoor: Banjaran (1991).</t>
        </is>
      </c>
      <c r="K360" s="19" t="inlineStr">
        <is>
          <t>Not documented.</t>
        </is>
      </c>
      <c r="L360" s="19" t="inlineStr">
        <is>
          <t>Not documented.</t>
        </is>
      </c>
      <c r="M360" s="5" t="n"/>
      <c r="N360" s="19" t="inlineStr">
        <is>
          <t>Not independently documented.</t>
        </is>
      </c>
      <c r="O360" s="19" t="inlineStr">
        <is>
          <t>One film: Banjaran (1991), directed by Harmesh Malhotra with a Laxmikant–Pyarelal score — the fifth and last of Malhotra's films with Kapoor, and one of nine the actor released between 1989 and 1991.</t>
        </is>
      </c>
      <c r="P360" s="17" t="n">
        <v>1</v>
      </c>
      <c r="Q360" s="5" t="inlineStr">
        <is>
          <t>FILM-083</t>
        </is>
      </c>
      <c r="R360" s="5" t="inlineStr">
        <is>
          <t>Banjaran (1991)</t>
        </is>
      </c>
      <c r="S360" s="5" t="inlineStr">
        <is>
          <t>Om Prakash Mittal produced Banjaran (1991) and has no documented biography. The film closes Harmesh Malhotra's run of five pictures with Kapoor — a sequence that had begun with the hit Nagina in 1986 and ran through its sequel Nigahen to this and Amiri Garibi — all of them scored by Laxmikant–Pyarelal and all aimed at the single-screen market. It belongs to the densest stretch of the filmography, nine releases in three years, and to its least documented tier. This row is built from the film's credits alone.</t>
        </is>
      </c>
      <c r="T360" s="5" t="inlineStr">
        <is>
          <t>SOURCE-078</t>
        </is>
      </c>
      <c r="U360" s="5" t="inlineStr">
        <is>
          <t>Low</t>
        </is>
      </c>
    </row>
    <row r="361" ht="124" customHeight="1">
      <c r="A361" s="15" t="inlineStr">
        <is>
          <t>PERSON-360</t>
        </is>
      </c>
      <c r="B361" s="5" t="inlineStr">
        <is>
          <t>Oriol Paulo</t>
        </is>
      </c>
      <c r="C361" s="5" t="inlineStr">
        <is>
          <t>Writer</t>
        </is>
      </c>
      <c r="D361" s="17" t="n">
        <v>1975</v>
      </c>
      <c r="E361" s="18" t="n"/>
      <c r="F361" s="5" t="inlineStr">
        <is>
          <t>2004–present</t>
        </is>
      </c>
      <c r="G361" s="5" t="inlineStr">
        <is>
          <t>Spanish cinema</t>
        </is>
      </c>
      <c r="H361" s="5" t="inlineStr">
        <is>
          <t>Oriol Paulo (born 30 July 1975 in Barcelona) is a Spanish screenwriter and director known for the crime thrillers The Body (2012) and The Invisible Guest (2016), both of which were internationally acclaimed and remade in several languages. He was nominated for Best New Director at the Goya Awards and won the Best Film award at the Fantastic Film Festival in Paris for The Body.</t>
        </is>
      </c>
      <c r="I361" s="5" t="inlineStr">
        <is>
          <t>Writing from 2004; his feature directing debut was The Body (2012), which he also wrote.</t>
        </is>
      </c>
      <c r="J361" s="5" t="inlineStr">
        <is>
          <t>With Kapoor: The Body (2019), the Hindi remake of his own film. Elsewhere, The Invisible Guest and Mirage.</t>
        </is>
      </c>
      <c r="K361" s="19" t="inlineStr">
        <is>
          <t>The withheld fact; thrillers built on a single reversal and on characters lying to each other.</t>
        </is>
      </c>
      <c r="L361" s="19" t="inlineStr">
        <is>
          <t>A writer-director of tightly engineered puzzle thrillers whose scripts have proved unusually portable across languages.</t>
        </is>
      </c>
      <c r="M361" s="5" t="inlineStr">
        <is>
          <t>Goya nomination for Best New Director; Best Film at the Fantastic Film Festival, Paris, for The Body.</t>
        </is>
      </c>
      <c r="N361" s="19" t="inlineStr">
        <is>
          <t>One of the most widely remade European thriller writers of his generation.</t>
        </is>
      </c>
      <c r="O361" s="19" t="inlineStr">
        <is>
          <t>One credit, and the only foreign writing credit in this filmography: the Hindi The Body (2019), directed by Jeethu Joseph from Paulo's Spanish original, in which Kapoor plays the police officer investigating a corpse's disappearance from a morgue. It was the last film released in his lifetime.</t>
        </is>
      </c>
      <c r="P361" s="17" t="n">
        <v>1</v>
      </c>
      <c r="Q361" s="5" t="inlineStr">
        <is>
          <t>FILM-159</t>
        </is>
      </c>
      <c r="R361" s="5" t="inlineStr">
        <is>
          <t>The Body (2019)</t>
        </is>
      </c>
      <c r="S361" s="5" t="inlineStr">
        <is>
          <t>Oriol Paulo wrote the original of the last film released in Rishi Kapoor's lifetime. A Barcelona screenwriter and director, Paulo made The Body in 2012 — a thriller about a body vanishing from a morgue and the detective who will not let it go — and followed it with The Invisible Guest; both were remade repeatedly across Asia. The Hindi version, directed by the Malayalam filmmaker Jeethu Joseph in 2019, cast Kapoor as the investigating officer, a cold procedural role unlike anything his leading career offered. He died five months after its release. Paulo's is the only non-Indian writing credit in this workbook's 561 collaborators.</t>
        </is>
      </c>
      <c r="T361" s="5" t="inlineStr">
        <is>
          <t>SOURCE-345</t>
        </is>
      </c>
      <c r="U361" s="5" t="inlineStr">
        <is>
          <t>High</t>
        </is>
      </c>
    </row>
    <row r="362" ht="124" customHeight="1">
      <c r="A362" s="15" t="inlineStr">
        <is>
          <t>PERSON-361</t>
        </is>
      </c>
      <c r="B362" s="5" t="inlineStr">
        <is>
          <t>P. Madhavan</t>
        </is>
      </c>
      <c r="C362" s="5" t="inlineStr">
        <is>
          <t>Director</t>
        </is>
      </c>
      <c r="D362" s="17" t="n">
        <v>1928</v>
      </c>
      <c r="E362" s="17" t="n">
        <v>2003</v>
      </c>
      <c r="F362" s="5" t="inlineStr">
        <is>
          <t>1963–1992</t>
        </is>
      </c>
      <c r="G362" s="5" t="inlineStr">
        <is>
          <t>Tamil cinema; Hindi cinema</t>
        </is>
      </c>
      <c r="H362" s="5" t="inlineStr">
        <is>
          <t>Palakrishnan Madhavan (1 January 1928 – 16 December 2003) was an Indian film director and producer who worked in Tamil cinema in the 1960s and 1970s. He directed forty-nine films and produced thirty-nine under the banner Arun Prasad Movies, and died in Chennai.</t>
        </is>
      </c>
      <c r="I362" s="5" t="inlineStr">
        <is>
          <t>Directing from 1963.</t>
        </is>
      </c>
      <c r="J362" s="5" t="inlineStr">
        <is>
          <t>With Kapoor: Ram Tere Kitne Nam (1985). Elsewhere, a long run of Tamil films as director and producer.</t>
        </is>
      </c>
      <c r="K362" s="19" t="inlineStr">
        <is>
          <t>Family melodrama in the southern commercial tradition.</t>
        </is>
      </c>
      <c r="L362" s="19" t="inlineStr">
        <is>
          <t>A prolific director-producer of the Tamil industry who occasionally worked in Hindi.</t>
        </is>
      </c>
      <c r="M362" s="5" t="n"/>
      <c r="N362" s="19" t="inlineStr">
        <is>
          <t>A significant figure in 1960s and 1970s Tamil commercial cinema.</t>
        </is>
      </c>
      <c r="O362" s="19" t="inlineStr">
        <is>
          <t>One film: Ram Tere Kitne Nam (1985), an R. D. Burman-scored melodrama produced by Harish Shah, from the weakest commercial stretch of Kapoor's lead career. It is one of several of his mid-1980s films made by southern directors working in Hindi — the pipeline that supplied much of his work in that decade.</t>
        </is>
      </c>
      <c r="P362" s="17" t="n">
        <v>1</v>
      </c>
      <c r="Q362" s="5" t="inlineStr">
        <is>
          <t>FILM-045</t>
        </is>
      </c>
      <c r="R362" s="5" t="inlineStr">
        <is>
          <t>Ram Tere Kitne Nam (1985)</t>
        </is>
      </c>
      <c r="S362" s="5" t="inlineStr">
        <is>
          <t>P. Madhavan directed one Rishi Kapoor film, and it belongs to a pattern rather than to either man's best work. A Tamil director-producer with forty-nine films directed and thirty-nine produced under his own Arun Prasad Movies banner, Madhavan worked mainly in the 1960s and 1970s in Madras. Ram Tere Kitne Nam (1985) is a late Hindi credit, scored by R. D. Burman and produced by Harish Shah, from the year in which Kapoor released five forgotten films. Between 1985 and 1992 a substantial share of his work came from southern directors — T. Rama Rao, K. Bapaiah, K. Ravi Shankar, K. Shankar, this one — reworking proven material for the Hindi market.</t>
        </is>
      </c>
      <c r="T362" s="5" t="inlineStr">
        <is>
          <t>SOURCE-346</t>
        </is>
      </c>
      <c r="U362" s="5" t="inlineStr">
        <is>
          <t>Medium</t>
        </is>
      </c>
    </row>
    <row r="363" ht="124" customHeight="1">
      <c r="A363" s="15" t="inlineStr">
        <is>
          <t>PERSON-362</t>
        </is>
      </c>
      <c r="B363" s="5" t="inlineStr">
        <is>
          <t>Palagummi Padmaraju</t>
        </is>
      </c>
      <c r="C363" s="5" t="inlineStr">
        <is>
          <t>Writer</t>
        </is>
      </c>
      <c r="D363" s="17" t="n">
        <v>1915</v>
      </c>
      <c r="E363" s="17" t="n">
        <v>1983</v>
      </c>
      <c r="F363" s="5" t="n"/>
      <c r="G363" s="5" t="inlineStr">
        <is>
          <t>Telugu literature; Telugu and Hindi cinema</t>
        </is>
      </c>
      <c r="H363" s="5" t="inlineStr">
        <is>
          <t>Palagummi Padmaraju (24 June 1915 – 17 February 1983), known as P. Padmaraju, was a Telugu writer, poet, lyricist, screenwriter and lecturer, and a winner of the Sahitya Akademi Award. He is known for his work in Telugu literature and Telugu cinema, with Galivana among his notable works.</t>
        </is>
      </c>
      <c r="I363" s="5" t="inlineStr">
        <is>
          <t>A literary career from the 1930s and 1940s, with film writing alongside it.</t>
        </is>
      </c>
      <c r="J363" s="5" t="inlineStr">
        <is>
          <t>With Kapoor: Ghar Ghar Ki Kahani (1988). Elsewhere, his Telugu short stories and novels, including the Sahitya Akademi-honoured work.</t>
        </is>
      </c>
      <c r="K363" s="19" t="inlineStr">
        <is>
          <t>The moral life of ordinary families; Telugu social realism carried into popular cinema.</t>
        </is>
      </c>
      <c r="L363" s="19" t="inlineStr">
        <is>
          <t>A literary writer of standing whose film credits arise mainly from adaptations of his own or others' Telugu material.</t>
        </is>
      </c>
      <c r="M363" s="5" t="inlineStr">
        <is>
          <t>Sahitya Akademi Award.</t>
        </is>
      </c>
      <c r="N363" s="19" t="inlineStr">
        <is>
          <t>A significant figure in twentieth-century Telugu literature, remembered particularly for his short stories.</t>
        </is>
      </c>
      <c r="O363" s="19" t="inlineStr">
        <is>
          <t>One credit, and at second hand: Ghar Ghar Ki Kahani (1988), the first of Kalpataru's five household melodramas with Kapoor, is a remake of a Telugu film, and Padmaraju's credit almost certainly belongs to that original rather than to the Hindi version. The film's real subject is a mother-in-law's cruelty to her daughters-in-law.</t>
        </is>
      </c>
      <c r="P363" s="17" t="n">
        <v>1</v>
      </c>
      <c r="Q363" s="5" t="inlineStr">
        <is>
          <t>FILM-064</t>
        </is>
      </c>
      <c r="R363" s="5" t="inlineStr">
        <is>
          <t>Ghar Ghar Ki Kahani (1988)</t>
        </is>
      </c>
      <c r="S363" s="5" t="inlineStr">
        <is>
          <t>Palagummi Padmaraju, a Sahitya Akademi laureate in Telugu, holds one credit in this filmography — and almost certainly for work he did not do on the Hindi film. One of the notable Telugu writers of the twentieth century, remembered for his short stories and for Galivana, Padmaraju also wrote for Telugu cinema. Ghar Ghar Ki Kahani (1988), the first of Kalpataru's five family melodramas with Kapoor, is a remake of a Telugu original, and his credit belongs there. The pattern recurs in this workbook with Mani Ratnam, Manivannan and K. Rangaraj: distinguished southern names appear on Kapoor's Hindi films because the material was imported, not because they worked with him.</t>
        </is>
      </c>
      <c r="T363" s="5" t="inlineStr">
        <is>
          <t>SOURCE-347</t>
        </is>
      </c>
      <c r="U363" s="5" t="inlineStr">
        <is>
          <t>Medium</t>
        </is>
      </c>
    </row>
    <row r="364" ht="139" customHeight="1">
      <c r="A364" s="15" t="inlineStr">
        <is>
          <t>PERSON-363</t>
        </is>
      </c>
      <c r="B364" s="5" t="inlineStr">
        <is>
          <t>Pamela Chopra</t>
        </is>
      </c>
      <c r="C364" s="5" t="inlineStr">
        <is>
          <t>Writer</t>
        </is>
      </c>
      <c r="D364" s="17" t="n">
        <v>1948</v>
      </c>
      <c r="E364" s="17" t="n">
        <v>2023</v>
      </c>
      <c r="F364" s="5" t="n"/>
      <c r="G364" s="5" t="inlineStr">
        <is>
          <t>Hindi cinema</t>
        </is>
      </c>
      <c r="H364" s="5" t="inlineStr">
        <is>
          <t>Pamela Chopra, née Singh (29 July 1948 – 20 April 2023), was an Indian playback singer who was also a film writer and producer. She was the wife of the director Yash Chopra; their sons are the producer-director Aditya Chopra and the actor Uday Chopra, and the actress Simi Garewal was her first cousin.</t>
        </is>
      </c>
      <c r="I364" s="5" t="inlineStr">
        <is>
          <t>Singing and writing for her husband's films from the 1970s.</t>
        </is>
      </c>
      <c r="J364" s="5" t="inlineStr">
        <is>
          <t>With Kapoor: Kabhie Kabhie (1976). Elsewhere, her playback singing and story work across the Yash Raj Films catalogue.</t>
        </is>
      </c>
      <c r="K364" s="19" t="inlineStr">
        <is>
          <t>The Yash Raj romance — longing, music and the marriage shadowed by an earlier love.</t>
        </is>
      </c>
      <c r="L364" s="19" t="inlineStr">
        <is>
          <t>A writer, singer and informal creative partner within her husband's studio rather than an independent author.</t>
        </is>
      </c>
      <c r="M364" s="5" t="n"/>
      <c r="N364" s="19" t="inlineStr">
        <is>
          <t>A central figure in the Yash Raj Films household, which accounts for eleven films in this filmography.</t>
        </is>
      </c>
      <c r="O364" s="19" t="inlineStr">
        <is>
          <t>One credit, on Yash Chopra's Kabhie Kabhie (1976) — the ensemble in which Kapoor and Neetu Singh's young romance plays against an older marriage haunted by a first love, with Khayyam's Filmfare-winning score. Her family connection reaches much further into this workbook: her husband directed or produced five Kapoor films and her son Aditya Chopra produced seven.</t>
        </is>
      </c>
      <c r="P364" s="17" t="n">
        <v>1</v>
      </c>
      <c r="Q364" s="5" t="inlineStr">
        <is>
          <t>FILM-009</t>
        </is>
      </c>
      <c r="R364" s="5" t="inlineStr">
        <is>
          <t>Kabhie Kabhie (1976)</t>
        </is>
      </c>
      <c r="S364" s="5" t="inlineStr">
        <is>
          <t>Pamela Chopra is credited on Kabhie Kabhie, the first Yash Raj film in this filmography, and her family accounts for more of it than any other outside Kapoor's own. A playback singer who also wrote and produced, she was married to Yash Chopra, who directed or produced five of Kapoor's films and in Chandni restored him to romantic leading man; their son Aditya Chopra produced seven more, and the Yash Raj banner accounts for eleven in total. Kabhie Kabhie (1976) is where that long association begins: Kapoor and Neetu Singh as the young couple, Amitabh Bachchan and Raakhee as the older marriage, and a Khayyam score that won the Filmfare Award for Best Music. She died in April 2023.</t>
        </is>
      </c>
      <c r="T364" s="5" t="inlineStr">
        <is>
          <t>SOURCE-348</t>
        </is>
      </c>
      <c r="U364" s="5" t="inlineStr">
        <is>
          <t>High</t>
        </is>
      </c>
    </row>
    <row r="365" ht="109" customHeight="1">
      <c r="A365" s="15" t="inlineStr">
        <is>
          <t>PERSON-364</t>
        </is>
      </c>
      <c r="B365" s="5" t="inlineStr">
        <is>
          <t>Paresh Talpade</t>
        </is>
      </c>
      <c r="C365" s="5" t="inlineStr">
        <is>
          <t>Producer</t>
        </is>
      </c>
      <c r="D365" s="18" t="n"/>
      <c r="E365" s="18" t="n"/>
      <c r="F365" s="5" t="n"/>
      <c r="G365" s="5" t="inlineStr">
        <is>
          <t>Hindi cinema</t>
        </is>
      </c>
      <c r="H365" s="5" t="inlineStr">
        <is>
          <t>A producer credited on one film in this filmography, with no Wikipedia article of his own.</t>
        </is>
      </c>
      <c r="I365" s="5" t="n"/>
      <c r="J365" s="5" t="inlineStr">
        <is>
          <t>With Kapoor: Tehzeeb (2003).</t>
        </is>
      </c>
      <c r="K365" s="19" t="inlineStr">
        <is>
          <t>Not documented.</t>
        </is>
      </c>
      <c r="L365" s="19" t="inlineStr">
        <is>
          <t>Not documented.</t>
        </is>
      </c>
      <c r="M365" s="5" t="n"/>
      <c r="N365" s="19" t="inlineStr">
        <is>
          <t>Not independently documented.</t>
        </is>
      </c>
      <c r="O365" s="19" t="inlineStr">
        <is>
          <t>One film: Tehzeeb (2003), written and directed by the film critic Khalid Mohamed, with A. R. Rahman's music and Javed Siddiqui's dialogue, in which Kapoor plays the dying husband of Shabana Azmi's celebrated singer. It is among the few genuinely literary projects in the filmography.</t>
        </is>
      </c>
      <c r="P365" s="17" t="n">
        <v>1</v>
      </c>
      <c r="Q365" s="5" t="inlineStr">
        <is>
          <t>FILM-117</t>
        </is>
      </c>
      <c r="R365" s="5" t="inlineStr">
        <is>
          <t>Tehzeeb (2003)</t>
        </is>
      </c>
      <c r="S365" s="5" t="inlineStr">
        <is>
          <t>Paresh Talpade produced Tehzeeb (2003) and has no documented biography. The film is one of the more serious things Rishi Kapoor did between the end of his leading career and his reinvention in Hum Tum: a drama of a famous singer and her estranged daughter, written and directed by Khalid Mohamed — for twenty-seven years a critic at The Times of India and a former editor of Filmfare — with music by A. R. Rahman and dialogue by Javed Siddiqui. Kapoor plays the dying husband. This row is built from the film's credits alone.</t>
        </is>
      </c>
      <c r="T365" s="5" t="inlineStr">
        <is>
          <t>SOURCE-109</t>
        </is>
      </c>
      <c r="U365" s="5" t="inlineStr">
        <is>
          <t>Low</t>
        </is>
      </c>
    </row>
    <row r="366" ht="109" customHeight="1">
      <c r="A366" s="15" t="inlineStr">
        <is>
          <t>PERSON-365</t>
        </is>
      </c>
      <c r="B366" s="5" t="inlineStr">
        <is>
          <t>Partho Ghosh</t>
        </is>
      </c>
      <c r="C366" s="5" t="inlineStr">
        <is>
          <t>Director</t>
        </is>
      </c>
      <c r="D366" s="17" t="n">
        <v>1949</v>
      </c>
      <c r="E366" s="17" t="n">
        <v>2025</v>
      </c>
      <c r="F366" s="5" t="inlineStr">
        <is>
          <t>1980–2025</t>
        </is>
      </c>
      <c r="G366" s="5" t="inlineStr">
        <is>
          <t>Hindi cinema; Bengali cinema</t>
        </is>
      </c>
      <c r="H366" s="5" t="inlineStr">
        <is>
          <t>Partho Ghosh (8 June 1949 – 9 June 2025) was an Indian film director and producer who worked in Hindi and Bengali cinema. His successful films include 100 Days with Jackie Shroff and Madhuri Dixit, Teesra Kaun, Dalaal with Mithun Chakraborty and Agni Sakshi with Jackie Shroff and Nana Patekar.</t>
        </is>
      </c>
      <c r="I366" s="5" t="inlineStr">
        <is>
          <t>Directing from 1980; 100 Days (1991) was among his successes.</t>
        </is>
      </c>
      <c r="J366" s="5" t="inlineStr">
        <is>
          <t>With Kapoor: Kaun Sachcha Kaun Jhootha (1997). Elsewhere, 100 Days, Teesra Kaun and Agni Sakshi.</t>
        </is>
      </c>
      <c r="K366" s="19" t="inlineStr">
        <is>
          <t>The thriller of obsession and mistaken identity; the woman in danger.</t>
        </is>
      </c>
      <c r="L366" s="19" t="inlineStr">
        <is>
          <t>A commercial director of suspense melodrama with a strong taste for the reveal.</t>
        </is>
      </c>
      <c r="M366" s="5" t="n"/>
      <c r="N366" s="19" t="inlineStr">
        <is>
          <t>A dependable thriller director of 1990s Hindi cinema.</t>
        </is>
      </c>
      <c r="O366" s="19" t="inlineStr">
        <is>
          <t>One film: Kaun Sachcha Kaun Jhootha (1997), a Rakesh Roshan production scored by his brother Rajesh Roshan and written in part by Ranbir Pushp — one of the last films in which Kapoor took a leading role before the four-year gap that preceded Hum Tum.</t>
        </is>
      </c>
      <c r="P366" s="17" t="n">
        <v>1</v>
      </c>
      <c r="Q366" s="5" t="inlineStr">
        <is>
          <t>FILM-109</t>
        </is>
      </c>
      <c r="R366" s="5" t="inlineStr">
        <is>
          <t>Kaun Sachcha Kaun Jhootha (1997)</t>
        </is>
      </c>
      <c r="S366" s="5" t="inlineStr">
        <is>
          <t>Partho Ghosh directed one of Rishi Kapoor's last leading roles. A Bengali filmmaker working in both industries from 1980, Ghosh had commercial success with 100 Days, Dalaal and Agni Sakshi — thrillers built on obsession and concealment, usually with a woman in danger at the centre. Kaun Sachcha Kaun Jhootha (1997) was made for the Roshan family unit that accounts for four films in this filmography, with Rajesh Roshan's music and Ranbir Pushp among its writers. Within three years Rakesh Roshan would launch his son Hrithik and Kapoor would be taking supporting parts. Ghosh died in June 2025, a day after his seventy-sixth birthday.</t>
        </is>
      </c>
      <c r="T366" s="5" t="inlineStr">
        <is>
          <t>SOURCE-349</t>
        </is>
      </c>
      <c r="U366" s="5" t="inlineStr">
        <is>
          <t>High</t>
        </is>
      </c>
    </row>
    <row r="367" ht="109" customHeight="1">
      <c r="A367" s="15" t="inlineStr">
        <is>
          <t>PERSON-366</t>
        </is>
      </c>
      <c r="B367" s="5" t="inlineStr">
        <is>
          <t>People Tree Films</t>
        </is>
      </c>
      <c r="C367" s="5" t="inlineStr">
        <is>
          <t>Production banner</t>
        </is>
      </c>
      <c r="D367" s="18" t="n"/>
      <c r="E367" s="18" t="n"/>
      <c r="F367" s="5" t="n"/>
      <c r="G367" s="5" t="inlineStr">
        <is>
          <t>Hindi cinema</t>
        </is>
      </c>
      <c r="H367" s="5" t="inlineStr">
        <is>
          <t>A production banner credited on one film in this filmography, with no Wikipedia article of its own.</t>
        </is>
      </c>
      <c r="I367" s="5" t="n"/>
      <c r="J367" s="5" t="inlineStr">
        <is>
          <t>With Kapoor: Patiala House (2011).</t>
        </is>
      </c>
      <c r="K367" s="19" t="inlineStr">
        <is>
          <t>Not documented.</t>
        </is>
      </c>
      <c r="L367" s="19" t="inlineStr">
        <is>
          <t>Not documented.</t>
        </is>
      </c>
      <c r="M367" s="5" t="n"/>
      <c r="N367" s="19" t="inlineStr">
        <is>
          <t>Not independently documented.</t>
        </is>
      </c>
      <c r="O367" s="19" t="inlineStr">
        <is>
          <t>One credit, on Nikkhil Advani's Patiala House (2011), in which Kapoor plays the Southall patriarch whose bitterness after a racist attack leads him to forbid his son's cricket career — one of the stronger roles of his late period, opposite Dimple Kapadia for the fourth time since Bobby.</t>
        </is>
      </c>
      <c r="P367" s="17" t="n">
        <v>1</v>
      </c>
      <c r="Q367" s="5" t="inlineStr">
        <is>
          <t>FILM-135</t>
        </is>
      </c>
      <c r="R367" s="5" t="inlineStr">
        <is>
          <t>Patiala House (2011)</t>
        </is>
      </c>
      <c r="S367" s="5" t="inlineStr">
        <is>
          <t>People Tree Films is one of three banners on Patiala House (2011) and has no recorded history. The film itself matters: Kapoor plays Gurtej Singh Kahlon, a London Punjabi whose experience of racist violence has calcified into control over his son's life, in a part that allowed him to be genuinely unpleasant rather than merely stern. It was also his fourth film with Dimple Kapadia, after Bobby, Saagar and Pyaar Mein Twist, this time as a long-married couple. Three banners and five producers are credited, the standard structure for a T-Series-financed film of the period. This row is built from the film's credits alone.</t>
        </is>
      </c>
      <c r="T367" s="5" t="inlineStr">
        <is>
          <t>SOURCE-127</t>
        </is>
      </c>
      <c r="U367" s="5" t="inlineStr">
        <is>
          <t>Low</t>
        </is>
      </c>
    </row>
    <row r="368" ht="124" customHeight="1">
      <c r="A368" s="15" t="inlineStr">
        <is>
          <t>PERSON-367</t>
        </is>
      </c>
      <c r="B368" s="5" t="inlineStr">
        <is>
          <t>Percept Picture Company</t>
        </is>
      </c>
      <c r="C368" s="5" t="inlineStr">
        <is>
          <t>Production banner</t>
        </is>
      </c>
      <c r="D368" s="18" t="n"/>
      <c r="E368" s="18" t="n"/>
      <c r="F368" s="5" t="inlineStr">
        <is>
          <t>2002–present</t>
        </is>
      </c>
      <c r="G368" s="5" t="inlineStr">
        <is>
          <t>Hindi cinema</t>
        </is>
      </c>
      <c r="H368" s="5" t="inlineStr">
        <is>
          <t>The Percept Picture Company is an Indian film production company established in 2002 as a division of Percept Limited, an entertainment, media and communications company based in Mumbai. Its films include Dhol, MP3: Mera Pehla Pehla Pyaar, Malamaal Weekly, Hanuman, Yahaan and Pyaar Mein Twist.</t>
        </is>
      </c>
      <c r="I368" s="5" t="inlineStr">
        <is>
          <t>Established in 2002.</t>
        </is>
      </c>
      <c r="J368" s="5" t="inlineStr">
        <is>
          <t>With Kapoor: Pyaar Mein Twist (2005). Elsewhere, Hanuman, Yahaan and Malamaal Weekly.</t>
        </is>
      </c>
      <c r="K368" s="19" t="inlineStr">
        <is>
          <t>A mixed slate from animation to small comedies and dramas.</t>
        </is>
      </c>
      <c r="L368" s="19" t="inlineStr">
        <is>
          <t>A corporate media company's film division rather than a house with an authorial signature.</t>
        </is>
      </c>
      <c r="M368" s="5" t="n"/>
      <c r="N368" s="19" t="inlineStr">
        <is>
          <t>An early example of the corporate entertainment company moving into Hindi film production.</t>
        </is>
      </c>
      <c r="O368" s="19" t="inlineStr">
        <is>
          <t>One credit, and on one of the most revealing films of the late career: Pyaar Mein Twist (2005), which Kapoor co-produced himself, casting him and Dimple Kapadia — the girl of Bobby — as a widower and widow whose romance is opposed by their adult children. It is Bobby's structure with the generations reversed.</t>
        </is>
      </c>
      <c r="P368" s="17" t="n">
        <v>1</v>
      </c>
      <c r="Q368" s="5" t="inlineStr">
        <is>
          <t>FILM-119</t>
        </is>
      </c>
      <c r="R368" s="5" t="inlineStr">
        <is>
          <t>Pyaar Mein Twist (2005)</t>
        </is>
      </c>
      <c r="S368" s="5" t="inlineStr">
        <is>
          <t>Percept Picture Company produced the film in which Rishi Kapoor deliberately restaged his own most famous situation. Established in 2002 as the film arm of the Mumbai media group Percept Limited, the company made a varied slate — the animated Hanuman, the Kashmir drama Yahaan, the comedy Malamaal Weekly — and in 2005 Pyaar Mein Twist, which Kapoor co-produced. He and Dimple Kapadia, thirty-two years after Bobby, play a widower and a widow in their fifties whose late courtship their grown children try to prevent: the same prohibition, with the opposition moved one generation down. It is the clearest evidence in this workbook that he understood his own persona as material.</t>
        </is>
      </c>
      <c r="T368" s="5" t="inlineStr">
        <is>
          <t>SOURCE-350</t>
        </is>
      </c>
      <c r="U368" s="5" t="inlineStr">
        <is>
          <t>High</t>
        </is>
      </c>
    </row>
    <row r="369" ht="139" customHeight="1">
      <c r="A369" s="15" t="inlineStr">
        <is>
          <t>PERSON-368</t>
        </is>
      </c>
      <c r="B369" s="5" t="inlineStr">
        <is>
          <t>Planman Motion Pictures</t>
        </is>
      </c>
      <c r="C369" s="5" t="inlineStr">
        <is>
          <t>Production banner</t>
        </is>
      </c>
      <c r="D369" s="18" t="n"/>
      <c r="E369" s="18" t="n"/>
      <c r="F369" s="5" t="n"/>
      <c r="G369" s="5" t="inlineStr">
        <is>
          <t>Hindi cinema; Bengali cinema</t>
        </is>
      </c>
      <c r="H369" s="5" t="inlineStr">
        <is>
          <t>The film production arm of Arindam Chaudhuri's Planman group, credited on Do Dooni Chaar. It has no Wikipedia article of its own; Chaudhuri's article, cited on his row in this sheet, records that the company produced the Bengali films Sanjhbatir Rupkathara and Dosar, the National Film Award-winning Faltu, and The Last Lear, which won the National Film Award for Best Film in English.</t>
        </is>
      </c>
      <c r="I369" s="5" t="n"/>
      <c r="J369" s="5" t="inlineStr">
        <is>
          <t>With Kapoor: Do Dooni Chaar (2010). Elsewhere, Faltu, Dosar and The Last Lear.</t>
        </is>
      </c>
      <c r="K369" s="19" t="inlineStr">
        <is>
          <t>Small, award-minded films made outside the commercial mainstream.</t>
        </is>
      </c>
      <c r="L369" s="19" t="inlineStr">
        <is>
          <t>A businessman's production arm backing art-house and festival work rather than star vehicles.</t>
        </is>
      </c>
      <c r="M369" s="5" t="n"/>
      <c r="N369" s="19" t="inlineStr">
        <is>
          <t>Not independently documented, though its slate includes two National Film Award winners.</t>
        </is>
      </c>
      <c r="O369" s="19" t="inlineStr">
        <is>
          <t>One credit, and it is the hinge of the late career: Do Dooni Chaar (2010), the modest comedy in which Kapoor and Neetu Singh play a Delhi schoolteacher and his wife saving for a car. It won him the Filmfare Critics Award for Best Actor and is routinely cited as the start of his character-actor phase.</t>
        </is>
      </c>
      <c r="P369" s="17" t="n">
        <v>1</v>
      </c>
      <c r="Q369" s="5" t="inlineStr">
        <is>
          <t>FILM-134</t>
        </is>
      </c>
      <c r="R369" s="5" t="inlineStr">
        <is>
          <t>Do Dooni Chaar (2010)</t>
        </is>
      </c>
      <c r="S369" s="5" t="inlineStr">
        <is>
          <t>Planman Motion Pictures produced the film that re-established Rishi Kapoor as a serious actor, and it belongs to an improbable backer. The company was the film arm of Arindam Chaudhuri's Planman group — Chaudhuri being far better known for the Indian Institute of Planning and Management, an unaccredited business school later wound up amid criticism, and for his 2020 arrest for tax evasion — yet it financed a run of small, well-regarded films including the National Award winners Faltu and The Last Lear. Do Dooni Chaar (2010) is one of them: a Delhi mathematics teacher, his wife, and a scooter they want to replace with a car. It won Kapoor the Filmfare Critics Award for Best Actor.</t>
        </is>
      </c>
      <c r="T369" s="5" t="inlineStr">
        <is>
          <t>SOURCE-126</t>
        </is>
      </c>
      <c r="U369" s="5" t="inlineStr">
        <is>
          <t>Low</t>
        </is>
      </c>
    </row>
    <row r="370" ht="139" customHeight="1">
      <c r="A370" s="15" t="inlineStr">
        <is>
          <t>PERSON-369</t>
        </is>
      </c>
      <c r="B370" s="5" t="inlineStr">
        <is>
          <t>Pooja Entertainment</t>
        </is>
      </c>
      <c r="C370" s="5" t="inlineStr">
        <is>
          <t>Production banner</t>
        </is>
      </c>
      <c r="D370" s="18" t="n"/>
      <c r="E370" s="18" t="n"/>
      <c r="F370" s="5" t="inlineStr">
        <is>
          <t>1986–present</t>
        </is>
      </c>
      <c r="G370" s="5" t="inlineStr">
        <is>
          <t>Hindi cinema</t>
        </is>
      </c>
      <c r="H370" s="5" t="inlineStr">
        <is>
          <t>Pooja Entertainment is an Indian production and distribution company established by Vashu Bhagnani in 1986 and based in Mumbai. It is known for the comedies Coolie No. 1 (1995), Hero No. 1 (1997) and Biwi No.1 (1999), and had produced over forty films as of 2024. Its key people include Vashu Bhagnani, Jackky Bhagnani and Deepshikha Deshmukh.</t>
        </is>
      </c>
      <c r="I370" s="5" t="inlineStr">
        <is>
          <t>Established in 1986; its David Dhawan comedies of the 1990s made its name.</t>
        </is>
      </c>
      <c r="J370" s="5" t="inlineStr">
        <is>
          <t>With Kapoor: Kal Kissne Dekha (2009). Elsewhere, the Coolie No. 1, Hero No. 1 and Biwi No.1 comedies.</t>
        </is>
      </c>
      <c r="K370" s="19" t="inlineStr">
        <is>
          <t>The star comedy, usually with David Dhawan directing and Govinda or Salman Khan leading.</t>
        </is>
      </c>
      <c r="L370" s="19" t="inlineStr">
        <is>
          <t>A producer-led house specialising in broad comedy and, latterly, launching its proprietor's son.</t>
        </is>
      </c>
      <c r="M370" s="5" t="n"/>
      <c r="N370" s="19" t="inlineStr">
        <is>
          <t>One of the production companies behind the 1990s Hindi comedy cycle.</t>
        </is>
      </c>
      <c r="O370" s="19" t="inlineStr">
        <is>
          <t>One credit, on Kal Kissne Dekha (2009), a youth film launching the producer's son Jackky Bhagnani, with a Sajid–Wajid score and Kapoor in support. The company's connection to his work is otherwise indirect but substantial: its 1990s comedies were made with David Dhawan, who directed Kapoor five times, more than any other director in this filmography.</t>
        </is>
      </c>
      <c r="P370" s="17" t="n">
        <v>1</v>
      </c>
      <c r="Q370" s="5" t="inlineStr">
        <is>
          <t>FILM-130</t>
        </is>
      </c>
      <c r="R370" s="5" t="inlineStr">
        <is>
          <t>Kal Kissne Dekha (2009)</t>
        </is>
      </c>
      <c r="S370" s="5" t="inlineStr">
        <is>
          <t>Pooja Entertainment produced Kal Kissne Dekha (2009), one of the slighter films of Rishi Kapoor's late period. Established by Vashu Bhagnani in 1986 and responsible for the Coolie No. 1, Hero No. 1 and Biwi No.1 comedies that made David Dhawan and Govinda the dominant comic pairing of the 1990s, the company had made more than forty films by 2024. Kal Kissne Dekha was a vehicle for Bhagnani's son Jackky, with Kapoor in a supporting role. The indirect connection matters more than the credit: Dhawan, the company's house director, directed Kapoor five times — more than anyone else in this workbook.</t>
        </is>
      </c>
      <c r="T370" s="5" t="inlineStr">
        <is>
          <t>SOURCE-351</t>
        </is>
      </c>
      <c r="U370" s="5" t="inlineStr">
        <is>
          <t>High</t>
        </is>
      </c>
    </row>
    <row r="371" ht="79" customHeight="1">
      <c r="A371" s="15" t="inlineStr">
        <is>
          <t>PERSON-370</t>
        </is>
      </c>
      <c r="B371" s="5" t="inlineStr">
        <is>
          <t>Prabhakar Tamhane</t>
        </is>
      </c>
      <c r="C371" s="5" t="inlineStr">
        <is>
          <t>Writer</t>
        </is>
      </c>
      <c r="D371" s="18" t="n"/>
      <c r="E371" s="18" t="n"/>
      <c r="F371" s="5" t="n"/>
      <c r="G371" s="5" t="inlineStr">
        <is>
          <t>Hindi cinema</t>
        </is>
      </c>
      <c r="H371" s="5" t="inlineStr">
        <is>
          <t>A writer credited on one film in this filmography, with no Wikipedia article of his own.</t>
        </is>
      </c>
      <c r="I371" s="5" t="n"/>
      <c r="J371" s="5" t="inlineStr">
        <is>
          <t>With Kapoor: Biwi-O-Biwi (1981).</t>
        </is>
      </c>
      <c r="K371" s="19" t="inlineStr">
        <is>
          <t>Not documented.</t>
        </is>
      </c>
      <c r="L371" s="19" t="inlineStr">
        <is>
          <t>Not documented.</t>
        </is>
      </c>
      <c r="M371" s="5" t="n"/>
      <c r="N371" s="19" t="inlineStr">
        <is>
          <t>Not independently documented.</t>
        </is>
      </c>
      <c r="O371" s="19" t="inlineStr">
        <is>
          <t>One film: Biwi-O-Biwi (1981), an R. K. Films production directed by Rahul Rawail with an R. D. Burman score — one of the six R. K. films in this filmography and one of the few comedies among them.</t>
        </is>
      </c>
      <c r="P371" s="17" t="n">
        <v>1</v>
      </c>
      <c r="Q371" s="5" t="inlineStr">
        <is>
          <t>FILM-033</t>
        </is>
      </c>
      <c r="R371" s="5" t="inlineStr">
        <is>
          <t>Biwi-O-Biwi (1981)</t>
        </is>
      </c>
      <c r="S371" s="5" t="inlineStr">
        <is>
          <t>Prabhakar Tamhane is credited as a writer on Biwi-O-Biwi (1981) and has no documented biography. The film is one of six R. K. Films productions in this filmography — the family studio that gave Kapoor his debut in Mera Naam Joker and his stardom in Bobby — and one of the lightest: a comedy directed by Rahul Rawail, scored by R. D. Burman, made while Raj Kapoor was preparing Prem Rog. It sits between the two Raj Kapoor melodramas that frame Kapoor's work for the studio. This row is built from the film's credits alone.</t>
        </is>
      </c>
      <c r="T371" s="5" t="inlineStr">
        <is>
          <t>SOURCE-033</t>
        </is>
      </c>
      <c r="U371" s="5" t="inlineStr">
        <is>
          <t>Low</t>
        </is>
      </c>
    </row>
    <row r="372" ht="79" customHeight="1">
      <c r="A372" s="15" t="inlineStr">
        <is>
          <t>PERSON-371</t>
        </is>
      </c>
      <c r="B372" s="5" t="inlineStr">
        <is>
          <t>Pradeep Sharma</t>
        </is>
      </c>
      <c r="C372" s="5" t="inlineStr">
        <is>
          <t>Producer</t>
        </is>
      </c>
      <c r="D372" s="18" t="n"/>
      <c r="E372" s="18" t="n"/>
      <c r="F372" s="5" t="n"/>
      <c r="G372" s="5" t="inlineStr">
        <is>
          <t>Hindi cinema</t>
        </is>
      </c>
      <c r="H372" s="5" t="inlineStr">
        <is>
          <t>A producer credited on one film in this filmography, with no Wikipedia article of his own.</t>
        </is>
      </c>
      <c r="I372" s="5" t="n"/>
      <c r="J372" s="5" t="inlineStr">
        <is>
          <t>With Kapoor: Amiri Garibi (1990).</t>
        </is>
      </c>
      <c r="K372" s="19" t="inlineStr">
        <is>
          <t>Not documented.</t>
        </is>
      </c>
      <c r="L372" s="19" t="inlineStr">
        <is>
          <t>Not documented.</t>
        </is>
      </c>
      <c r="M372" s="5" t="n"/>
      <c r="N372" s="19" t="inlineStr">
        <is>
          <t>Not independently documented.</t>
        </is>
      </c>
      <c r="O372" s="19" t="inlineStr">
        <is>
          <t>One film: Amiri Garibi (1990), directed by Harmesh Malhotra with a Laxmikant–Pyarelal score and Achala Nagar among its writers — one of nine films Kapoor released between 1989 and 1991.</t>
        </is>
      </c>
      <c r="P372" s="17" t="n">
        <v>1</v>
      </c>
      <c r="Q372" s="5" t="inlineStr">
        <is>
          <t>FILM-075</t>
        </is>
      </c>
      <c r="R372" s="5" t="inlineStr">
        <is>
          <t>Amiri Garibi (1990)</t>
        </is>
      </c>
      <c r="S372" s="5" t="inlineStr">
        <is>
          <t>Pradeep Sharma produced Amiri Garibi (1990) and has no documented biography. The film belongs to Harmesh Malhotra's run of five pictures with Kapoor, which had begun with the hit Nagina in 1986 and by 1990 had declined into mid-budget melodrama scored, as almost all of them were, by Laxmikant–Pyarelal. It is one of nine releases in three years, the densest and least documented stretch of the filmography. This row is built from the film's credits alone.</t>
        </is>
      </c>
      <c r="T372" s="5" t="inlineStr">
        <is>
          <t>SOURCE-071</t>
        </is>
      </c>
      <c r="U372" s="5" t="inlineStr">
        <is>
          <t>Low</t>
        </is>
      </c>
    </row>
    <row r="373" ht="79" customHeight="1">
      <c r="A373" s="15" t="inlineStr">
        <is>
          <t>PERSON-372</t>
        </is>
      </c>
      <c r="B373" s="5" t="inlineStr">
        <is>
          <t>Praful Parekh</t>
        </is>
      </c>
      <c r="C373" s="5" t="inlineStr">
        <is>
          <t>Writer</t>
        </is>
      </c>
      <c r="D373" s="18" t="n"/>
      <c r="E373" s="18" t="n"/>
      <c r="F373" s="5" t="n"/>
      <c r="G373" s="5" t="inlineStr">
        <is>
          <t>Hindi cinema</t>
        </is>
      </c>
      <c r="H373" s="5" t="inlineStr">
        <is>
          <t>A writer credited on one film in this filmography, with no Wikipedia article of his own.</t>
        </is>
      </c>
      <c r="I373" s="5" t="n"/>
      <c r="J373" s="5" t="inlineStr">
        <is>
          <t>With Kapoor: Love Ke Chakkar Mein (2006).</t>
        </is>
      </c>
      <c r="K373" s="19" t="inlineStr">
        <is>
          <t>Not documented.</t>
        </is>
      </c>
      <c r="L373" s="19" t="inlineStr">
        <is>
          <t>Not documented; credited alongside Rajeev Kaul and Raghuvir Shekhawat.</t>
        </is>
      </c>
      <c r="M373" s="5" t="n"/>
      <c r="N373" s="19" t="inlineStr">
        <is>
          <t>Not independently documented.</t>
        </is>
      </c>
      <c r="O373" s="19" t="inlineStr">
        <is>
          <t>One film: Love Ke Chakkar Mein (2006), in which Kapoor is top-billed but functionally the antagonist, coercing a younger couple — one of very few unsympathetic leads in his career.</t>
        </is>
      </c>
      <c r="P373" s="17" t="n">
        <v>1</v>
      </c>
      <c r="Q373" s="5" t="inlineStr">
        <is>
          <t>FILM-121</t>
        </is>
      </c>
      <c r="R373" s="5" t="inlineStr">
        <is>
          <t>Love Ke Chakkar Mein (2006)</t>
        </is>
      </c>
      <c r="S373" s="5" t="inlineStr">
        <is>
          <t>Praful Parekh is one of three writers credited on Love Ke Chakkar Mein (2006) and has no documented biography. The film reworks the Indecent Proposal situation with Kapoor as the wealthy man who buys his way into a young marriage — the position he had played from the other side in Karobaar six years earlier. Films like this one, made before Dharma and Yash Raj reframed him, show him experimenting with unpleasant roles well before Agneepath made that turn visible. This row is built from the film's credits alone.</t>
        </is>
      </c>
      <c r="T373" s="5" t="inlineStr">
        <is>
          <t>SOURCE-113</t>
        </is>
      </c>
      <c r="U373" s="5" t="inlineStr">
        <is>
          <t>Low</t>
        </is>
      </c>
    </row>
    <row r="374" ht="124" customHeight="1">
      <c r="A374" s="15" t="inlineStr">
        <is>
          <t>PERSON-373</t>
        </is>
      </c>
      <c r="B374" s="5" t="inlineStr">
        <is>
          <t>Pragati Chitra International</t>
        </is>
      </c>
      <c r="C374" s="5" t="inlineStr">
        <is>
          <t>Production banner</t>
        </is>
      </c>
      <c r="D374" s="18" t="n"/>
      <c r="E374" s="18" t="n"/>
      <c r="F374" s="5" t="n"/>
      <c r="G374" s="5" t="inlineStr">
        <is>
          <t>Hindi cinema</t>
        </is>
      </c>
      <c r="H374" s="5" t="inlineStr">
        <is>
          <t>A production banner credited on one film in this filmography, with no Wikipedia article of its own.</t>
        </is>
      </c>
      <c r="I374" s="5" t="n"/>
      <c r="J374" s="5" t="inlineStr">
        <is>
          <t>With Kapoor: Zehreela Insaan (1974).</t>
        </is>
      </c>
      <c r="K374" s="19" t="inlineStr">
        <is>
          <t>Not documented.</t>
        </is>
      </c>
      <c r="L374" s="19" t="inlineStr">
        <is>
          <t>Not documented.</t>
        </is>
      </c>
      <c r="M374" s="5" t="n"/>
      <c r="N374" s="19" t="inlineStr">
        <is>
          <t>Not independently documented.</t>
        </is>
      </c>
      <c r="O374" s="19" t="inlineStr">
        <is>
          <t>One credit, on Zehreela Insaan (1974) — Kapoor's first film after Bobby, directed by the Kannada filmmaker Puttanna Kanagal with an R. D. Burman score. It was the beginning of both his R. D. Burman association, which ran to twenty films, and of the southern-director pattern that would recur through his career.</t>
        </is>
      </c>
      <c r="P374" s="17" t="n">
        <v>1</v>
      </c>
      <c r="Q374" s="5" t="inlineStr">
        <is>
          <t>FILM-004</t>
        </is>
      </c>
      <c r="R374" s="5" t="inlineStr">
        <is>
          <t>Zehreela Insaan (1974)</t>
        </is>
      </c>
      <c r="S374" s="5" t="inlineStr">
        <is>
          <t>Pragati Chitra International is the banner on Zehreela Insaan (1974) and has no recorded history. The film matters for its position: it was the first Rishi Kapoor released after Bobby had made him a star, and it was directed not by a Bombay filmmaker but by Puttanna Kanagal, one of the most influential figures in Kannada cinema, with an R. D. Burman score. Burman would go on to write twenty of Kapoor's films, the second-largest composing association in this workbook, and southern directors would supply a substantial share of his work from the mid-1980s on. Both patterns start here.</t>
        </is>
      </c>
      <c r="T374" s="5" t="inlineStr">
        <is>
          <t>SOURCE-005</t>
        </is>
      </c>
      <c r="U374" s="5" t="inlineStr">
        <is>
          <t>Low</t>
        </is>
      </c>
    </row>
    <row r="375" ht="94" customHeight="1">
      <c r="A375" s="15" t="inlineStr">
        <is>
          <t>PERSON-374</t>
        </is>
      </c>
      <c r="B375" s="5" t="inlineStr">
        <is>
          <t>Pramod Chakravorty</t>
        </is>
      </c>
      <c r="C375" s="5" t="inlineStr">
        <is>
          <t>Director</t>
        </is>
      </c>
      <c r="D375" s="17" t="n">
        <v>1929</v>
      </c>
      <c r="E375" s="17" t="n">
        <v>2004</v>
      </c>
      <c r="F375" s="5" t="inlineStr">
        <is>
          <t>1955–1998</t>
        </is>
      </c>
      <c r="G375" s="5" t="inlineStr">
        <is>
          <t>Hindi cinema</t>
        </is>
      </c>
      <c r="H375" s="5" t="inlineStr">
        <is>
          <t>Pramod Chakravorty (15 August 1929 – 12 December 2004) was an Indian Hindi-film producer and director, born in Calcutta and working from 1955 to 1998.</t>
        </is>
      </c>
      <c r="I375" s="5" t="inlineStr">
        <is>
          <t>Directing and producing from the mid-1950s.</t>
        </is>
      </c>
      <c r="J375" s="5" t="inlineStr">
        <is>
          <t>With Kapoor: Barood (1976). Elsewhere, a long run of commercial Hindi films across four decades.</t>
        </is>
      </c>
      <c r="K375" s="19" t="inlineStr">
        <is>
          <t>Mainstream action and romance built for a mass audience.</t>
        </is>
      </c>
      <c r="L375" s="19" t="inlineStr">
        <is>
          <t>A commercial producer-director of the old Bombay school, working steadily across four decades.</t>
        </is>
      </c>
      <c r="M375" s="5" t="n"/>
      <c r="N375" s="19" t="inlineStr">
        <is>
          <t>A dependable commercial filmmaker of the 1960s and 1970s, though not substantially documented.</t>
        </is>
      </c>
      <c r="O375" s="19" t="inlineStr">
        <is>
          <t>One film: Barood (1976), from the rush of films that followed Bobby, with a story by Sachin Bhowmick and lyrics by Anand Bakshi. Three producers are credited on it, none of them documented.</t>
        </is>
      </c>
      <c r="P375" s="17" t="n">
        <v>1</v>
      </c>
      <c r="Q375" s="5" t="inlineStr">
        <is>
          <t>FILM-010</t>
        </is>
      </c>
      <c r="R375" s="5" t="inlineStr">
        <is>
          <t>Barood (1976)</t>
        </is>
      </c>
      <c r="S375" s="5" t="inlineStr">
        <is>
          <t>Pramod Chakravorty directed Barood (1976), one of the films that filled Rishi Kapoor's diary in the three years after Bobby. A Calcutta-born producer-director who worked from 1955 to 1998, Chakravorty belonged to the generation of commercial filmmakers who kept the Bombay industry running without ever acquiring an authorial reputation; his article records the span of his career and little else. Barood was written from a Sachin Bhowmick story — Bhowmick supplied the plots of several of Kapoor's early successes — with Anand Bakshi's lyrics, and it left no particular trace.</t>
        </is>
      </c>
      <c r="T375" s="5" t="inlineStr">
        <is>
          <t>SOURCE-352</t>
        </is>
      </c>
      <c r="U375" s="5" t="inlineStr">
        <is>
          <t>Medium</t>
        </is>
      </c>
    </row>
    <row r="376" ht="79" customHeight="1">
      <c r="A376" s="15" t="inlineStr">
        <is>
          <t>PERSON-375</t>
        </is>
      </c>
      <c r="B376" s="5" t="inlineStr">
        <is>
          <t>Pramod Kumar Saraswat</t>
        </is>
      </c>
      <c r="C376" s="5" t="inlineStr">
        <is>
          <t>Producer</t>
        </is>
      </c>
      <c r="D376" s="18" t="n"/>
      <c r="E376" s="18" t="n"/>
      <c r="F376" s="5" t="n"/>
      <c r="G376" s="5" t="inlineStr">
        <is>
          <t>Hindi cinema</t>
        </is>
      </c>
      <c r="H376" s="5" t="inlineStr">
        <is>
          <t>A producer credited on one film in this filmography, with no Wikipedia article of his own.</t>
        </is>
      </c>
      <c r="I376" s="5" t="n"/>
      <c r="J376" s="5" t="inlineStr">
        <is>
          <t>With Kapoor: Akarshan (1988).</t>
        </is>
      </c>
      <c r="K376" s="19" t="inlineStr">
        <is>
          <t>Not documented.</t>
        </is>
      </c>
      <c r="L376" s="19" t="inlineStr">
        <is>
          <t>Not documented.</t>
        </is>
      </c>
      <c r="M376" s="5" t="n"/>
      <c r="N376" s="19" t="inlineStr">
        <is>
          <t>Not independently documented.</t>
        </is>
      </c>
      <c r="O376" s="19" t="inlineStr">
        <is>
          <t>One film: Akarshan (1988), among the most obscure entries in this filmography — a year in which Kapoor had several releases that left almost no critical or commercial record.</t>
        </is>
      </c>
      <c r="P376" s="17" t="n">
        <v>1</v>
      </c>
      <c r="Q376" s="5" t="inlineStr">
        <is>
          <t>FILM-066</t>
        </is>
      </c>
      <c r="R376" s="5" t="inlineStr">
        <is>
          <t>Akarshan (1988)</t>
        </is>
      </c>
      <c r="S376" s="5" t="inlineStr">
        <is>
          <t>Pramod Kumar Saraswat produced Akarshan (1988) and has no documented biography. The film is among the least traceable in this workbook: its composer, Ajit Singh, is equally undocumented, and the picture itself appears in Kapoor's filmography largely as a title and a year. It belongs to the period when he was appearing in three or four films annually, financed by producers who made one picture and disappeared. This row is built from the film's credits alone.</t>
        </is>
      </c>
      <c r="T376" s="5" t="inlineStr">
        <is>
          <t>SOURCE-063</t>
        </is>
      </c>
      <c r="U376" s="5" t="inlineStr">
        <is>
          <t>Low</t>
        </is>
      </c>
    </row>
    <row r="377" ht="109" customHeight="1">
      <c r="A377" s="15" t="inlineStr">
        <is>
          <t>PERSON-376</t>
        </is>
      </c>
      <c r="B377" s="5" t="inlineStr">
        <is>
          <t>Prasad Sashte</t>
        </is>
      </c>
      <c r="C377" s="5" t="inlineStr">
        <is>
          <t>Song composer</t>
        </is>
      </c>
      <c r="D377" s="18" t="n"/>
      <c r="E377" s="18" t="n"/>
      <c r="F377" s="5" t="n"/>
      <c r="G377" s="5" t="inlineStr">
        <is>
          <t>Hindi cinema</t>
        </is>
      </c>
      <c r="H377" s="5" t="inlineStr">
        <is>
          <t>A composer credited on one film in this filmography, with no Wikipedia article of his own.</t>
        </is>
      </c>
      <c r="I377" s="5" t="n"/>
      <c r="J377" s="5" t="inlineStr">
        <is>
          <t>With Kapoor: Mulk (2018).</t>
        </is>
      </c>
      <c r="K377" s="19" t="inlineStr">
        <is>
          <t>Not documented.</t>
        </is>
      </c>
      <c r="L377" s="19" t="inlineStr">
        <is>
          <t>Not documented.</t>
        </is>
      </c>
      <c r="M377" s="5" t="n"/>
      <c r="N377" s="19" t="inlineStr">
        <is>
          <t>Not independently documented.</t>
        </is>
      </c>
      <c r="O377" s="19" t="inlineStr">
        <is>
          <t>One film: Anubhav Sinha's Mulk (2018), in which Kapoor plays Murad Ali Mohammed, the head of a Varanasi Muslim family forced to defend its loyalty in court — the most substantial dramatic role of his last years, in a film whose music is deliberately restrained.</t>
        </is>
      </c>
      <c r="P377" s="17" t="n">
        <v>1</v>
      </c>
      <c r="Q377" s="5" t="inlineStr">
        <is>
          <t>FILM-155</t>
        </is>
      </c>
      <c r="R377" s="5" t="inlineStr">
        <is>
          <t>Mulk (2018)</t>
        </is>
      </c>
      <c r="S377" s="5" t="inlineStr">
        <is>
          <t>Prasad Sashte is credited among the composers of Mulk (2018) and has no documented biography. The film gave Rishi Kapoor the best dramatic part of his late career, and it is one of the few in this workbook where the music is asked to stay out of the way: a courtroom drama about a family's citizenship, scored sparely by Anurag Saikia with additional credits including this one. In a filmography of which thirty-two films were scored by Laxmikant–Pyarelal and where songs usually carried the picture, that restraint is itself notable. This row is built from the film's credits alone.</t>
        </is>
      </c>
      <c r="T377" s="5" t="inlineStr">
        <is>
          <t>SOURCE-148</t>
        </is>
      </c>
      <c r="U377" s="5" t="inlineStr">
        <is>
          <t>Low</t>
        </is>
      </c>
    </row>
    <row r="378" ht="124" customHeight="1">
      <c r="A378" s="15" t="inlineStr">
        <is>
          <t>PERSON-377</t>
        </is>
      </c>
      <c r="B378" s="5" t="inlineStr">
        <is>
          <t>Prasan Kapoor</t>
        </is>
      </c>
      <c r="C378" s="5" t="inlineStr">
        <is>
          <t>Producer</t>
        </is>
      </c>
      <c r="D378" s="18" t="n"/>
      <c r="E378" s="18" t="n"/>
      <c r="F378" s="5" t="n"/>
      <c r="G378" s="5" t="inlineStr">
        <is>
          <t>Hindi cinema</t>
        </is>
      </c>
      <c r="H378" s="5" t="inlineStr">
        <is>
          <t>A producer credited on one film in this filmography, with no Wikipedia article of his own. Nothing in the credits connects him to the Kapoor family of this filmography.</t>
        </is>
      </c>
      <c r="I378" s="5" t="n"/>
      <c r="J378" s="5" t="inlineStr">
        <is>
          <t>With Kapoor: Deedar-E-Yaar (1982).</t>
        </is>
      </c>
      <c r="K378" s="19" t="inlineStr">
        <is>
          <t>Not documented.</t>
        </is>
      </c>
      <c r="L378" s="19" t="inlineStr">
        <is>
          <t>Not documented.</t>
        </is>
      </c>
      <c r="M378" s="5" t="n"/>
      <c r="N378" s="19" t="inlineStr">
        <is>
          <t>Not independently documented.</t>
        </is>
      </c>
      <c r="O378" s="19" t="inlineStr">
        <is>
          <t>One film: H. S. Rawail's Deedar-E-Yaar (1982), the lavish Muslim social presented by Jeetendra under his Tirupati Films banner, with Rekha, Tina Munim and Kapoor. Jeetendra's own article records that it 'failed to live up to the expectations and proved to be a major box office flop with minimal recovery of the investment'.</t>
        </is>
      </c>
      <c r="P378" s="17" t="n">
        <v>1</v>
      </c>
      <c r="Q378" s="5" t="inlineStr">
        <is>
          <t>FILM-038</t>
        </is>
      </c>
      <c r="R378" s="5" t="inlineStr">
        <is>
          <t>Deedar-E-Yaar (1982)</t>
        </is>
      </c>
      <c r="S378" s="5" t="inlineStr">
        <is>
          <t>Prasan Kapoor produced Deedar-E-Yaar (1982), one of the most expensive failures in this filmography, and has no documented biography. The film was H. S. Rawail's attempt at a grand Muslim social in the manner of his own Mere Mehboob, written by Rahi Masoom Raza with Rahul Rawail among the co-writers and presented by the star Jeetendra through his Tirupati Films banner; Jeetendra's article is unusually blunt about the result. The surname is coincidental: nothing in the credits links this producer to the Kapoor family. This row is built from the film's credits alone.</t>
        </is>
      </c>
      <c r="T378" s="5" t="inlineStr">
        <is>
          <t>SOURCE-038</t>
        </is>
      </c>
      <c r="U378" s="5" t="inlineStr">
        <is>
          <t>Low</t>
        </is>
      </c>
    </row>
    <row r="379" ht="184" customHeight="1">
      <c r="A379" s="15" t="inlineStr">
        <is>
          <t>PERSON-378</t>
        </is>
      </c>
      <c r="B379" s="5" t="inlineStr">
        <is>
          <t>Prasoon Joshi</t>
        </is>
      </c>
      <c r="C379" s="5" t="inlineStr">
        <is>
          <t>Writer</t>
        </is>
      </c>
      <c r="D379" s="17" t="n">
        <v>1971</v>
      </c>
      <c r="E379" s="18" t="n"/>
      <c r="F379" s="5" t="inlineStr">
        <is>
          <t>1992–present</t>
        </is>
      </c>
      <c r="G379" s="5" t="inlineStr">
        <is>
          <t>Hindi cinema; Indian advertising</t>
        </is>
      </c>
      <c r="H379" s="5" t="inlineStr">
        <is>
          <t>Prasoon Joshi (born 16 September 1971 in Almora) is an Indian poet, writer, lyricist, screenwriter and advertising executive. He was CEO of McCann Worldgroup India and chairman for the Asia-Pacific region, and served as chairperson of the Central Board of Film Certification. He has won the Filmfare Award for Best Lyricist three times — in 2007, 2008 and again in 2014 for Bhaag Milkha Bhaag — and the National Film Award for Best Lyrics twice, for Taare Zameen Par (2007) and Chittagong (2013). He received a Cannes Lions Gold in 2003 and the Padma Shri in 2015.</t>
        </is>
      </c>
      <c r="I379" s="5" t="inlineStr">
        <is>
          <t>Writing from 1992, in advertising and then film.</t>
        </is>
      </c>
      <c r="J379" s="5" t="inlineStr">
        <is>
          <t>With Kapoor: Delhi-6 (2009) as writer, and the lyrics of 'Chand Sifarish' from Fanaa (2006), for which he won the Filmfare Award for Best Lyricist. Elsewhere, Rang De Basanti, Taare Zameen Par and Bhaag Milkha Bhaag.</t>
        </is>
      </c>
      <c r="K379" s="19" t="inlineStr">
        <is>
          <t>The nation examined through its young people; childhood; language of great economy.</t>
        </is>
      </c>
      <c r="L379" s="19" t="inlineStr">
        <is>
          <t>A poet and advertising man whose film lyrics are unusually plain-spoken, and whose screenwriting shares that directness.</t>
        </is>
      </c>
      <c r="M379" s="5" t="inlineStr">
        <is>
          <t>Three Filmfare Awards for Best Lyricist, two National Film Awards for Best Lyrics, a Cannes Lions Gold and the Padma Shri (2015).</t>
        </is>
      </c>
      <c r="N379" s="19" t="inlineStr">
        <is>
          <t>One of the most honoured lyricists of post-2000 Hindi cinema and, as CBFC chairperson, a figure in India's film-certification debates.</t>
        </is>
      </c>
      <c r="O379" s="19" t="inlineStr">
        <is>
          <t>Two points of contact. He is credited as a writer on Rakeysh Omprakash Mehra's Delhi-6 (2009), in which Kapoor plays a Chandni Chowk elder; and his Filmfare-winning lyric 'Chand Sifarish' comes from Fanaa (2006), in which Kapoor plays the Kashmiri father of Kajol's blind heroine. Both belong to his character-actor phase, and both to films whose authorship lay elsewhere.</t>
        </is>
      </c>
      <c r="P379" s="17" t="n">
        <v>4</v>
      </c>
      <c r="Q379" s="5" t="inlineStr">
        <is>
          <t>FILM-118; FILM-120; FILM-127; FILM-129</t>
        </is>
      </c>
      <c r="R379" s="5" t="inlineStr">
        <is>
          <t>Delhi-6 (2009)</t>
        </is>
      </c>
      <c r="S379" s="5" t="inlineStr">
        <is>
          <t>Prasoon Joshi's work touches this filmography twice, in both cases late. An Almora-born poet who became CEO of McCann India and later chairperson of the Central Board of Film Certification, Joshi is among the most honoured lyricists of his era — three Filmfare Awards, two National Film Awards for Taare Zameen Par and Chittagong, and the Padma Shri. His lyric 'Chand Sifarish', from Fanaa (2006), won the first of those Filmfare awards, and Kapoor appears in that film as the heroine's father; three years later Joshi co-wrote Delhi-6, in which Kapoor is one voice in a Chandni Chowk ensemble pulled apart by religious tension. Neither film is his, and that is the point: by then his presence was a texture in other people's work.</t>
        </is>
      </c>
      <c r="T379" s="5" t="inlineStr">
        <is>
          <t>SOURCE-353</t>
        </is>
      </c>
      <c r="U379" s="5" t="inlineStr">
        <is>
          <t>High</t>
        </is>
      </c>
    </row>
    <row r="380" ht="184" customHeight="1">
      <c r="A380" s="15" t="inlineStr">
        <is>
          <t>PERSON-379</t>
        </is>
      </c>
      <c r="B380" s="5" t="inlineStr">
        <is>
          <t>Pritish Nandy</t>
        </is>
      </c>
      <c r="C380" s="5" t="inlineStr">
        <is>
          <t>Producer</t>
        </is>
      </c>
      <c r="D380" s="17" t="n">
        <v>1951</v>
      </c>
      <c r="E380" s="17" t="n">
        <v>2025</v>
      </c>
      <c r="F380" s="5" t="n"/>
      <c r="G380" s="5" t="inlineStr">
        <is>
          <t>Hindi cinema; Indian journalism and literature</t>
        </is>
      </c>
      <c r="H380" s="5" t="inlineStr">
        <is>
          <t>Pritish Nandy (15 January 1951 – 8 January 2025) was an Indian poet, painter, journalist, politician and maker of film and television content. He was publishing director of The Times of India Group between 1982 and 1991 and edited The Illustrated Weekly of India, The Independent and Filmfare. He was nominated a Poet Laureate by the World Academy of Arts and Culture in 1981, received the Padma Shri in 1977 for his contribution to Indian literature, and served in the Rajya Sabha. His brothers are the scholars Ashis Nandy and Manish Nandy.</t>
        </is>
      </c>
      <c r="I380" s="5" t="inlineStr">
        <is>
          <t>A poet and editor before moving into film and television production.</t>
        </is>
      </c>
      <c r="J380" s="5" t="inlineStr">
        <is>
          <t>With Kapoor: Kuch Khatti Kuch Meethi (2001). Elsewhere, the television and film output of Pritish Nandy Communications.</t>
        </is>
      </c>
      <c r="K380" s="19" t="inlineStr">
        <is>
          <t>Urban, English-speaking India; animal welfare and other causes, pursued in parallel with his media work.</t>
        </is>
      </c>
      <c r="L380" s="19" t="inlineStr">
        <is>
          <t>A writer and editor who built a content company rather than a studio, producing for television and streaming as much as for cinema.</t>
        </is>
      </c>
      <c r="M380" s="5" t="inlineStr">
        <is>
          <t>Padma Shri (1977); named Poet Laureate by the World Academy of Arts and Culture (1981).</t>
        </is>
      </c>
      <c r="N380" s="19" t="inlineStr">
        <is>
          <t>A significant figure in Indian English-language publishing and journalism, and the editor of Filmfare, before becoming a producer.</t>
        </is>
      </c>
      <c r="O380" s="19" t="inlineStr">
        <is>
          <t>One film: Rahul Rawail's Kuch Khatti Kuch Meethi (2001), produced with his daughter Rangita Pritish Nandy, in which Kapoor plays the father of twin daughters raised apart after a divorce. It belongs to the thin years before Hum Tum reopened his career. The connection has an additional irony: Nandy had edited Filmfare, the magazine whose awards punctuate this entire workbook.</t>
        </is>
      </c>
      <c r="P380" s="17" t="n">
        <v>1</v>
      </c>
      <c r="Q380" s="5" t="inlineStr">
        <is>
          <t>FILM-113</t>
        </is>
      </c>
      <c r="R380" s="5" t="inlineStr">
        <is>
          <t>Kuch Khatti Kuch Meethi (2001)</t>
        </is>
      </c>
      <c r="S380" s="5" t="inlineStr">
        <is>
          <t>Pritish Nandy produced one Rishi Kapoor film, and his own life sits oddly beside it. A poet honoured with the Padma Shri at twenty-six and named a Poet Laureate by the World Academy of Arts and Culture, Nandy was publishing director of The Times of India Group for a decade and edited The Illustrated Weekly of India, The Independent and — relevantly for this workbook — Filmfare, whose awards recur on almost every page of it. He later served in the Rajya Sabha and built a content company. Kuch Khatti Kuch Meethi (2001), produced with his daughter Rangita, cast Kapoor as the father of separated twins in a film nobody remembers. He died in January 2025.</t>
        </is>
      </c>
      <c r="T380" s="5" t="inlineStr">
        <is>
          <t>SOURCE-354</t>
        </is>
      </c>
      <c r="U380" s="5" t="inlineStr">
        <is>
          <t>High</t>
        </is>
      </c>
    </row>
    <row r="381" ht="124" customHeight="1">
      <c r="A381" s="15" t="inlineStr">
        <is>
          <t>PERSON-380</t>
        </is>
      </c>
      <c r="B381" s="5" t="inlineStr">
        <is>
          <t>Pushpa Sharma</t>
        </is>
      </c>
      <c r="C381" s="5" t="inlineStr">
        <is>
          <t>Writer</t>
        </is>
      </c>
      <c r="D381" s="18" t="n"/>
      <c r="E381" s="18" t="n"/>
      <c r="F381" s="5" t="n"/>
      <c r="G381" s="5" t="inlineStr">
        <is>
          <t>Hindi cinema</t>
        </is>
      </c>
      <c r="H381" s="5" t="inlineStr">
        <is>
          <t>A writer credited on one film in this filmography, with no Wikipedia article of her own.</t>
        </is>
      </c>
      <c r="I381" s="5" t="n"/>
      <c r="J381" s="5" t="inlineStr">
        <is>
          <t>With Kapoor: Amar Akbar Anthony (1977).</t>
        </is>
      </c>
      <c r="K381" s="19" t="inlineStr">
        <is>
          <t>The masala construction of separated families and coincidence.</t>
        </is>
      </c>
      <c r="L381" s="19" t="inlineStr">
        <is>
          <t>Not documented; she is credited alongside Kader Khan, K. K. Shukla, Jeevanprabha M. Desai and Prayag Raj.</t>
        </is>
      </c>
      <c r="M381" s="5" t="n"/>
      <c r="N381" s="19" t="inlineStr">
        <is>
          <t>Not independently documented, though her one credit is on the biggest commercial success in this filmography.</t>
        </is>
      </c>
      <c r="O381" s="19" t="inlineStr">
        <is>
          <t>One film, and it is the largest hit of Kapoor's career: Manmohan Desai's Amar Akbar Anthony (1977), in which he plays Akbar, the qawwali-singing Muslim brother, alongside Amitabh Bachchan and Vinod Khanna. She is one of two women among its five credited writers, the other being the director's wife Jeevanprabha M. Desai.</t>
        </is>
      </c>
      <c r="P381" s="17" t="n">
        <v>1</v>
      </c>
      <c r="Q381" s="5" t="inlineStr">
        <is>
          <t>FILM-014</t>
        </is>
      </c>
      <c r="R381" s="5" t="inlineStr">
        <is>
          <t>Amar Akbar Anthony (1977)</t>
        </is>
      </c>
      <c r="S381" s="5" t="inlineStr">
        <is>
          <t>Pushpa Sharma is one of five writers credited on Amar Akbar Anthony (1977), the biggest commercial success in this filmography, and has no documented biography. The film — three brothers separated in childhood and raised Hindu, Muslim and Christian, reunited through coincidence — was the definitive masala picture, and Kapoor's Akbar gave him the music and the courtship while Amitabh Bachchan took the comedy. Two of its five writers were women, she and the director's wife Jeevanprabha M. Desai, which is itself unusual for the period; neither has left a record. This row is built from the film's credits alone.</t>
        </is>
      </c>
      <c r="T381" s="5" t="inlineStr">
        <is>
          <t>SOURCE-015</t>
        </is>
      </c>
      <c r="U381" s="5" t="inlineStr">
        <is>
          <t>Low</t>
        </is>
      </c>
    </row>
    <row r="382" ht="139" customHeight="1">
      <c r="A382" s="15" t="inlineStr">
        <is>
          <t>PERSON-381</t>
        </is>
      </c>
      <c r="B382" s="5" t="inlineStr">
        <is>
          <t>Puttanna Kanagal</t>
        </is>
      </c>
      <c r="C382" s="5" t="inlineStr">
        <is>
          <t>Director</t>
        </is>
      </c>
      <c r="D382" s="17" t="n">
        <v>1933</v>
      </c>
      <c r="E382" s="17" t="n">
        <v>1985</v>
      </c>
      <c r="F382" s="5" t="inlineStr">
        <is>
          <t>1957–1985</t>
        </is>
      </c>
      <c r="G382" s="5" t="inlineStr">
        <is>
          <t>Kannada cinema; Hindi cinema</t>
        </is>
      </c>
      <c r="H382" s="5" t="inlineStr">
        <is>
          <t>Shubraveshti Ramaswamiah Seetharama Sharma (1 December 1933 – 5 June 1985), known as S. R. Puttanna Kanagal, was an Indian filmmaker known for his work in Kannada cinema and often counted among Indian cinema's most influential directors. He gave early platforms to a long list of actors including Kalpana, Aarathi, Jayanthi, Srinath, Rajinikanth, Vishnuvardhan and Ambareesh.</t>
        </is>
      </c>
      <c r="I382" s="5" t="inlineStr">
        <is>
          <t>Directing from 1957 in Kannada cinema.</t>
        </is>
      </c>
      <c r="J382" s="5" t="inlineStr">
        <is>
          <t>With Kapoor: Zehreela Insaan (1974). Elsewhere, Bellimoda, Gejje Pooje, Sharapanjara and Nagarahaavu.</t>
        </is>
      </c>
      <c r="K382" s="19" t="inlineStr">
        <is>
          <t>Psychological interiority and social transgression — adultery, prostitution, mental illness — treated seriously within popular cinema.</t>
        </is>
      </c>
      <c r="L382" s="19" t="inlineStr">
        <is>
          <t>Known as 'the visualiser', a director of unusual psychological ambition who worked with novels and with new performers.</t>
        </is>
      </c>
      <c r="M382" s="5" t="n"/>
      <c r="N382" s="19" t="inlineStr">
        <is>
          <t>One of the most influential directors in Kannada cinema and a significant figure in Indian cinema generally.</t>
        </is>
      </c>
      <c r="O382" s="19" t="inlineStr">
        <is>
          <t>One film, and it came at a critical moment: Zehreela Insaan (1974) was the first Rishi Kapoor release after Bobby, with an R. D. Burman score. That the follow-up to the biggest teen romance of the decade was handed to a Kannada director known for psychological seriousness rather than to a Bombay romance specialist is among the more interesting decisions in the early career.</t>
        </is>
      </c>
      <c r="P382" s="17" t="n">
        <v>1</v>
      </c>
      <c r="Q382" s="5" t="inlineStr">
        <is>
          <t>FILM-004</t>
        </is>
      </c>
      <c r="R382" s="5" t="inlineStr">
        <is>
          <t>Zehreela Insaan (1974)</t>
        </is>
      </c>
      <c r="S382" s="5" t="inlineStr">
        <is>
          <t>Puttanna Kanagal directed the film Rishi Kapoor made immediately after Bobby. One of the most influential filmmakers in Kannada cinema — Bellimoda, Gejje Pooje, Sharapanjara, Nagarahaavu — Kanagal was known for taking novels and psychological subjects seriously inside popular cinema, and for launching performers who would dominate the following decades, Rajinikanth and Vishnuvardhan among them. Zehreela Insaan (1974), his Hindi film with Kapoor, carries an R. D. Burman score and began the actor's twenty-film association with that composer. It is the earliest instance in this workbook of a southern director being brought to a Kapoor film, a pattern that would recur for the next twenty years.</t>
        </is>
      </c>
      <c r="T382" s="5" t="inlineStr">
        <is>
          <t>SOURCE-355</t>
        </is>
      </c>
      <c r="U382" s="5" t="inlineStr">
        <is>
          <t>High</t>
        </is>
      </c>
    </row>
    <row r="383" ht="124" customHeight="1">
      <c r="A383" s="15" t="inlineStr">
        <is>
          <t>PERSON-382</t>
        </is>
      </c>
      <c r="B383" s="5" t="inlineStr">
        <is>
          <t>Pyramid Saimira</t>
        </is>
      </c>
      <c r="C383" s="5" t="inlineStr">
        <is>
          <t>Production banner</t>
        </is>
      </c>
      <c r="D383" s="18" t="n"/>
      <c r="E383" s="18" t="n"/>
      <c r="F383" s="5" t="n"/>
      <c r="G383" s="5" t="inlineStr">
        <is>
          <t>Indian cinema; exhibition</t>
        </is>
      </c>
      <c r="H383" s="5" t="inlineStr">
        <is>
          <t>Pyramid Saimira was an Indian multinational entertainment company operating in six countries, with businesses spanning theatre exhibition, film and television production, distribution, soundtrack distribution, hospitality, animation and advertising. Its article describes it as one of the world's fastest-growing entertainment groups before a collapse into debt and closure.</t>
        </is>
      </c>
      <c r="I383" s="5" t="inlineStr">
        <is>
          <t>Expanding rapidly in the mid-2000s before its collapse.</t>
        </is>
      </c>
      <c r="J383" s="5" t="inlineStr">
        <is>
          <t>With Kapoor: Halla Bol (2008). Elsewhere, Tamil film production and a large exhibition chain.</t>
        </is>
      </c>
      <c r="K383" s="19" t="inlineStr">
        <is>
          <t>Vertical integration across exhibition, production and distribution.</t>
        </is>
      </c>
      <c r="L383" s="19" t="inlineStr">
        <is>
          <t>A corporate group rather than a creative house.</t>
        </is>
      </c>
      <c r="M383" s="5" t="n"/>
      <c r="N383" s="19" t="inlineStr">
        <is>
          <t>A cautionary case in Indian film business history: rapid expansion across six countries followed by debt and closure.</t>
        </is>
      </c>
      <c r="O383" s="19" t="inlineStr">
        <is>
          <t>One credit, on Rajkumar Santoshi's Halla Bol (2008), a drama about a film star who witnesses a murder, with Kapoor in support. The company's own failure came soon after, which makes the credit a small record of a business model that did not survive.</t>
        </is>
      </c>
      <c r="P383" s="17" t="n">
        <v>1</v>
      </c>
      <c r="Q383" s="5" t="inlineStr">
        <is>
          <t>FILM-126</t>
        </is>
      </c>
      <c r="R383" s="5" t="inlineStr">
        <is>
          <t>Halla Bol (2008)</t>
        </is>
      </c>
      <c r="S383" s="5" t="inlineStr">
        <is>
          <t>Pyramid Saimira produced Halla Bol (2008), and its own story is the more dramatic one. An Indian entertainment group that expanded across six countries — cinemas, production, distribution, animation, hospitality — it was described as one of the fastest-growing companies in the sector before debt brought it down and it closed. Halla Bol, directed by Rajkumar Santoshi fifteen years after Damini, is about a successful film star who sees a murder and must decide whether to testify; Kapoor appears in support. It is one of the small, issue-minded films he took in the years when the Dharma and Yash Raj work was establishing his second career.</t>
        </is>
      </c>
      <c r="T383" s="5" t="inlineStr">
        <is>
          <t>SOURCE-356</t>
        </is>
      </c>
      <c r="U383" s="5" t="inlineStr">
        <is>
          <t>Medium</t>
        </is>
      </c>
    </row>
    <row r="384" ht="124" customHeight="1">
      <c r="A384" s="15" t="inlineStr">
        <is>
          <t>PERSON-383</t>
        </is>
      </c>
      <c r="B384" s="5" t="inlineStr">
        <is>
          <t>R. C. Kumar</t>
        </is>
      </c>
      <c r="C384" s="5" t="inlineStr">
        <is>
          <t>Producer</t>
        </is>
      </c>
      <c r="D384" s="18" t="n"/>
      <c r="E384" s="18" t="n"/>
      <c r="F384" s="5" t="n"/>
      <c r="G384" s="5" t="inlineStr">
        <is>
          <t>Hindi cinema</t>
        </is>
      </c>
      <c r="H384" s="5" t="inlineStr">
        <is>
          <t>A producer credited on one film in this filmography, with no Wikipedia article of his own.</t>
        </is>
      </c>
      <c r="I384" s="5" t="n"/>
      <c r="J384" s="5" t="inlineStr">
        <is>
          <t>With Kapoor: Tawaif (1985).</t>
        </is>
      </c>
      <c r="K384" s="19" t="inlineStr">
        <is>
          <t>Not documented.</t>
        </is>
      </c>
      <c r="L384" s="19" t="inlineStr">
        <is>
          <t>Not documented.</t>
        </is>
      </c>
      <c r="M384" s="5" t="n"/>
      <c r="N384" s="19" t="inlineStr">
        <is>
          <t>Not independently documented.</t>
        </is>
      </c>
      <c r="O384" s="19" t="inlineStr">
        <is>
          <t>One film, and a substantial one: B. R. Chopra's Tawaif (1985), written chiefly by Rahi Masoom Raza, who won his second Filmfare Award for Best Dialogue for it, in which Kapoor plays a man who shelters a courtesan and comes to love her. It is one of the few films of his middle period that treats love as moral complication.</t>
        </is>
      </c>
      <c r="P384" s="17" t="n">
        <v>1</v>
      </c>
      <c r="Q384" s="5" t="inlineStr">
        <is>
          <t>FILM-050</t>
        </is>
      </c>
      <c r="R384" s="5" t="inlineStr">
        <is>
          <t>Tawaif (1985)</t>
        </is>
      </c>
      <c r="S384" s="5" t="inlineStr">
        <is>
          <t>R. C. Kumar produced Tawaif (1985) and has no documented biography. The film is among the more serious of Rishi Kapoor's middle period: B. R. Chopra, Hindi cinema's foremost maker of social problem films, directing Rahi Masoom Raza's script about a courtesan given shelter in a respectable home and the man who falls in love with her. Raza won his second Filmfare Award for Best Dialogue for it. Four writers are credited, two of them undocumented, and so is the producer — the usual proportion in this workbook. This row is built from the film's credits alone.</t>
        </is>
      </c>
      <c r="T384" s="5" t="inlineStr">
        <is>
          <t>SOURCE-046</t>
        </is>
      </c>
      <c r="U384" s="5" t="inlineStr">
        <is>
          <t>Low</t>
        </is>
      </c>
    </row>
    <row r="385" ht="94" customHeight="1">
      <c r="A385" s="15" t="inlineStr">
        <is>
          <t>PERSON-384</t>
        </is>
      </c>
      <c r="B385" s="5" t="inlineStr">
        <is>
          <t>R. Jhalani</t>
        </is>
      </c>
      <c r="C385" s="5" t="inlineStr">
        <is>
          <t>Director</t>
        </is>
      </c>
      <c r="D385" s="18" t="n"/>
      <c r="E385" s="18" t="n"/>
      <c r="F385" s="5" t="n"/>
      <c r="G385" s="5" t="inlineStr">
        <is>
          <t>Hindi cinema</t>
        </is>
      </c>
      <c r="H385" s="5" t="inlineStr">
        <is>
          <t>A director credited on one film in this filmography, with no Wikipedia article resolved for him in this research.</t>
        </is>
      </c>
      <c r="I385" s="5" t="n"/>
      <c r="J385" s="5" t="inlineStr">
        <is>
          <t>With Kapoor: Badaltey Rishtey (1978).</t>
        </is>
      </c>
      <c r="K385" s="19" t="inlineStr">
        <is>
          <t>The romantic triangle.</t>
        </is>
      </c>
      <c r="L385" s="19" t="inlineStr">
        <is>
          <t>Not documented.</t>
        </is>
      </c>
      <c r="M385" s="5" t="n"/>
      <c r="N385" s="19" t="inlineStr">
        <is>
          <t>Not documented here.</t>
        </is>
      </c>
      <c r="O385" s="19" t="inlineStr">
        <is>
          <t>One film: Badaltey Rishtey (1978), a Laxmikant–Pyarelal-scored triangle from the end of Kapoor's first flush of stardom, with the veteran director Phani Majumdar among its writers.</t>
        </is>
      </c>
      <c r="P385" s="17" t="n">
        <v>1</v>
      </c>
      <c r="Q385" s="5" t="inlineStr">
        <is>
          <t>FILM-022</t>
        </is>
      </c>
      <c r="R385" s="5" t="inlineStr">
        <is>
          <t>Badaltey Rishtey (1978)</t>
        </is>
      </c>
      <c r="S385" s="5" t="inlineStr">
        <is>
          <t>R. Jhalani directed Badaltey Rishtey (1978) and no article for him was resolved in this research. The film is a triangle from the period when Kapoor was five years past Bobby and still being cast almost exclusively as a lover; it was scored by Laxmikant–Pyarelal and written by a group that included Phani Majumdar, whose own directing career had begun in 1938. The disparity recurs across this workbook: films in which one credited name belongs to Indian cinema's history and the rest have vanished. This row is built from the film's credits alone.</t>
        </is>
      </c>
      <c r="T385" s="5" t="inlineStr">
        <is>
          <t>SOURCE-020</t>
        </is>
      </c>
      <c r="U385" s="5" t="inlineStr">
        <is>
          <t>Low</t>
        </is>
      </c>
    </row>
    <row r="386" ht="124" customHeight="1">
      <c r="A386" s="15" t="inlineStr">
        <is>
          <t>PERSON-385</t>
        </is>
      </c>
      <c r="B386" s="5" t="inlineStr">
        <is>
          <t>Raamlaxman</t>
        </is>
      </c>
      <c r="C386" s="5" t="inlineStr">
        <is>
          <t>Song composer</t>
        </is>
      </c>
      <c r="D386" s="18" t="n"/>
      <c r="E386" s="18" t="n"/>
      <c r="F386" s="5" t="inlineStr">
        <is>
          <t>1975–2021</t>
        </is>
      </c>
      <c r="G386" s="5" t="inlineStr">
        <is>
          <t>Hindi cinema; Marathi cinema</t>
        </is>
      </c>
      <c r="H386" s="5" t="inlineStr">
        <is>
          <t>Raamlaxman was an Indian composing duo consisting of Vijay Patil (16 September 1942 – 22 May 2021), who worked under the name Laxman, and Surendra, who died in 1976; Patil continued to compose under the duo's original name. He was a composer, pianist and accordionist, and is best known for his long association with Rajshri Productions.</t>
        </is>
      </c>
      <c r="I386" s="5" t="inlineStr">
        <is>
          <t>Composing from the mid-1970s; the association with Rajshri Productions made the name.</t>
        </is>
      </c>
      <c r="J386" s="5" t="inlineStr">
        <is>
          <t>With Kapoor: Anmol (1993). Elsewhere, Maine Pyar Kiya, Hum Aapke Hain Koun..! and Nadiya Ke Paar.</t>
        </is>
      </c>
      <c r="K386" s="19" t="inlineStr">
        <is>
          <t>Melodic, devotional and wedding-centred songs for the family film.</t>
        </is>
      </c>
      <c r="L386" s="19" t="inlineStr">
        <is>
          <t>Sweet-toned melody written for the conservative family audience, with heavy use of the accordion and piano.</t>
        </is>
      </c>
      <c r="M386" s="5" t="n"/>
      <c r="N386" s="19" t="inlineStr">
        <is>
          <t>The composer of Maine Pyar Kiya and Hum Aapke Hain Koun..!, two of the biggest-selling Hindi soundtracks of their era.</t>
        </is>
      </c>
      <c r="O386" s="19" t="inlineStr">
        <is>
          <t>One film: Anmol (1993), the late Desai-family masala film directed by Ketan Desai with Kapoor opposite Manisha Koirala. The timing is pointed — Raamlaxman had just scored the two largest family-film soundtracks of the era for Rajshri, while this picture, made on the old multi-star formula, failed.</t>
        </is>
      </c>
      <c r="P386" s="17" t="n">
        <v>1</v>
      </c>
      <c r="Q386" s="5" t="inlineStr">
        <is>
          <t>FILM-096</t>
        </is>
      </c>
      <c r="R386" s="5" t="inlineStr">
        <is>
          <t>Anmol (1993)</t>
        </is>
      </c>
      <c r="S386" s="5" t="inlineStr">
        <is>
          <t>Raamlaxman scored one Rishi Kapoor film, at the height of the duo's own commercial power and the end of Kapoor's. The name belonged first to two men — Vijay Patil, working as Laxman, and Surendra, who died in 1976 — after which Patil continued alone under it. His association with Rajshri Productions produced Maine Pyar Kiya and Hum Aapke Hain Koun..!, soundtracks that defined the family film of the late 1980s and 1990s. Anmol (1993) is a different proposition: Ketan Desai attempting the old Desai masala formula with Kapoor and Manisha Koirala, for an audience that had moved on. Patil died in May 2021.</t>
        </is>
      </c>
      <c r="T386" s="5" t="inlineStr">
        <is>
          <t>SOURCE-357</t>
        </is>
      </c>
      <c r="U386" s="5" t="inlineStr">
        <is>
          <t>Medium</t>
        </is>
      </c>
    </row>
    <row r="387" ht="109" customHeight="1">
      <c r="A387" s="15" t="inlineStr">
        <is>
          <t>PERSON-386</t>
        </is>
      </c>
      <c r="B387" s="5" t="inlineStr">
        <is>
          <t>Raftaar</t>
        </is>
      </c>
      <c r="C387" s="5" t="inlineStr">
        <is>
          <t>Song composer</t>
        </is>
      </c>
      <c r="D387" s="17" t="n">
        <v>1988</v>
      </c>
      <c r="E387" s="18" t="n"/>
      <c r="F387" s="5" t="inlineStr">
        <is>
          <t>2008–present</t>
        </is>
      </c>
      <c r="G387" s="5" t="inlineStr">
        <is>
          <t>Indian hip-hop; Hindi cinema</t>
        </is>
      </c>
      <c r="H387" s="5" t="inlineStr">
        <is>
          <t>Dilin Nair (born 16 November 1988 in Trivandrum), known as Raftaar, is an Indian rapper, lyricist, music producer, composer, dancer and television personality associated with Hindi, Punjabi and Haryanvi music.</t>
        </is>
      </c>
      <c r="I387" s="5" t="inlineStr">
        <is>
          <t>Recording from 2008; prominent in Indian hip-hop through the 2010s.</t>
        </is>
      </c>
      <c r="J387" s="5" t="inlineStr">
        <is>
          <t>With Kapoor: Manto (2018), for which he wrote and performed 'Mantoiyat'. Elsewhere, a large catalogue of Hindi and Punjabi hip-hop.</t>
        </is>
      </c>
      <c r="K387" s="19" t="inlineStr">
        <is>
          <t>Hip-hop as argument; verse built on wordplay and social comment.</t>
        </is>
      </c>
      <c r="L387" s="19" t="inlineStr">
        <is>
          <t>A rapper-producer who writes his own verses, working between the independent scene and film commissions.</t>
        </is>
      </c>
      <c r="M387" s="5" t="n"/>
      <c r="N387" s="19" t="inlineStr">
        <is>
          <t>One of the central figures in the rise of Indian hip-hop as a mainstream form.</t>
        </is>
      </c>
      <c r="O387" s="19" t="inlineStr">
        <is>
          <t>One film: Nandita Das's Manto (2018), in which Kapoor has a small role. Raftaar's track 'Mantoiyat' was praised, his article records, for its lyrical content and for bringing conscious hip-hop into Hindi film music — an unusually apt commission for a film about a writer prosecuted for obscenity.</t>
        </is>
      </c>
      <c r="P387" s="17" t="n">
        <v>1</v>
      </c>
      <c r="Q387" s="5" t="inlineStr">
        <is>
          <t>FILM-156</t>
        </is>
      </c>
      <c r="R387" s="5" t="inlineStr">
        <is>
          <t>Manto (2018)</t>
        </is>
      </c>
      <c r="S387" s="5" t="inlineStr">
        <is>
          <t>Raftaar wrote 'Mantoiyat' for Manto (2018), the film in which Rishi Kapoor takes a small part. A Trivandrum-born rapper and producer who became one of the central figures of Indian hip-hop, Raftaar was commissioned for Nandita Das's biographical film about Saadat Hasan Manto — the Urdu short-story writer tried for obscenity in both India and Pakistan — and his article records that the track was praised for its lyrical content and for bringing conscious hip-hop into Hindi film music. The pairing of a rapper's polemic with a film about literary censorship is among the more thoughtful commissions in this workbook, and it sits two years before Kapoor's death.</t>
        </is>
      </c>
      <c r="T387" s="5" t="inlineStr">
        <is>
          <t>SOURCE-358</t>
        </is>
      </c>
      <c r="U387" s="5" t="inlineStr">
        <is>
          <t>High</t>
        </is>
      </c>
    </row>
    <row r="388" ht="139" customHeight="1">
      <c r="A388" s="15" t="inlineStr">
        <is>
          <t>PERSON-387</t>
        </is>
      </c>
      <c r="B388" s="5" t="inlineStr">
        <is>
          <t>Raghu Dixit</t>
        </is>
      </c>
      <c r="C388" s="5" t="inlineStr">
        <is>
          <t>Song composer</t>
        </is>
      </c>
      <c r="D388" s="17" t="n">
        <v>1974</v>
      </c>
      <c r="E388" s="18" t="n"/>
      <c r="F388" s="5" t="inlineStr">
        <is>
          <t>2005–present</t>
        </is>
      </c>
      <c r="G388" s="5" t="inlineStr">
        <is>
          <t>Kannada cinema; Hindi cinema; Indian independent music</t>
        </is>
      </c>
      <c r="H388" s="5" t="inlineStr">
        <is>
          <t>Raghupati Dwarakanath Dixit (born 11 November 1974 in Nasik) is an Indian singer, composer, producer and film score composer, and the frontman of the multilingual folk band The Raghu Dixit Project. He works prominently in Kannada cinema as a soundtrack composer, and his music combines Indian folk forms with other styles. The Raghu Dixit Project won Best Newcomer at the Songlines Music Awards in 2011.</t>
        </is>
      </c>
      <c r="I388" s="5" t="inlineStr">
        <is>
          <t>Recording and composing from 2005.</t>
        </is>
      </c>
      <c r="J388" s="5" t="inlineStr">
        <is>
          <t>With Kapoor: Bewakoofiyaan (2014). Elsewhere, his band's albums and his Kannada film scores.</t>
        </is>
      </c>
      <c r="K388" s="19" t="inlineStr">
        <is>
          <t>Indian folk idioms arranged for a contemporary audience.</t>
        </is>
      </c>
      <c r="L388" s="19" t="inlineStr">
        <is>
          <t>A performer-composer working from the independent music scene into film, with folk instrumentation at the centre.</t>
        </is>
      </c>
      <c r="M388" s="5" t="inlineStr">
        <is>
          <t>Best Newcomer at the Songlines Music Awards (2011) with The Raghu Dixit Project.</t>
        </is>
      </c>
      <c r="N388" s="19" t="inlineStr">
        <is>
          <t>One of the most internationally visible figures in Indian independent music.</t>
        </is>
      </c>
      <c r="O388" s="19" t="inlineStr">
        <is>
          <t>One film: Bewakoofiyaan (2014), the Yash Raj romance about a couple strained by unemployment, directed by Nupur Asthana and written by Habib Faisal, in which Kapoor plays the heroine's father — a bureaucrat whose objection to her boyfriend is frankly economic.</t>
        </is>
      </c>
      <c r="P388" s="17" t="n">
        <v>1</v>
      </c>
      <c r="Q388" s="5" t="inlineStr">
        <is>
          <t>FILM-146</t>
        </is>
      </c>
      <c r="R388" s="5" t="inlineStr">
        <is>
          <t>Bewakoofiyaan (2014)</t>
        </is>
      </c>
      <c r="S388" s="5" t="inlineStr">
        <is>
          <t>Raghu Dixit scored Bewakoofiyaan (2014), one of Rishi Kapoor's late Yash Raj supporting roles. A folk musician from the independent scene — frontman of The Raghu Dixit Project, which won Best Newcomer at the Songlines Awards, and a busy composer in Kannada cinema — Dixit belongs to the generation of musicians who reached Hindi film music from outside it, in the period when soundtracks were being assembled from such commissions. The film, written by Habib Faisal and directed by Nupur Asthana, has Kapoor as a government officer who opposes his daughter's unemployed boyfriend on strictly financial grounds. It is a small, well-observed part of the kind his last decade specialised in.</t>
        </is>
      </c>
      <c r="T388" s="5" t="inlineStr">
        <is>
          <t>SOURCE-359</t>
        </is>
      </c>
      <c r="U388" s="5" t="inlineStr">
        <is>
          <t>High</t>
        </is>
      </c>
    </row>
    <row r="389" ht="109" customHeight="1">
      <c r="A389" s="15" t="inlineStr">
        <is>
          <t>PERSON-388</t>
        </is>
      </c>
      <c r="B389" s="5" t="inlineStr">
        <is>
          <t>Raghuvir Shekhawat</t>
        </is>
      </c>
      <c r="C389" s="5" t="inlineStr">
        <is>
          <t>Writer</t>
        </is>
      </c>
      <c r="D389" s="18" t="n"/>
      <c r="E389" s="18" t="n"/>
      <c r="F389" s="5" t="n"/>
      <c r="G389" s="5" t="inlineStr">
        <is>
          <t>Hindi cinema</t>
        </is>
      </c>
      <c r="H389" s="5" t="inlineStr">
        <is>
          <t>A writer credited on one film in this filmography, with no Wikipedia article of his own.</t>
        </is>
      </c>
      <c r="I389" s="5" t="n"/>
      <c r="J389" s="5" t="inlineStr">
        <is>
          <t>With Kapoor: Love Ke Chakkar Mein (2006).</t>
        </is>
      </c>
      <c r="K389" s="19" t="inlineStr">
        <is>
          <t>Not documented.</t>
        </is>
      </c>
      <c r="L389" s="19" t="inlineStr">
        <is>
          <t>Not documented; credited alongside Rajeev Kaul and Praful Parekh.</t>
        </is>
      </c>
      <c r="M389" s="5" t="n"/>
      <c r="N389" s="19" t="inlineStr">
        <is>
          <t>Not independently documented.</t>
        </is>
      </c>
      <c r="O389" s="19" t="inlineStr">
        <is>
          <t>One film: Love Ke Chakkar Mein (2006), in which Kapoor is top-billed but functionally the antagonist, coercing a younger couple — one of very few unsympathetic leads of his career, and one he took six years after Karobaar had used the same premise with him on the other side of it.</t>
        </is>
      </c>
      <c r="P389" s="17" t="n">
        <v>1</v>
      </c>
      <c r="Q389" s="5" t="inlineStr">
        <is>
          <t>FILM-121</t>
        </is>
      </c>
      <c r="R389" s="5" t="inlineStr">
        <is>
          <t>Love Ke Chakkar Mein (2006)</t>
        </is>
      </c>
      <c r="S389" s="5" t="inlineStr">
        <is>
          <t>Raghuvir Shekhawat is one of three writers credited on Love Ke Chakkar Mein (2006) and has no documented biography. The film is a reworking of the Indecent Proposal situation, with Kapoor as the rich man who buys his way into a young marriage. Its interest for this workbook lies in the role rather than the film: in the years before Dharma and Yash Raj reframed him as a benign elder, he was already taking parts that traded on his accumulated goodwill in order to unsettle it — a line that runs to Agneepath and D-Day. This row is built from the film's credits alone.</t>
        </is>
      </c>
      <c r="T389" s="5" t="inlineStr">
        <is>
          <t>SOURCE-113</t>
        </is>
      </c>
      <c r="U389" s="5" t="inlineStr">
        <is>
          <t>Low</t>
        </is>
      </c>
    </row>
    <row r="390" ht="109" customHeight="1">
      <c r="A390" s="15" t="inlineStr">
        <is>
          <t>PERSON-389</t>
        </is>
      </c>
      <c r="B390" s="5" t="inlineStr">
        <is>
          <t>Rahil Qazi</t>
        </is>
      </c>
      <c r="C390" s="5" t="inlineStr">
        <is>
          <t>Writer</t>
        </is>
      </c>
      <c r="D390" s="18" t="n"/>
      <c r="E390" s="18" t="n"/>
      <c r="F390" s="5" t="n"/>
      <c r="G390" s="5" t="inlineStr">
        <is>
          <t>Hindi cinema</t>
        </is>
      </c>
      <c r="H390" s="5" t="inlineStr">
        <is>
          <t>A writer credited on one film in this filmography, with no Wikipedia article of his own.</t>
        </is>
      </c>
      <c r="I390" s="5" t="n"/>
      <c r="J390" s="5" t="inlineStr">
        <is>
          <t>With Kapoor: Do Dooni Chaar (2010).</t>
        </is>
      </c>
      <c r="K390" s="19" t="inlineStr">
        <is>
          <t>The lower-middle-class household and its economics.</t>
        </is>
      </c>
      <c r="L390" s="19" t="inlineStr">
        <is>
          <t>Not documented; he is credited alongside the film's director Habib Faisal.</t>
        </is>
      </c>
      <c r="M390" s="5" t="n"/>
      <c r="N390" s="19" t="inlineStr">
        <is>
          <t>Not independently documented.</t>
        </is>
      </c>
      <c r="O390" s="19" t="inlineStr">
        <is>
          <t>One film, and it is the hinge of the late career: Do Dooni Chaar (2010), in which Kapoor and Neetu Singh play a Delhi schoolteacher and his wife saving for a car. It won Kapoor the Filmfare Critics Award for Best Actor and is routinely treated as the start of his character-actor phase.</t>
        </is>
      </c>
      <c r="P390" s="17" t="n">
        <v>1</v>
      </c>
      <c r="Q390" s="5" t="inlineStr">
        <is>
          <t>FILM-134</t>
        </is>
      </c>
      <c r="R390" s="5" t="inlineStr">
        <is>
          <t>Do Dooni Chaar (2010)</t>
        </is>
      </c>
      <c r="S390" s="5" t="inlineStr">
        <is>
          <t>Rahil Qazi is credited as a writer on Do Dooni Chaar (2010) and has no documented biography — which is worth recording, because the film reset Rishi Kapoor's career. Habib Faisal's directorial debut is a small, closely observed comedy about a Delhi mathematics teacher, his wife and their ambition to replace a scooter with a car; casting Kapoor opposite Neetu Singh, his wife and his co-star from a dozen 1970s films, gave it its warmth and him the Filmfare Critics Award for Best Actor. After thirty years of diminishing melodrama, an unglamorous part in a modest film is what restored him. This row is built from the film's credits alone.</t>
        </is>
      </c>
      <c r="T390" s="5" t="inlineStr">
        <is>
          <t>SOURCE-126</t>
        </is>
      </c>
      <c r="U390" s="5" t="inlineStr">
        <is>
          <t>Low</t>
        </is>
      </c>
    </row>
    <row r="391" ht="109" customHeight="1">
      <c r="A391" s="15" t="inlineStr">
        <is>
          <t>PERSON-390</t>
        </is>
      </c>
      <c r="B391" s="5" t="inlineStr">
        <is>
          <t>Rahul Jain</t>
        </is>
      </c>
      <c r="C391" s="5" t="inlineStr">
        <is>
          <t>Song composer</t>
        </is>
      </c>
      <c r="D391" s="18" t="n"/>
      <c r="E391" s="18" t="n"/>
      <c r="F391" s="5" t="n"/>
      <c r="G391" s="5" t="inlineStr">
        <is>
          <t>Hindi cinema</t>
        </is>
      </c>
      <c r="H391" s="5" t="inlineStr">
        <is>
          <t>Rahul Jain is an Indian singer, music composer and lyricist. He made his Hindi-film debut with the song 'Teri Yaad' in Fever (2016) and has composed more than 250 tracks. He was nominated for the Mirchi Music Award for Upcoming Male Vocalist of the Year at the 11th Mirchi Music Awards for 'Aanewale Kal' from 1921 (2018).</t>
        </is>
      </c>
      <c r="I391" s="5" t="inlineStr">
        <is>
          <t>Hindi-film debut with 'Teri Yaad' in Fever (2016).</t>
        </is>
      </c>
      <c r="J391" s="5" t="inlineStr">
        <is>
          <t>With Kapoor: Jhootha Kahin Ka (2019). Elsewhere, 'Teri Yaad' and 'Aanewale Kal'.</t>
        </is>
      </c>
      <c r="K391" s="19" t="inlineStr">
        <is>
          <t>The romantic single commissioned for a film rather than written as part of a score.</t>
        </is>
      </c>
      <c r="L391" s="19" t="inlineStr">
        <is>
          <t>A singer-composer working one song at a time in the fragmented soundtrack economy of the late 2010s.</t>
        </is>
      </c>
      <c r="M391" s="5" t="inlineStr">
        <is>
          <t>Mirchi Music Award nomination for Upcoming Male Vocalist of the Year.</t>
        </is>
      </c>
      <c r="N391" s="19" t="inlineStr">
        <is>
          <t>Representative of the song-by-song commissioning model that replaced the single-composer soundtrack.</t>
        </is>
      </c>
      <c r="O391" s="19" t="inlineStr">
        <is>
          <t>One film: Jhootha Kahin Ka (2019), on which six composers or groups are credited — the extreme case of soundtrack fragmentation in this workbook, and the opposite of the arrangement under which Laxmikant–Pyarelal wrote every song in thirty-two Kapoor films. It was among his last releases.</t>
        </is>
      </c>
      <c r="P391" s="17" t="n">
        <v>1</v>
      </c>
      <c r="Q391" s="5" t="inlineStr">
        <is>
          <t>FILM-158</t>
        </is>
      </c>
      <c r="R391" s="5" t="inlineStr">
        <is>
          <t>Jhootha Kahin Ka (2019)</t>
        </is>
      </c>
      <c r="S391" s="5" t="inlineStr">
        <is>
          <t>Rahul Jain is one of six composing credits on Jhootha Kahin Ka (2019), among Rishi Kapoor's last releases. A singer-composer who debuted with 'Teri Yaad' in Fever (2016) and claims more than 250 tracks, Jain belongs entirely to the commissioning model that replaced the film soundtrack: a producer buys one song from one artist, and the album is assembled from six such transactions. The contrast with the start of this filmography is the clearest single measure of how the industry changed around Kapoor — Bobby's songs came from one duo who went on to score thirty-two of his films; his penultimate release divided its music among six parties, most of them undocumented.</t>
        </is>
      </c>
      <c r="T391" s="5" t="inlineStr">
        <is>
          <t>SOURCE-360</t>
        </is>
      </c>
      <c r="U391" s="5" t="inlineStr">
        <is>
          <t>Medium</t>
        </is>
      </c>
    </row>
    <row r="392" ht="94" customHeight="1">
      <c r="A392" s="15" t="inlineStr">
        <is>
          <t>PERSON-391</t>
        </is>
      </c>
      <c r="B392" s="5" t="inlineStr">
        <is>
          <t>Raj Bharti</t>
        </is>
      </c>
      <c r="C392" s="5" t="inlineStr">
        <is>
          <t>Writer</t>
        </is>
      </c>
      <c r="D392" s="18" t="n"/>
      <c r="E392" s="18" t="n"/>
      <c r="F392" s="5" t="n"/>
      <c r="G392" s="5" t="inlineStr">
        <is>
          <t>Hindi cinema</t>
        </is>
      </c>
      <c r="H392" s="5" t="inlineStr">
        <is>
          <t>A writer credited on one film in this filmography, with no Wikipedia article of his own.</t>
        </is>
      </c>
      <c r="I392" s="5" t="n"/>
      <c r="J392" s="5" t="inlineStr">
        <is>
          <t>With Kapoor: Do Premee (1980).</t>
        </is>
      </c>
      <c r="K392" s="19" t="inlineStr">
        <is>
          <t>Not documented.</t>
        </is>
      </c>
      <c r="L392" s="19" t="inlineStr">
        <is>
          <t>Not documented; credited alongside the novelist Gulshan Nanda.</t>
        </is>
      </c>
      <c r="M392" s="5" t="n"/>
      <c r="N392" s="19" t="inlineStr">
        <is>
          <t>Not independently documented.</t>
        </is>
      </c>
      <c r="O392" s="19" t="inlineStr">
        <is>
          <t>One film: Do Premee (1980), a Laxmikant–Pyarelal-scored romance written with Gulshan Nanda, the most widely read Hindi popular novelist of his generation, and among the last of Kapoor's romances built on that older melodramatic model.</t>
        </is>
      </c>
      <c r="P392" s="17" t="n">
        <v>1</v>
      </c>
      <c r="Q392" s="5" t="inlineStr">
        <is>
          <t>FILM-028</t>
        </is>
      </c>
      <c r="R392" s="5" t="inlineStr">
        <is>
          <t>Do Premee (1980)</t>
        </is>
      </c>
      <c r="S392" s="5" t="inlineStr">
        <is>
          <t>Raj Bharti is credited as a writer on Do Premee (1980) and has no documented biography. The film belongs to the turn of the 1980s, with a Laxmikant–Pyarelal score and a story shared with Gulshan Nanda, whose novels had supplied a dozen hits in the preceding decades and who died in 1985. It is one of the last Kapoor romances constructed on the pre-1980s melodramatic template of concealment and thwarted love, before the market moved to action and, later, to a younger generation of romantic leads. This row is built from the film's credits alone.</t>
        </is>
      </c>
      <c r="T392" s="5" t="inlineStr">
        <is>
          <t>SOURCE-028</t>
        </is>
      </c>
      <c r="U392" s="5" t="inlineStr">
        <is>
          <t>Low</t>
        </is>
      </c>
    </row>
    <row r="393" ht="184" customHeight="1">
      <c r="A393" s="15" t="inlineStr">
        <is>
          <t>PERSON-392</t>
        </is>
      </c>
      <c r="B393" s="5" t="inlineStr">
        <is>
          <t>Raj Khosla</t>
        </is>
      </c>
      <c r="C393" s="5" t="inlineStr">
        <is>
          <t>Director</t>
        </is>
      </c>
      <c r="D393" s="17" t="n">
        <v>1925</v>
      </c>
      <c r="E393" s="17" t="n">
        <v>1991</v>
      </c>
      <c r="F393" s="5" t="inlineStr">
        <is>
          <t>1949–1989</t>
        </is>
      </c>
      <c r="G393" s="5" t="inlineStr">
        <is>
          <t>Hindi cinema</t>
        </is>
      </c>
      <c r="H393" s="5" t="inlineStr">
        <is>
          <t>Raj Khosla, born Desraj Khosla (31 May 1925 – 9 June 1991), was among the leading directors, producers and screenwriters of Hindi cinema from the 1950s to the 1980s. His article credits him with bringing neo-noir style into Indian cinema and calls him a women's director for the way he showcased actresses: Woh Kaun Thi (1964) gave Sadhana her signature role as the mystery girl and Do Badan (1966) made Asha Parekh a serious actress and won Simi Garewal a Filmfare Award. Main Tulsi Tere Aangan Ki (1978) won the Filmfare Award for Best Film.</t>
        </is>
      </c>
      <c r="I393" s="5" t="inlineStr">
        <is>
          <t>Working from 1949; his breakthrough came with the thrillers of the early 1960s.</t>
        </is>
      </c>
      <c r="J393" s="5" t="inlineStr">
        <is>
          <t>With Kapoor: Do Premee (1980). Elsewhere, Woh Kaun Thi, Mera Saaya, Do Badan, Mera Gaon Mera Desh, Main Tulsi Tere Aangan Ki and Dostana.</t>
        </is>
      </c>
      <c r="K393" s="19" t="inlineStr">
        <is>
          <t>The mystery woman and the noir-inflected thriller; the actress as the film's centre; the village revenge drama.</t>
        </is>
      </c>
      <c r="L393" s="19" t="inlineStr">
        <is>
          <t>Style-conscious direction with a strong visual signature and an unusual attentiveness to his leading women.</t>
        </is>
      </c>
      <c r="M393" s="5" t="inlineStr">
        <is>
          <t>Main Tulsi Tere Aangan Ki won the Filmfare Award for Best Film; several of his films brought awards to their actresses.</t>
        </is>
      </c>
      <c r="N393" s="19" t="inlineStr">
        <is>
          <t>One of the most stylish commercial directors of Hindi cinema and the filmmaker most responsible for its neo-noir strain.</t>
        </is>
      </c>
      <c r="O393" s="19" t="inlineStr">
        <is>
          <t>One film, and late in Khosla's career: Do Premee (1980), a Laxmikant–Pyarelal-scored romance written with the novelist Gulshan Nanda. The indirect link is sharper — Khosla's Main Tulsi Tere Aangan Ki (1978) won Rahi Masoom Raza the first of his three Filmfare dialogue awards, and Raza went on to write six Kapoor films in the 1980s.</t>
        </is>
      </c>
      <c r="P393" s="17" t="n">
        <v>1</v>
      </c>
      <c r="Q393" s="5" t="inlineStr">
        <is>
          <t>FILM-028</t>
        </is>
      </c>
      <c r="R393" s="5" t="inlineStr">
        <is>
          <t>Do Premee (1980)</t>
        </is>
      </c>
      <c r="S393" s="5" t="inlineStr">
        <is>
          <t>Raj Khosla directed one Rishi Kapoor film, in the last decade of a career that had shaped Hindi cinema's visual style. A director from 1949 whose thrillers — Woh Kaun Thi, Mera Saaya, Do Badan — brought a neo-noir manner into Indian film and who was known for building films around his actresses, Khosla also made Main Tulsi Tere Aangan Ki, a Filmfare Best Film winner. Do Premee (1980), his film with Kapoor, is a romance from a Gulshan Nanda story with a Laxmikant–Pyarelal score, and it is a minor entry for both men. The more consequential connection runs through Main Tulsi Tere Aangan Ki, which won Rahi Masoom Raza the dialogue award that preceded his six films with Kapoor.</t>
        </is>
      </c>
      <c r="T393" s="5" t="inlineStr">
        <is>
          <t>SOURCE-365</t>
        </is>
      </c>
      <c r="U393" s="5" t="inlineStr">
        <is>
          <t>High</t>
        </is>
      </c>
    </row>
    <row r="394" ht="109" customHeight="1">
      <c r="A394" s="15" t="inlineStr">
        <is>
          <t>PERSON-393</t>
        </is>
      </c>
      <c r="B394" s="5" t="inlineStr">
        <is>
          <t>Raj N. Sippy</t>
        </is>
      </c>
      <c r="C394" s="5" t="inlineStr">
        <is>
          <t>Director</t>
        </is>
      </c>
      <c r="D394" s="17" t="n">
        <v>1948</v>
      </c>
      <c r="E394" s="18" t="n"/>
      <c r="F394" s="5" t="inlineStr">
        <is>
          <t>1978–2010</t>
        </is>
      </c>
      <c r="G394" s="5" t="inlineStr">
        <is>
          <t>Hindi cinema</t>
        </is>
      </c>
      <c r="H394" s="5" t="inlineStr">
        <is>
          <t>Raj N. Sippy (born 6 March 1948 in Bombay), also known as Raj Sippy, is an Indian film director and producer who was prominent in the 1980s with Inkaar, Satyamev Jayate and Mahaadev with Vinod Khanna, Satte Pe Satta with Amitabh Bachchan, and Boxer and Baazi with Mithun Chakraborty.</t>
        </is>
      </c>
      <c r="I394" s="5" t="inlineStr">
        <is>
          <t>Directing from 1978.</t>
        </is>
      </c>
      <c r="J394" s="5" t="inlineStr">
        <is>
          <t>With Kapoor: Sitamgar (1985). Elsewhere, Satte Pe Satta, Inkaar and Satyamev Jayate.</t>
        </is>
      </c>
      <c r="K394" s="19" t="inlineStr">
        <is>
          <t>The action thriller and the vigilante drama of the 1980s.</t>
        </is>
      </c>
      <c r="L394" s="19" t="inlineStr">
        <is>
          <t>A commercial director of star-led action, working mainly with Vinod Khanna, Amitabh Bachchan and Mithun Chakraborty.</t>
        </is>
      </c>
      <c r="M394" s="5" t="n"/>
      <c r="N394" s="19" t="inlineStr">
        <is>
          <t>A dependable director of 1980s Hindi action cinema, remembered particularly for Satte Pe Satta.</t>
        </is>
      </c>
      <c r="O394" s="19" t="inlineStr">
        <is>
          <t>One film: Sitamgar (1985), an R. D. Burman-scored picture written in part by Humayun Mirza, from the year in which Kapoor released five films that left little trace. Sippy's reputation rests on action vehicles for other stars, which makes this a marginal credit in both careers.</t>
        </is>
      </c>
      <c r="P394" s="17" t="n">
        <v>1</v>
      </c>
      <c r="Q394" s="5" t="inlineStr">
        <is>
          <t>FILM-048</t>
        </is>
      </c>
      <c r="R394" s="5" t="inlineStr">
        <is>
          <t>Sitamgar (1985)</t>
        </is>
      </c>
      <c r="S394" s="5" t="inlineStr">
        <is>
          <t>Raj N. Sippy directed one Rishi Kapoor film, and it sits at the edge of both filmographies. Sippy's 1980s were built on action and vigilante pictures for Vinod Khanna, Amitabh Bachchan and Mithun Chakraborty — Satte Pe Satta, Inkaar, Satyamev Jayate, Boxer — a register in which Kapoor's romantic persona had no obvious place. Sitamgar (1985), with an R. D. Burman score, came in the weakest year of Kapoor's lead career, when five of his films were released and none registered. The Sippy name recurs in this workbook through G. P. Sippy and Ramesh Sippy, the producer and director of Saagar, though no source consulted here connects them to him.</t>
        </is>
      </c>
      <c r="T394" s="5" t="inlineStr">
        <is>
          <t>SOURCE-366</t>
        </is>
      </c>
      <c r="U394" s="5" t="inlineStr">
        <is>
          <t>Medium</t>
        </is>
      </c>
    </row>
    <row r="395" ht="79" customHeight="1">
      <c r="A395" s="15" t="inlineStr">
        <is>
          <t>PERSON-394</t>
        </is>
      </c>
      <c r="B395" s="5" t="inlineStr">
        <is>
          <t>Raj Sun Films</t>
        </is>
      </c>
      <c r="C395" s="5" t="inlineStr">
        <is>
          <t>Production banner</t>
        </is>
      </c>
      <c r="D395" s="18" t="n"/>
      <c r="E395" s="18" t="n"/>
      <c r="F395" s="5" t="n"/>
      <c r="G395" s="5" t="inlineStr">
        <is>
          <t>Hindi cinema</t>
        </is>
      </c>
      <c r="H395" s="5" t="inlineStr">
        <is>
          <t>A production banner credited on one film in this filmography, with no Wikipedia article of its own.</t>
        </is>
      </c>
      <c r="I395" s="5" t="n"/>
      <c r="J395" s="5" t="inlineStr">
        <is>
          <t>With Kapoor: Ghar Ki Izzat (1994).</t>
        </is>
      </c>
      <c r="K395" s="19" t="inlineStr">
        <is>
          <t>The household melodrama.</t>
        </is>
      </c>
      <c r="L395" s="19" t="inlineStr">
        <is>
          <t>Not documented.</t>
        </is>
      </c>
      <c r="M395" s="5" t="n"/>
      <c r="N395" s="19" t="inlineStr">
        <is>
          <t>Not independently documented.</t>
        </is>
      </c>
      <c r="O395" s="19" t="inlineStr">
        <is>
          <t>One credit, on Ghar Ki Izzat (1994), the last of Kalpataru's five family melodramas with Kapoor, written with Kader Khan and Keshav Rathod.</t>
        </is>
      </c>
      <c r="P395" s="17" t="n">
        <v>1</v>
      </c>
      <c r="Q395" s="5" t="inlineStr">
        <is>
          <t>FILM-103</t>
        </is>
      </c>
      <c r="R395" s="5" t="inlineStr">
        <is>
          <t>Ghar Ki Izzat (1994)</t>
        </is>
      </c>
      <c r="S395" s="5" t="inlineStr">
        <is>
          <t>Raj Sun Films is the banner on Ghar Ki Izzat (1994) and has no recorded history. The film closes the run of five household melodramas Kalpataru directed with Kapoor between 1988 and 1994, all named for the family rather than any romance, most written with Kader Khan, and reviewed essentially nowhere. Taken together they are the clearest evidence of what his lead career had become by the early 1990s, and almost none of the companies that financed them left a trace. This row is built from the film's credits alone.</t>
        </is>
      </c>
      <c r="T395" s="5" t="inlineStr">
        <is>
          <t>SOURCE-096</t>
        </is>
      </c>
      <c r="U395" s="5" t="inlineStr">
        <is>
          <t>Low</t>
        </is>
      </c>
    </row>
    <row r="396" ht="94" customHeight="1">
      <c r="A396" s="15" t="inlineStr">
        <is>
          <t>PERSON-395</t>
        </is>
      </c>
      <c r="B396" s="5" t="inlineStr">
        <is>
          <t>Rajeev Barnwal</t>
        </is>
      </c>
      <c r="C396" s="5" t="inlineStr">
        <is>
          <t>Writer</t>
        </is>
      </c>
      <c r="D396" s="18" t="n"/>
      <c r="E396" s="18" t="n"/>
      <c r="F396" s="5" t="n"/>
      <c r="G396" s="5" t="inlineStr">
        <is>
          <t>Hindi cinema</t>
        </is>
      </c>
      <c r="H396" s="5" t="inlineStr">
        <is>
          <t>A writer credited on one film in this filmography, with no Wikipedia article of his own.</t>
        </is>
      </c>
      <c r="I396" s="5" t="n"/>
      <c r="J396" s="5" t="inlineStr">
        <is>
          <t>With Kapoor: Besharam (2013).</t>
        </is>
      </c>
      <c r="K396" s="19" t="inlineStr">
        <is>
          <t>Not documented.</t>
        </is>
      </c>
      <c r="L396" s="19" t="inlineStr">
        <is>
          <t>Not documented.</t>
        </is>
      </c>
      <c r="M396" s="5" t="n"/>
      <c r="N396" s="19" t="inlineStr">
        <is>
          <t>Not independently documented.</t>
        </is>
      </c>
      <c r="O396" s="19" t="inlineStr">
        <is>
          <t>One film: Besharam (2013), Abhinav Kashyap's comedy and the only film in which Rishi Kapoor, his wife Neetu Singh and their son Ranbir Kapoor all appear — the parents as police officers, the son as the title character.</t>
        </is>
      </c>
      <c r="P396" s="17" t="n">
        <v>1</v>
      </c>
      <c r="Q396" s="5" t="inlineStr">
        <is>
          <t>FILM-145</t>
        </is>
      </c>
      <c r="R396" s="5" t="inlineStr">
        <is>
          <t>Besharam (2013)</t>
        </is>
      </c>
      <c r="S396" s="5" t="inlineStr">
        <is>
          <t>Rajeev Barnwal is credited as a writer on Besharam (2013) and has no documented biography. The film matters as a family record rather than as work: Abhinav Kashyap's follow-up to Dabangg cast Ranbir Kapoor as a cheerful car thief with both his parents as the police officers pursuing him — Rishi Kapoor and Neetu Singh, who had been paired as romantic leads a dozen times in the 1970s. It is the only film in which all three appear, and it failed on both counts. This row is built from the film's credits alone.</t>
        </is>
      </c>
      <c r="T396" s="5" t="inlineStr">
        <is>
          <t>SOURCE-137</t>
        </is>
      </c>
      <c r="U396" s="5" t="inlineStr">
        <is>
          <t>Low</t>
        </is>
      </c>
    </row>
    <row r="397" ht="94" customHeight="1">
      <c r="A397" s="15" t="inlineStr">
        <is>
          <t>PERSON-396</t>
        </is>
      </c>
      <c r="B397" s="5" t="inlineStr">
        <is>
          <t>Rajeev Jhaveri</t>
        </is>
      </c>
      <c r="C397" s="5" t="inlineStr">
        <is>
          <t>Writer</t>
        </is>
      </c>
      <c r="D397" s="18" t="n"/>
      <c r="E397" s="18" t="n"/>
      <c r="F397" s="5" t="n"/>
      <c r="G397" s="5" t="inlineStr">
        <is>
          <t>Hindi cinema</t>
        </is>
      </c>
      <c r="H397" s="5" t="inlineStr">
        <is>
          <t>A writer credited on one film in this filmography, with no Wikipedia article of his own.</t>
        </is>
      </c>
      <c r="I397" s="5" t="n"/>
      <c r="J397" s="5" t="inlineStr">
        <is>
          <t>With Kapoor: Kucch To Hai (2003).</t>
        </is>
      </c>
      <c r="K397" s="19" t="inlineStr">
        <is>
          <t>Not documented.</t>
        </is>
      </c>
      <c r="L397" s="19" t="inlineStr">
        <is>
          <t>Not documented.</t>
        </is>
      </c>
      <c r="M397" s="5" t="n"/>
      <c r="N397" s="19" t="inlineStr">
        <is>
          <t>Not independently documented.</t>
        </is>
      </c>
      <c r="O397" s="19" t="inlineStr">
        <is>
          <t>One film: Kucch To Hai (2003), the Balaji Motion Pictures horror-slasher credited to two directors — Anurag Basu, whose article calls it his debut, and Anil V. Kumar — with Kapoor in support during the quietest stretch of his career.</t>
        </is>
      </c>
      <c r="P397" s="17" t="n">
        <v>1</v>
      </c>
      <c r="Q397" s="5" t="inlineStr">
        <is>
          <t>FILM-115</t>
        </is>
      </c>
      <c r="R397" s="5" t="inlineStr">
        <is>
          <t>Kucch To Hai (2003)</t>
        </is>
      </c>
      <c r="S397" s="5" t="inlineStr">
        <is>
          <t>Rajeev Jhaveri is credited as a writer on Kucch To Hai (2003) and has no documented biography. The film belongs to Balaji Telefilms' early move from television into cinema under Ekta Kapoor, and is the directorial debut Anurag Basu's own article claims, though Anil V. Kumar shares the credit. Rishi Kapoor appears in a supporting role, in the four-year interval between the end of his leading career and Hum Tum. Four writers are credited on the film, none of them documented. This row is built from the film's credits alone.</t>
        </is>
      </c>
      <c r="T397" s="5" t="inlineStr">
        <is>
          <t>SOURCE-107</t>
        </is>
      </c>
      <c r="U397" s="5" t="inlineStr">
        <is>
          <t>Low</t>
        </is>
      </c>
    </row>
    <row r="398" ht="94" customHeight="1">
      <c r="A398" s="15" t="inlineStr">
        <is>
          <t>PERSON-397</t>
        </is>
      </c>
      <c r="B398" s="5" t="inlineStr">
        <is>
          <t>Rajeev Kaul</t>
        </is>
      </c>
      <c r="C398" s="5" t="inlineStr">
        <is>
          <t>Writer</t>
        </is>
      </c>
      <c r="D398" s="18" t="n"/>
      <c r="E398" s="18" t="n"/>
      <c r="F398" s="5" t="n"/>
      <c r="G398" s="5" t="inlineStr">
        <is>
          <t>Hindi cinema</t>
        </is>
      </c>
      <c r="H398" s="5" t="inlineStr">
        <is>
          <t>A writer credited on one film in this filmography, with no Wikipedia article of his own.</t>
        </is>
      </c>
      <c r="I398" s="5" t="n"/>
      <c r="J398" s="5" t="inlineStr">
        <is>
          <t>With Kapoor: Love Ke Chakkar Mein (2006).</t>
        </is>
      </c>
      <c r="K398" s="19" t="inlineStr">
        <is>
          <t>Not documented.</t>
        </is>
      </c>
      <c r="L398" s="19" t="inlineStr">
        <is>
          <t>Not documented; credited alongside Praful Parekh and Raghuvir Shekhawat.</t>
        </is>
      </c>
      <c r="M398" s="5" t="n"/>
      <c r="N398" s="19" t="inlineStr">
        <is>
          <t>Not independently documented.</t>
        </is>
      </c>
      <c r="O398" s="19" t="inlineStr">
        <is>
          <t>One film: Love Ke Chakkar Mein (2006), in which Kapoor is top-billed but functionally the antagonist, coercing a younger couple in a variation on Indecent Proposal — one of very few unsympathetic leads in his career.</t>
        </is>
      </c>
      <c r="P398" s="17" t="n">
        <v>1</v>
      </c>
      <c r="Q398" s="5" t="inlineStr">
        <is>
          <t>FILM-121</t>
        </is>
      </c>
      <c r="R398" s="5" t="inlineStr">
        <is>
          <t>Love Ke Chakkar Mein (2006)</t>
        </is>
      </c>
      <c r="S398" s="5" t="inlineStr">
        <is>
          <t>Rajeev Kaul is one of three writers credited on Love Ke Chakkar Mein (2006) and has no documented biography. The film gives Kapoor top billing in a part that works against him: the wealthy older man who buys his way into a young couple's marriage, the position he had played from the other side in Karobaar six years earlier. It belongs to the interval before Dharma and Yash Raj recast him as a benign elder, and shows that the late appetite for unsympathetic roles — Rauf Lala, Iqbal Seth — had earlier precedents. This row is built from the film's credits alone.</t>
        </is>
      </c>
      <c r="T398" s="5" t="inlineStr">
        <is>
          <t>SOURCE-113</t>
        </is>
      </c>
      <c r="U398" s="5" t="inlineStr">
        <is>
          <t>Low</t>
        </is>
      </c>
    </row>
    <row r="399" ht="94" customHeight="1">
      <c r="A399" s="15" t="inlineStr">
        <is>
          <t>PERSON-398</t>
        </is>
      </c>
      <c r="B399" s="5" t="inlineStr">
        <is>
          <t>Rajeev Kumar</t>
        </is>
      </c>
      <c r="C399" s="5" t="inlineStr">
        <is>
          <t>Director</t>
        </is>
      </c>
      <c r="D399" s="18" t="n"/>
      <c r="E399" s="18" t="n"/>
      <c r="F399" s="5" t="n"/>
      <c r="G399" s="5" t="inlineStr">
        <is>
          <t>Hindi cinema</t>
        </is>
      </c>
      <c r="H399" s="5" t="inlineStr">
        <is>
          <t>A director credited on one film in this filmography. No Wikipedia article could be resolved for him: the bare name leads to a disambiguation page of police officers, politicians and a reality-show singer, none of them this filmmaker.</t>
        </is>
      </c>
      <c r="I399" s="5" t="n"/>
      <c r="J399" s="5" t="inlineStr">
        <is>
          <t>With Kapoor: Prem Yog (1994).</t>
        </is>
      </c>
      <c r="K399" s="19" t="inlineStr">
        <is>
          <t>Not documented.</t>
        </is>
      </c>
      <c r="L399" s="19" t="inlineStr">
        <is>
          <t>Not documented.</t>
        </is>
      </c>
      <c r="M399" s="5" t="n"/>
      <c r="N399" s="19" t="inlineStr">
        <is>
          <t>Not documented here.</t>
        </is>
      </c>
      <c r="O399" s="19" t="inlineStr">
        <is>
          <t>One film: Prem Yog (1994), produced by B. S. Shaad with a Bappi Lahiri score and Rumi Jaffery and Honey Irani among its writers — one of four Kapoor films released that year, all of them romances pitched at a persona that had stopped selling.</t>
        </is>
      </c>
      <c r="P399" s="17" t="n">
        <v>1</v>
      </c>
      <c r="Q399" s="5" t="inlineStr">
        <is>
          <t>FILM-102</t>
        </is>
      </c>
      <c r="R399" s="5" t="inlineStr">
        <is>
          <t>Prem Yog (1994)</t>
        </is>
      </c>
      <c r="S399" s="5" t="inlineStr">
        <is>
          <t>Rajeev Kumar directed Prem Yog (1994), and no article for him could be resolved in this research — the name on Wikipedia leads to police officers and politicians. The film is one of four Kapoor released in 1994, written by Rumi Jaffery and Honey Irani and scored by Bappi Lahiri, and it is characteristic of that year: romances built on an image audiences had transferred to Shah Rukh Khan, Aamir Khan and Salman Khan two years earlier. None of the four registered. This row is built from the film's credits alone.</t>
        </is>
      </c>
      <c r="T399" s="5" t="inlineStr">
        <is>
          <t>SOURCE-095</t>
        </is>
      </c>
      <c r="U399" s="5" t="inlineStr">
        <is>
          <t>Low</t>
        </is>
      </c>
    </row>
    <row r="400" ht="94" customHeight="1">
      <c r="A400" s="15" t="inlineStr">
        <is>
          <t>PERSON-399</t>
        </is>
      </c>
      <c r="B400" s="5" t="inlineStr">
        <is>
          <t>Rajendra Krishan</t>
        </is>
      </c>
      <c r="C400" s="5" t="inlineStr">
        <is>
          <t>Writer</t>
        </is>
      </c>
      <c r="D400" s="17" t="n">
        <v>1919</v>
      </c>
      <c r="E400" s="17" t="n">
        <v>1987</v>
      </c>
      <c r="F400" s="5" t="inlineStr">
        <is>
          <t>1948–1987</t>
        </is>
      </c>
      <c r="G400" s="5" t="inlineStr">
        <is>
          <t>Hindi cinema</t>
        </is>
      </c>
      <c r="H400" s="5" t="inlineStr">
        <is>
          <t>Rajinder Krishan Duggal (6 June 1919 – 23 September 1987), also credited as Rajendra Krishan, was an Indian poet, lyricist, dialogue and screenplay writer, born in Jalalpur Jattan in Punjab — now in Pakistan — and resident in Bombay. He won the Filmfare Award for Best Lyricist in 1966.</t>
        </is>
      </c>
      <c r="I400" s="5" t="inlineStr">
        <is>
          <t>Writing for films from 1948.</t>
        </is>
      </c>
      <c r="J400" s="5" t="inlineStr">
        <is>
          <t>With Kapoor: Phool Khile Hain Gulshan Gulshan (1978). Elsewhere, four decades of Hindi film lyrics and screenplays.</t>
        </is>
      </c>
      <c r="K400" s="19" t="inlineStr">
        <is>
          <t>Urdu-inflected lyric writing of great fluency, and the comedy screenplay.</t>
        </is>
      </c>
      <c r="L400" s="19" t="inlineStr">
        <is>
          <t>A lyricist first, with a parallel career in dialogue and screenplay, working at high volume from 1948 until his death.</t>
        </is>
      </c>
      <c r="M400" s="5" t="inlineStr">
        <is>
          <t>Filmfare Award for Best Lyricist (1966).</t>
        </is>
      </c>
      <c r="N400" s="19" t="inlineStr">
        <is>
          <t>One of the most prolific and successful lyricists of the 1950s and 1960s Hindi film song.</t>
        </is>
      </c>
      <c r="O400" s="19" t="inlineStr">
        <is>
          <t>One film: Phool Khile Hain Gulshan Gulshan (1978) — the second of Sikandar Khanna's two films with Kapoor and the one during whose making the director died. Krishan wrote it with Kaushal Bharti; it was scored by Laxmikant–Pyarelal.</t>
        </is>
      </c>
      <c r="P400" s="17" t="n">
        <v>2</v>
      </c>
      <c r="Q400" s="5" t="inlineStr">
        <is>
          <t>FILM-021; FILM-034</t>
        </is>
      </c>
      <c r="R400" s="5" t="inlineStr">
        <is>
          <t>Phool Khile Hain Gulshan Gulshan (1978)</t>
        </is>
      </c>
      <c r="S400" s="5" t="inlineStr">
        <is>
          <t>Rajendra Krishan wrote one Rishi Kapoor film, late in a long and distinguished career. A poet and lyricist from Jalalpur Jattan who worked in Hindi cinema from 1948 until his death in 1987, Krishan was among the most prolific songwriters of the 1950s and 1960s and won the Filmfare Award for Best Lyricist in 1966; he also wrote dialogue and screenplays, including for comedies. Phool Khile Hain Gulshan Gulshan (1978) is a minor entry for him and an unlucky one for its director, Sikandar Khanna, who died during its making. The film was scored by Laxmikant–Pyarelal, by then well into the thirty-two-film association that dominates this workbook.</t>
        </is>
      </c>
      <c r="T400" s="5" t="inlineStr">
        <is>
          <t>SOURCE-361</t>
        </is>
      </c>
      <c r="U400" s="5" t="inlineStr">
        <is>
          <t>High</t>
        </is>
      </c>
    </row>
    <row r="401" ht="79" customHeight="1">
      <c r="A401" s="15" t="inlineStr">
        <is>
          <t>PERSON-400</t>
        </is>
      </c>
      <c r="B401" s="5" t="inlineStr">
        <is>
          <t>Rajendra Singh</t>
        </is>
      </c>
      <c r="C401" s="5" t="inlineStr">
        <is>
          <t>Writer</t>
        </is>
      </c>
      <c r="D401" s="18" t="n"/>
      <c r="E401" s="18" t="n"/>
      <c r="F401" s="5" t="n"/>
      <c r="G401" s="5" t="inlineStr">
        <is>
          <t>Hindi cinema</t>
        </is>
      </c>
      <c r="H401" s="5" t="inlineStr">
        <is>
          <t>A writer credited on one film in this filmography, with no Wikipedia article identifiable to him; the bare name resolves to an unrelated environmentalist, which is how an earlier pass of this research briefly attached the wrong article.</t>
        </is>
      </c>
      <c r="I401" s="5" t="n"/>
      <c r="J401" s="5" t="inlineStr">
        <is>
          <t>With Kapoor: Sheshnaag (1990).</t>
        </is>
      </c>
      <c r="K401" s="19" t="inlineStr">
        <is>
          <t>The folk-mythological fantasy.</t>
        </is>
      </c>
      <c r="L401" s="19" t="inlineStr">
        <is>
          <t>Not documented.</t>
        </is>
      </c>
      <c r="M401" s="5" t="n"/>
      <c r="N401" s="19" t="inlineStr">
        <is>
          <t>Not independently documented.</t>
        </is>
      </c>
      <c r="O401" s="19" t="inlineStr">
        <is>
          <t>One film: Sheshnaag (1990), the snake-deity fantasy made in the wake of Nagina's success, with a Laxmikant–Pyarelal score and two director credits that no source consulted here reconciles.</t>
        </is>
      </c>
      <c r="P401" s="17" t="n">
        <v>1</v>
      </c>
      <c r="Q401" s="5" t="inlineStr">
        <is>
          <t>FILM-077</t>
        </is>
      </c>
      <c r="R401" s="5" t="inlineStr">
        <is>
          <t>Sheshnaag (1990)</t>
        </is>
      </c>
      <c r="S401" s="5" t="inlineStr">
        <is>
          <t>Rajendra Singh is credited as a writer on Sheshnaag (1990) and cannot be identified further. The film belongs to the folk-fantasy cycle that followed Nagina in 1986, in which Kapoor's romantic function was subordinated to curses and serpent deities, and which accounts for a surprising share of his work between 1986 and 1993. Three producers, two directors and several writers are credited on it, almost none of them documented. This row is built from the film's credits alone.</t>
        </is>
      </c>
      <c r="T401" s="5" t="inlineStr">
        <is>
          <t>SOURCE-074</t>
        </is>
      </c>
      <c r="U401" s="5" t="inlineStr">
        <is>
          <t>Low</t>
        </is>
      </c>
    </row>
    <row r="402" ht="184" customHeight="1">
      <c r="A402" s="15" t="inlineStr">
        <is>
          <t>PERSON-401</t>
        </is>
      </c>
      <c r="B402" s="5" t="inlineStr">
        <is>
          <t>Rajinder Singh Bedi</t>
        </is>
      </c>
      <c r="C402" s="5" t="inlineStr">
        <is>
          <t>Writer</t>
        </is>
      </c>
      <c r="D402" s="17" t="n">
        <v>1915</v>
      </c>
      <c r="E402" s="17" t="n">
        <v>1984</v>
      </c>
      <c r="F402" s="5" t="inlineStr">
        <is>
          <t>1933–1984</t>
        </is>
      </c>
      <c r="G402" s="5" t="inlineStr">
        <is>
          <t>Urdu literature; Hindi cinema</t>
        </is>
      </c>
      <c r="H402" s="5" t="inlineStr">
        <is>
          <t>Rajinder Singh Bedi (1 September 1915 – 11 November 1984) was an Indian Urdu writer of the progressive writers' movement and a playwright who later worked in Hindi cinema as a director, screenwriter and dialogue writer. He won the Filmfare Award for Best Dialogue for Madhumati (1958) and Satyakam (1969), and the Sahitya Akademi Award in 1965 for his novel Ek Chadar Maili Si, which Khushwant Singh translated into English as I Take This Woman. His son was the director Narendra Bedi; the actors Rajat and Manek Bedi are his grandsons.</t>
        </is>
      </c>
      <c r="I402" s="5" t="inlineStr">
        <is>
          <t>Writing from 1933; in films from the 1950s.</t>
        </is>
      </c>
      <c r="J402" s="5" t="inlineStr">
        <is>
          <t>With Kapoor: Ek Chadar Maili Si (1986), from his own novel. Elsewhere, Madhumati, Satyakam, Garm Hava and Abhimaan.</t>
        </is>
      </c>
      <c r="K402" s="19" t="inlineStr">
        <is>
          <t>Women bound by custom; the Punjabi village and the compromises of poverty; Partition.</t>
        </is>
      </c>
      <c r="L402" s="19" t="inlineStr">
        <is>
          <t>One of the major Urdu prose writers of the century, who brought the same unsentimental attention to film dialogue.</t>
        </is>
      </c>
      <c r="M402" s="5" t="inlineStr">
        <is>
          <t>Two Filmfare Awards for Best Dialogue (Madhumati, Satyakam) and the 1965 Sahitya Akademi Award for Ek Chadar Maili Si.</t>
        </is>
      </c>
      <c r="N402" s="19" t="inlineStr">
        <is>
          <t>A central figure of twentieth-century Urdu fiction and one of Hindi cinema's most distinguished dialogue writers.</t>
        </is>
      </c>
      <c r="O402" s="19" t="inlineStr">
        <is>
          <t>One credit, and it is the source of one of the most serious films in this filmography: Ek Chadar Maili Si (1986) is adapted from his Sahitya Akademi-winning novel about a widow compelled by custom to marry her dead husband's younger brother, with Kapoor as the brother and Hema Malini as the widow. His article records that the novella had already been filmed in Pakistan as Mutthi Bhar Chawal (1978). His son Narendra Bedi directed Kapoor in Rafoo Chakkar (1975), so father and son both appear in this workbook.</t>
        </is>
      </c>
      <c r="P402" s="17" t="n">
        <v>1</v>
      </c>
      <c r="Q402" s="5" t="inlineStr">
        <is>
          <t>FILM-054</t>
        </is>
      </c>
      <c r="R402" s="5" t="inlineStr">
        <is>
          <t>Ek Chadar Maili Si (1986)</t>
        </is>
      </c>
      <c r="S402" s="5" t="inlineStr">
        <is>
          <t>Rajinder Singh Bedi wrote the novel behind the most literary film in this filmography. One of the major Urdu prose writers of the twentieth century and a figure of the progressive writers' movement, Bedi also worked in Hindi cinema, winning Filmfare Awards for the dialogue of Madhumati and Satyakam. His novel Ek Chadar Maili Si — the story of a widow forced by custom to marry her husband's younger brother — won the Sahitya Akademi Award in 1965, was translated by Khushwant Singh as I Take This Woman, and was filmed in Pakistan before the 1986 Hindi version in which Rishi Kapoor played the brother opposite Hema Malini. Bedi died in 1984, two years before it reached the screen. His son Narendra Bedi had directed Kapoor in Rafoo Chakkar.</t>
        </is>
      </c>
      <c r="T402" s="5" t="inlineStr">
        <is>
          <t>SOURCE-362</t>
        </is>
      </c>
      <c r="U402" s="5" t="inlineStr">
        <is>
          <t>High</t>
        </is>
      </c>
    </row>
    <row r="403" ht="154" customHeight="1">
      <c r="A403" s="15" t="inlineStr">
        <is>
          <t>PERSON-402</t>
        </is>
      </c>
      <c r="B403" s="5" t="inlineStr">
        <is>
          <t>Rajkumar Kohli</t>
        </is>
      </c>
      <c r="C403" s="5" t="inlineStr">
        <is>
          <t>Director</t>
        </is>
      </c>
      <c r="D403" s="17" t="n">
        <v>1930</v>
      </c>
      <c r="E403" s="17" t="n">
        <v>2023</v>
      </c>
      <c r="F403" s="5" t="inlineStr">
        <is>
          <t>1963–2002</t>
        </is>
      </c>
      <c r="G403" s="5" t="inlineStr">
        <is>
          <t>Hindi cinema; Punjabi cinema</t>
        </is>
      </c>
      <c r="H403" s="5" t="inlineStr">
        <is>
          <t>Rajkumar Kohli (14 September 1930 – 24 November 2023) was an Indian film director, born in Lahore, known for Lootera (1965) with Dara Singh and the actress Nishi, whom he later married, and for Punjabi films including Dulla Bhatti (1966). His best-known Hindi films are large ensemble pictures: Nagin (1976), Jaani Dushman (1979), Badle Ki Aag (1982), Naukar Biwi Ka (1983) and Raaj Tilak (1984). His sons are Armaan Kohli and Rajnish Kohli.</t>
        </is>
      </c>
      <c r="I403" s="5" t="inlineStr">
        <is>
          <t>Directing from 1963, initially in Punjabi cinema.</t>
        </is>
      </c>
      <c r="J403" s="5" t="inlineStr">
        <is>
          <t>With Kapoor: Naukar Biwi Ka (1983). Elsewhere, Nagin, Jaani Dushman and Raaj Tilak.</t>
        </is>
      </c>
      <c r="K403" s="19" t="inlineStr">
        <is>
          <t>The multi-star ensemble; the snake-woman and revenge fantasy; the comedy of domestic reversal.</t>
        </is>
      </c>
      <c r="L403" s="19" t="inlineStr">
        <is>
          <t>A director of crowded, high-concept entertainments assembled from as many stars as a budget allowed.</t>
        </is>
      </c>
      <c r="M403" s="5" t="n"/>
      <c r="N403" s="19" t="inlineStr">
        <is>
          <t>The maker of Nagin and Jaani Dushman, two of the biggest multi-star genre hits of the 1970s, and of the fantasy formula that Nagina later revived.</t>
        </is>
      </c>
      <c r="O403" s="19" t="inlineStr">
        <is>
          <t>One film: Naukar Biwi Ka (1983), a comedy in which Kapoor's husband is reduced to serving his own wife, with a Bappi Lahiri score, produced by Kohli's wife Nishi Kohli. The indirect connection is larger: Kohli's Nagin (1976) established the snake-woman formula that Harmesh Malhotra's Nagina would use in 1986 to give Kapoor the biggest hit of his middle period.</t>
        </is>
      </c>
      <c r="P403" s="17" t="n">
        <v>1</v>
      </c>
      <c r="Q403" s="5" t="inlineStr">
        <is>
          <t>FILM-039</t>
        </is>
      </c>
      <c r="R403" s="5" t="inlineStr">
        <is>
          <t>Naukar Biwi Ka (1983)</t>
        </is>
      </c>
      <c r="S403" s="5" t="inlineStr">
        <is>
          <t>Rajkumar Kohli directed one Rishi Kapoor film, and invented the genre that would later rescue him. Born in Lahore in 1930, Kohli made his name with Lootera and Punjabi films before building a career on crowded multi-star entertainments — Nagin (1976), Jaani Dushman (1979), Raaj Tilak — of which Nagin, a snake-woman revenge fantasy, was the template that Nagina revived a decade later to give Kapoor his biggest hit since Amar Akbar Anthony. Their own film together, Naukar Biwi Ka (1983), is a domestic comedy produced by Kohli's wife, the former actress Nishi, in which Kapoor's husband is reduced to his wife's servant. Kohli died in November 2023.</t>
        </is>
      </c>
      <c r="T403" s="5" t="inlineStr">
        <is>
          <t>SOURCE-363</t>
        </is>
      </c>
      <c r="U403" s="5" t="inlineStr">
        <is>
          <t>High</t>
        </is>
      </c>
    </row>
    <row r="404" ht="109" customHeight="1">
      <c r="A404" s="15" t="inlineStr">
        <is>
          <t>PERSON-403</t>
        </is>
      </c>
      <c r="B404" s="5" t="inlineStr">
        <is>
          <t>Raju Kothari</t>
        </is>
      </c>
      <c r="C404" s="5" t="inlineStr">
        <is>
          <t>Producer</t>
        </is>
      </c>
      <c r="D404" s="18" t="n"/>
      <c r="E404" s="18" t="n"/>
      <c r="F404" s="5" t="n"/>
      <c r="G404" s="5" t="inlineStr">
        <is>
          <t>Hindi cinema</t>
        </is>
      </c>
      <c r="H404" s="5" t="inlineStr">
        <is>
          <t>A producer credited on one film in this filmography, with no Wikipedia article of his own.</t>
        </is>
      </c>
      <c r="I404" s="5" t="n"/>
      <c r="J404" s="5" t="inlineStr">
        <is>
          <t>With Kapoor: Deewana (1992).</t>
        </is>
      </c>
      <c r="K404" s="19" t="inlineStr">
        <is>
          <t>Not documented.</t>
        </is>
      </c>
      <c r="L404" s="19" t="inlineStr">
        <is>
          <t>Not documented.</t>
        </is>
      </c>
      <c r="M404" s="5" t="n"/>
      <c r="N404" s="19" t="inlineStr">
        <is>
          <t>Not independently documented, though his one credit is on the pivotal film of the later career.</t>
        </is>
      </c>
      <c r="O404" s="19" t="inlineStr">
        <is>
          <t>One film: Deewana (1992), Raj Kanwar's directorial debut, in which Kapoor plays the singer presumed dead whose widow marries the younger man played by a debuting Shah Rukh Khan. The film was a hit and is read as the handover of the Hindi romantic lead between generations.</t>
        </is>
      </c>
      <c r="P404" s="17" t="n">
        <v>1</v>
      </c>
      <c r="Q404" s="5" t="inlineStr">
        <is>
          <t>FILM-087</t>
        </is>
      </c>
      <c r="R404" s="5" t="inlineStr">
        <is>
          <t>Deewana (1992)</t>
        </is>
      </c>
      <c r="S404" s="5" t="inlineStr">
        <is>
          <t>Raju Kothari is among the producers credited on Deewana (1992) and has no documented biography. The film is the single most consequential entry in the second half of this filmography: Kapoor as Ravi, the wealthy singer believed killed, and Shah Rukh Khan in his film debut as the man his widow marries. It succeeded commercially, won Khan a Filmfare award for best debut, and is remembered as the moment Hindi cinema's romantic lead changed hands — with Kapoor performing the transfer himself. Four producers and two banners are credited on it, and not one of them is documented. This row is built from the film's credits alone.</t>
        </is>
      </c>
      <c r="T404" s="5" t="inlineStr">
        <is>
          <t>SOURCE-081</t>
        </is>
      </c>
      <c r="U404" s="5" t="inlineStr">
        <is>
          <t>Low</t>
        </is>
      </c>
    </row>
    <row r="405" ht="79" customHeight="1">
      <c r="A405" s="15" t="inlineStr">
        <is>
          <t>PERSON-404</t>
        </is>
      </c>
      <c r="B405" s="5" t="inlineStr">
        <is>
          <t>Raju Rao</t>
        </is>
      </c>
      <c r="C405" s="5" t="inlineStr">
        <is>
          <t>Background-score composer</t>
        </is>
      </c>
      <c r="D405" s="18" t="n"/>
      <c r="E405" s="18" t="n"/>
      <c r="F405" s="5" t="n"/>
      <c r="G405" s="5" t="inlineStr">
        <is>
          <t>Hindi cinema</t>
        </is>
      </c>
      <c r="H405" s="5" t="inlineStr">
        <is>
          <t>A background-score composer credited on one film in this filmography, with no Wikipedia article of his own.</t>
        </is>
      </c>
      <c r="I405" s="5" t="n"/>
      <c r="J405" s="5" t="inlineStr">
        <is>
          <t>With Kapoor: Sadiyaan (2010).</t>
        </is>
      </c>
      <c r="K405" s="19" t="inlineStr">
        <is>
          <t>Not documented.</t>
        </is>
      </c>
      <c r="L405" s="19" t="inlineStr">
        <is>
          <t>Not documented.</t>
        </is>
      </c>
      <c r="M405" s="5" t="n"/>
      <c r="N405" s="19" t="inlineStr">
        <is>
          <t>Not independently documented.</t>
        </is>
      </c>
      <c r="O405" s="19" t="inlineStr">
        <is>
          <t>One film: Sadiyaan (2010), Raj Kanwar's partition-era romance written in part by his son Abhay Kanwar, with Kapoor in a supporting role — eighteen years after Kanwar had directed him in Deewana.</t>
        </is>
      </c>
      <c r="P405" s="17" t="n">
        <v>1</v>
      </c>
      <c r="Q405" s="5" t="inlineStr">
        <is>
          <t>FILM-133</t>
        </is>
      </c>
      <c r="R405" s="5" t="inlineStr">
        <is>
          <t>Sadiyaan (2010)</t>
        </is>
      </c>
      <c r="S405" s="5" t="inlineStr">
        <is>
          <t>Raju Rao wrote the background score for Sadiyaan (2010) and has no documented biography. The film reunited Kapoor with Raj Kanwar, whose directorial debut Deewana had, in 1992, staged the handover of the Hindi romantic lead to Shah Rukh Khan; eighteen years later Kanwar cast him in support in a partition romance written partly by his own son, and the film passed unnoticed. Its songs were by Adnan Sami, its score by this composer, and almost nobody involved left a record. This row is built from the film's credits alone.</t>
        </is>
      </c>
      <c r="T405" s="5" t="inlineStr">
        <is>
          <t>SOURCE-125</t>
        </is>
      </c>
      <c r="U405" s="5" t="inlineStr">
        <is>
          <t>Low</t>
        </is>
      </c>
    </row>
    <row r="406" ht="94" customHeight="1">
      <c r="A406" s="15" t="inlineStr">
        <is>
          <t>PERSON-405</t>
        </is>
      </c>
      <c r="B406" s="5" t="inlineStr">
        <is>
          <t>Rakesh Kumar</t>
        </is>
      </c>
      <c r="C406" s="5" t="inlineStr">
        <is>
          <t>Writer</t>
        </is>
      </c>
      <c r="D406" s="18" t="n"/>
      <c r="E406" s="18" t="n"/>
      <c r="F406" s="5" t="n"/>
      <c r="G406" s="5" t="inlineStr">
        <is>
          <t>Hindi cinema</t>
        </is>
      </c>
      <c r="H406" s="5" t="inlineStr">
        <is>
          <t>A writer credited on one film in this filmography. No Wikipedia article could be resolved for him: the bare name leads to a disambiguation page of cricketers, a kabaddi player, a lyricist and a politician, none of them this writer.</t>
        </is>
      </c>
      <c r="I406" s="5" t="n"/>
      <c r="J406" s="5" t="inlineStr">
        <is>
          <t>With Kapoor: Naya Daur (1978).</t>
        </is>
      </c>
      <c r="K406" s="19" t="inlineStr">
        <is>
          <t>Not documented.</t>
        </is>
      </c>
      <c r="L406" s="19" t="inlineStr">
        <is>
          <t>Not documented.</t>
        </is>
      </c>
      <c r="M406" s="5" t="n"/>
      <c r="N406" s="19" t="inlineStr">
        <is>
          <t>Not documented here.</t>
        </is>
      </c>
      <c r="O406" s="19" t="inlineStr">
        <is>
          <t>One film: Naya Daur (1978), an early Mahesh Bhatt film with an R. D. Burman score — made four years before Arth established Bhatt's reputation, and sharing its title with the far better-known 1957 Dilip Kumar picture.</t>
        </is>
      </c>
      <c r="P406" s="17" t="n">
        <v>1</v>
      </c>
      <c r="Q406" s="5" t="inlineStr">
        <is>
          <t>FILM-018</t>
        </is>
      </c>
      <c r="R406" s="5" t="inlineStr">
        <is>
          <t>Naya Daur (1978)</t>
        </is>
      </c>
      <c r="S406" s="5" t="inlineStr">
        <is>
          <t>Rakesh Kumar is credited as a writer on Naya Daur (1978) and cannot be identified further. The film's interest lies elsewhere: it was directed by Mahesh Bhatt four years before Arth made him one of the defining filmmakers of the 1980s, and it is the only film Bhatt and Kapoor made together — their sensibilities diverged sharply afterwards, Bhatt towards autobiography, adultery and addiction, Kapoor towards romance and family melodrama. The film also shares a title with the 1957 Dilip Kumar classic, which has not helped its visibility. This row is built from the film's credits alone.</t>
        </is>
      </c>
      <c r="T406" s="5" t="inlineStr">
        <is>
          <t>SOURCE-019</t>
        </is>
      </c>
      <c r="U406" s="5" t="inlineStr">
        <is>
          <t>Low</t>
        </is>
      </c>
    </row>
    <row r="407" ht="169" customHeight="1">
      <c r="A407" s="15" t="inlineStr">
        <is>
          <t>PERSON-406</t>
        </is>
      </c>
      <c r="B407" s="5" t="inlineStr">
        <is>
          <t>Rakeysh Omprakash Mehra</t>
        </is>
      </c>
      <c r="C407" s="5" t="inlineStr">
        <is>
          <t>Director; Producer; Writer</t>
        </is>
      </c>
      <c r="D407" s="17" t="n">
        <v>1963</v>
      </c>
      <c r="E407" s="18" t="n"/>
      <c r="F407" s="5" t="inlineStr">
        <is>
          <t>1986–present</t>
        </is>
      </c>
      <c r="G407" s="5" t="inlineStr">
        <is>
          <t>Hindi cinema</t>
        </is>
      </c>
      <c r="H407" s="5" t="inlineStr">
        <is>
          <t>Rakeysh Omprakash Mehra (born 7 July 1963 in Delhi) is an Indian film director, screenwriter and occasional actor. He is best known for writing and directing Rang De Basanti (2006) and the biographical sports film Bhaag Milkha Bhaag (2013), winning two Filmfare Awards for Best Director; both films also won the National Film Award for Best Popular Film Providing Wholesome Entertainment. He also wrote and directed the supernatural thriller Aks (2001) and the drama Delhi-6 (2009).</t>
        </is>
      </c>
      <c r="I407" s="5" t="inlineStr">
        <is>
          <t>Advertising films from 1986; feature debut Aks (2001).</t>
        </is>
      </c>
      <c r="J407" s="5" t="inlineStr">
        <is>
          <t>With Kapoor: Delhi-6 (2009). Elsewhere, Rang De Basanti and Bhaag Milkha Bhaag.</t>
        </is>
      </c>
      <c r="K407" s="19" t="inlineStr">
        <is>
          <t>The nation examined through its young; the neighbourhood as a body politic; history reopened in the present.</t>
        </is>
      </c>
      <c r="L407" s="19" t="inlineStr">
        <is>
          <t>An advertising-trained director with a strong visual signature who works on large ensembles and uses music as narration.</t>
        </is>
      </c>
      <c r="M407" s="5" t="inlineStr">
        <is>
          <t>Two Filmfare Awards for Best Film and Best Director (Rang De Basanti, Bhaag Milkha Bhaag) and two National Film Awards for Best Popular Film.</t>
        </is>
      </c>
      <c r="N407" s="19" t="inlineStr">
        <is>
          <t>One of the most significant Hindi directors of the 2000s, and the maker of Rang De Basanti, a film with a measurable effect on Indian public protest.</t>
        </is>
      </c>
      <c r="O407" s="19" t="inlineStr">
        <is>
          <t>One film: Delhi-6 (2009), in which Kapoor plays a Chandni Chowk elder in an ensemble pulled apart by religious tension. Mehra's article names the cast directly — 'Abhishek Bachchan, Sonam Kapoor, Aditi Rao Hydari, Rishi Kapoor, Supriya Pathak' — and the film, with its A. R. Rahman score and Prasoon Joshi lyrics, is among the most ambitious in which Kapoor took a supporting part.</t>
        </is>
      </c>
      <c r="P407" s="17" t="n">
        <v>1</v>
      </c>
      <c r="Q407" s="5" t="inlineStr">
        <is>
          <t>FILM-129</t>
        </is>
      </c>
      <c r="R407" s="5" t="inlineStr">
        <is>
          <t>Delhi-6 (2009)</t>
        </is>
      </c>
      <c r="S407" s="5" t="inlineStr">
        <is>
          <t>Rakeysh Omprakash Mehra directed Rishi Kapoor in Delhi-6, one of the most ambitious films of his late career. Mehra came from advertising to features with Aks in 2001, then made Rang De Basanti (2006), a film about young Indians and political violence that won him Filmfare Awards for Best Film and Best Director and had a measurable effect on how protest was staged in India, and Bhaag Milkha Bhaag (2013), which repeated the double. Between them came Delhi-6 (2009), set in the lanes of Chandni Chowk, with an A. R. Rahman score, Prasoon Joshi's lyrics and an ensemble in which Mehra's own article lists Kapoor. It failed commercially and remains among the more interesting films of his second career.</t>
        </is>
      </c>
      <c r="T407" s="5" t="inlineStr">
        <is>
          <t>SOURCE-364</t>
        </is>
      </c>
      <c r="U407" s="5" t="inlineStr">
        <is>
          <t>High</t>
        </is>
      </c>
    </row>
    <row r="408" ht="109" customHeight="1">
      <c r="A408" s="15" t="inlineStr">
        <is>
          <t>PERSON-407</t>
        </is>
      </c>
      <c r="B408" s="5" t="inlineStr">
        <is>
          <t>Rakeysh Omprakash Mehra Pictures</t>
        </is>
      </c>
      <c r="C408" s="5" t="inlineStr">
        <is>
          <t>Production banner</t>
        </is>
      </c>
      <c r="D408" s="18" t="n"/>
      <c r="E408" s="18" t="n"/>
      <c r="F408" s="5" t="n"/>
      <c r="G408" s="5" t="inlineStr">
        <is>
          <t>Hindi cinema</t>
        </is>
      </c>
      <c r="H408" s="5" t="inlineStr">
        <is>
          <t>The production banner of the director Rakeysh Omprakash Mehra, credited on Delhi-6. It has no Wikipedia article of its own — the name redirects to Mehra himself, whose article is cited on his row in this sheet and records the films he wrote, directed and produced.</t>
        </is>
      </c>
      <c r="I408" s="5" t="n"/>
      <c r="J408" s="5" t="inlineStr">
        <is>
          <t>With Kapoor: Delhi-6 (2009).</t>
        </is>
      </c>
      <c r="K408" s="19" t="inlineStr">
        <is>
          <t>The ensemble film about contemporary India, made within the director's own company.</t>
        </is>
      </c>
      <c r="L408" s="19" t="inlineStr">
        <is>
          <t>A director's own banner, used for his films.</t>
        </is>
      </c>
      <c r="M408" s="5" t="n"/>
      <c r="N408" s="19" t="inlineStr">
        <is>
          <t>Not independently documented.</t>
        </is>
      </c>
      <c r="O408" s="19" t="inlineStr">
        <is>
          <t>One credit, on Delhi-6 (2009), in which Kapoor plays a Chandni Chowk elder in an ensemble that Mehra's own article lists as including him alongside Abhishek Bachchan, Sonam Kapoor, Aditi Rao Hydari and Supriya Pathak. The film has an A. R. Rahman score and lyrics by Prasoon Joshi.</t>
        </is>
      </c>
      <c r="P408" s="17" t="n">
        <v>1</v>
      </c>
      <c r="Q408" s="5" t="inlineStr">
        <is>
          <t>FILM-129</t>
        </is>
      </c>
      <c r="R408" s="5" t="inlineStr">
        <is>
          <t>Delhi-6 (2009)</t>
        </is>
      </c>
      <c r="S408" s="5" t="inlineStr">
        <is>
          <t>Rakeysh Omprakash Mehra Pictures is the director's own banner and has no separate documentation; its name redirects to him. Under it he made Delhi-6 (2009), a film set in the lanes of Chandni Chowk in which a neighbourhood tears itself apart over religion, with an A. R. Rahman score, Prasoon Joshi's lyrics and an ensemble cast that includes Rishi Kapoor as a local elder. It came between Rang De Basanti and Bhaag Milkha Bhaag, the two films that made Mehra's reputation, and failed commercially where they had succeeded. For Kapoor it is among the most serious films of his character-actor phase.</t>
        </is>
      </c>
      <c r="T408" s="5" t="inlineStr">
        <is>
          <t>SOURCE-121</t>
        </is>
      </c>
      <c r="U408" s="5" t="inlineStr">
        <is>
          <t>Low</t>
        </is>
      </c>
    </row>
    <row r="409" ht="109" customHeight="1">
      <c r="A409" s="15" t="inlineStr">
        <is>
          <t>PERSON-408</t>
        </is>
      </c>
      <c r="B409" s="5" t="inlineStr">
        <is>
          <t>Ram B.C.</t>
        </is>
      </c>
      <c r="C409" s="5" t="inlineStr">
        <is>
          <t>Producer</t>
        </is>
      </c>
      <c r="D409" s="18" t="n"/>
      <c r="E409" s="18" t="n"/>
      <c r="F409" s="5" t="n"/>
      <c r="G409" s="5" t="inlineStr">
        <is>
          <t>Hindi cinema</t>
        </is>
      </c>
      <c r="H409" s="5" t="inlineStr">
        <is>
          <t>A producer credited on one film in this filmography, with no Wikipedia article of his own.</t>
        </is>
      </c>
      <c r="I409" s="5" t="n"/>
      <c r="J409" s="5" t="inlineStr">
        <is>
          <t>With Kapoor: Laila Majnu (1976).</t>
        </is>
      </c>
      <c r="K409" s="19" t="inlineStr">
        <is>
          <t>Not documented.</t>
        </is>
      </c>
      <c r="L409" s="19" t="inlineStr">
        <is>
          <t>Not documented.</t>
        </is>
      </c>
      <c r="M409" s="5" t="n"/>
      <c r="N409" s="19" t="inlineStr">
        <is>
          <t>Not independently documented.</t>
        </is>
      </c>
      <c r="O409" s="19" t="inlineStr">
        <is>
          <t>One film, and a significant one: H. S. Rawail's Laila Majnu (1976), in which Kapoor played Qais opposite Ranjeeta Kaur in the classical Arabic love tragedy — the first film to ask him for love as destruction rather than courtship. Its songs were by Madan Mohan, who died before release, and Jaidev.</t>
        </is>
      </c>
      <c r="P409" s="17" t="n">
        <v>1</v>
      </c>
      <c r="Q409" s="5" t="inlineStr">
        <is>
          <t>FILM-013</t>
        </is>
      </c>
      <c r="R409" s="5" t="inlineStr">
        <is>
          <t>Laila Majnu (1976)</t>
        </is>
      </c>
      <c r="S409" s="5" t="inlineStr">
        <is>
          <t>Ram B.C. is credited as a producer on Laila Majnu (1976) and has no documented biography. The film is among the most ambitious of Kapoor's early career: H. S. Rawail's version of the Qais and Laila legend, with Abrar Alvi — the writer of Pyaasa — among its writers, songs by Madan Mohan, who died in July 1975 before it was finished, and Jaidev, a three-time National Award winner, completing the credit. Rawail's own article records that the film was a success. That its producer left no record is characteristic of this workbook's lower tiers. This row is built from the film's credits alone.</t>
        </is>
      </c>
      <c r="T409" s="5" t="inlineStr">
        <is>
          <t>SOURCE-011</t>
        </is>
      </c>
      <c r="U409" s="5" t="inlineStr">
        <is>
          <t>Low</t>
        </is>
      </c>
    </row>
    <row r="410" ht="94" customHeight="1">
      <c r="A410" s="15" t="inlineStr">
        <is>
          <t>PERSON-409</t>
        </is>
      </c>
      <c r="B410" s="5" t="inlineStr">
        <is>
          <t>Ram Kelkar</t>
        </is>
      </c>
      <c r="C410" s="5" t="inlineStr">
        <is>
          <t>Writer</t>
        </is>
      </c>
      <c r="D410" s="18" t="n"/>
      <c r="E410" s="18" t="n"/>
      <c r="F410" s="5" t="n"/>
      <c r="G410" s="5" t="inlineStr">
        <is>
          <t>Hindi cinema</t>
        </is>
      </c>
      <c r="H410" s="5" t="inlineStr">
        <is>
          <t>A writer credited on one film in this filmography, with no Wikipedia article of his own.</t>
        </is>
      </c>
      <c r="I410" s="5" t="n"/>
      <c r="J410" s="5" t="inlineStr">
        <is>
          <t>With Kapoor: Hawalaat (1987).</t>
        </is>
      </c>
      <c r="K410" s="19" t="inlineStr">
        <is>
          <t>Not documented.</t>
        </is>
      </c>
      <c r="L410" s="19" t="inlineStr">
        <is>
          <t>Not documented; credited alongside Ranbir Pushp.</t>
        </is>
      </c>
      <c r="M410" s="5" t="n"/>
      <c r="N410" s="19" t="inlineStr">
        <is>
          <t>Not independently documented.</t>
        </is>
      </c>
      <c r="O410" s="19" t="inlineStr">
        <is>
          <t>One film: Hawalaat (1987), directed and produced by Surendra Mohan with an Anu Malik score, a multi-starrer in which Kapoor appeared with Mithun Chakraborty — one of the ensemble pictures that filled his middle period.</t>
        </is>
      </c>
      <c r="P410" s="17" t="n">
        <v>1</v>
      </c>
      <c r="Q410" s="5" t="inlineStr">
        <is>
          <t>FILM-059</t>
        </is>
      </c>
      <c r="R410" s="5" t="inlineStr">
        <is>
          <t>Hawalaat (1987)</t>
        </is>
      </c>
      <c r="S410" s="5" t="inlineStr">
        <is>
          <t>Ram Kelkar is credited as a writer on Hawalaat (1987) and has no documented biography. The film is a multi-star melodrama directed and produced by Surendra Bohra's contemporary Surendra Mohan, scored by Anu Malik early in his career and co-written with Ranbir Pushp, who would later write Deewana. Ranbir Pushp's own article names Hawalaat and Kapoor among his credits, which is the only reason the film appears in any biography at all. This row is built from the film's credits alone.</t>
        </is>
      </c>
      <c r="T410" s="5" t="inlineStr">
        <is>
          <t>SOURCE-057</t>
        </is>
      </c>
      <c r="U410" s="5" t="inlineStr">
        <is>
          <t>Low</t>
        </is>
      </c>
    </row>
    <row r="411" ht="79" customHeight="1">
      <c r="A411" s="15" t="inlineStr">
        <is>
          <t>PERSON-410</t>
        </is>
      </c>
      <c r="B411" s="5" t="inlineStr">
        <is>
          <t>Ram Singh</t>
        </is>
      </c>
      <c r="C411" s="5" t="inlineStr">
        <is>
          <t>Producer</t>
        </is>
      </c>
      <c r="D411" s="18" t="n"/>
      <c r="E411" s="18" t="n"/>
      <c r="F411" s="5" t="n"/>
      <c r="G411" s="5" t="inlineStr">
        <is>
          <t>Hindi cinema</t>
        </is>
      </c>
      <c r="H411" s="5" t="inlineStr">
        <is>
          <t>A producer credited on one film in this filmography, with no Wikipedia article identifiable to him; the bare name resolves to a disambiguation page of Indian rulers and others.</t>
        </is>
      </c>
      <c r="I411" s="5" t="n"/>
      <c r="J411" s="5" t="inlineStr">
        <is>
          <t>With Kapoor: Banjaran (1991).</t>
        </is>
      </c>
      <c r="K411" s="19" t="inlineStr">
        <is>
          <t>Not documented.</t>
        </is>
      </c>
      <c r="L411" s="19" t="inlineStr">
        <is>
          <t>Not documented.</t>
        </is>
      </c>
      <c r="M411" s="5" t="n"/>
      <c r="N411" s="19" t="inlineStr">
        <is>
          <t>Not independently documented.</t>
        </is>
      </c>
      <c r="O411" s="19" t="inlineStr">
        <is>
          <t>One film: Banjaran (1991), directed by Harmesh Malhotra with a Laxmikant–Pyarelal score — the fifth and last of Malhotra's films with Kapoor, and one of nine the actor released between 1989 and 1991.</t>
        </is>
      </c>
      <c r="P411" s="17" t="n">
        <v>1</v>
      </c>
      <c r="Q411" s="5" t="inlineStr">
        <is>
          <t>FILM-083</t>
        </is>
      </c>
      <c r="R411" s="5" t="inlineStr">
        <is>
          <t>Banjaran (1991)</t>
        </is>
      </c>
      <c r="S411" s="5" t="inlineStr">
        <is>
          <t>Ram Singh is credited as a producer on Banjaran (1991) and cannot be identified further. The film closes Harmesh Malhotra's five-film run with Kapoor, which had begun with the hit Nagina in 1986 and declined through its sequel Nigahen into mid-budget melodrama. It belongs to the densest and least documented stretch of the filmography — nine releases in three years — in which the producers are almost uniformly untraceable and the composers almost uniformly Laxmikant–Pyarelal. This row is built from the film's credits alone.</t>
        </is>
      </c>
      <c r="T411" s="5" t="inlineStr">
        <is>
          <t>SOURCE-078</t>
        </is>
      </c>
      <c r="U411" s="5" t="inlineStr">
        <is>
          <t>Low</t>
        </is>
      </c>
    </row>
    <row r="412" ht="154" customHeight="1">
      <c r="A412" s="15" t="inlineStr">
        <is>
          <t>PERSON-411</t>
        </is>
      </c>
      <c r="B412" s="5" t="inlineStr">
        <is>
          <t>Ramesh Behl</t>
        </is>
      </c>
      <c r="C412" s="5" t="inlineStr">
        <is>
          <t>Producer</t>
        </is>
      </c>
      <c r="D412" s="18" t="n"/>
      <c r="E412" s="18" t="n"/>
      <c r="F412" s="5" t="inlineStr">
        <is>
          <t>1978–1987</t>
        </is>
      </c>
      <c r="G412" s="5" t="inlineStr">
        <is>
          <t>Hindi cinema</t>
        </is>
      </c>
      <c r="H412" s="5" t="inlineStr">
        <is>
          <t>Ramesh Behl was an Indian film director and producer of the Behl film family. He produced The Train and Kasme Vaade (1978) and directed Pukar (1983), Jawaani (1984) and Apne Apne (1987). His article records that he is the only filmmaker to have had R. D. Burman as the composer for all his films. The actor Kamal Kapoor was his father-in-law and Rajendra Kumar his brother-in-law; his son is the filmmaker Goldie Behl and the actor Ravi Behl is his nephew.</t>
        </is>
      </c>
      <c r="I412" s="5" t="inlineStr">
        <is>
          <t>Producing from the late 1960s; directing from 1983.</t>
        </is>
      </c>
      <c r="J412" s="5" t="inlineStr">
        <is>
          <t>With Kapoor: Yeh Vaada Raha (1982). Elsewhere, The Train, Kasme Vaade and Jawaani.</t>
        </is>
      </c>
      <c r="K412" s="19" t="inlineStr">
        <is>
          <t>Youth romance and thriller, all of it scored by R. D. Burman.</t>
        </is>
      </c>
      <c r="L412" s="19" t="inlineStr">
        <is>
          <t>A producer whose defining decision was a single lifelong musical partnership.</t>
        </is>
      </c>
      <c r="M412" s="5" t="n"/>
      <c r="N412" s="19" t="inlineStr">
        <is>
          <t>Notable for an unusual record: every film he made was scored by R. D. Burman.</t>
        </is>
      </c>
      <c r="O412" s="19" t="inlineStr">
        <is>
          <t>One film: Yeh Vaada Raha (1982), directed by Kapil Kapoor with — inevitably — an R. D. Burman score. Burman wrote twenty of Kapoor's films, the second-largest composing association in this workbook, and Behl's own article notes that he worked with no other composer at all.</t>
        </is>
      </c>
      <c r="P412" s="17" t="n">
        <v>1</v>
      </c>
      <c r="Q412" s="5" t="inlineStr">
        <is>
          <t>FILM-036</t>
        </is>
      </c>
      <c r="R412" s="5" t="inlineStr">
        <is>
          <t>Yeh Vaada Raha (1982)</t>
        </is>
      </c>
      <c r="S412" s="5" t="inlineStr">
        <is>
          <t>Ramesh Behl produced Yeh Vaada Raha (1982), and his place in this workbook is secured by a single fact: his article records him as the only filmmaker to have had R. D. Burman score every one of his films. Behl produced The Train and Kasme Vaade and directed Pukar, Jawaani and Apne Apne, all with Burman; he was also well connected by marriage, with Kamal Kapoor as a father-in-law and Rajendra Kumar as a brother-in-law. His one Kapoor film is a romance directed by Kapil Kapoor, and its Burman songs belong to the twenty-film association that defined the actor's youth. Behl's son Goldie Behl later became a filmmaker himself.</t>
        </is>
      </c>
      <c r="T412" s="5" t="inlineStr">
        <is>
          <t>SOURCE-367</t>
        </is>
      </c>
      <c r="U412" s="5" t="inlineStr">
        <is>
          <t>High</t>
        </is>
      </c>
    </row>
    <row r="413" ht="169" customHeight="1">
      <c r="A413" s="15" t="inlineStr">
        <is>
          <t>PERSON-412</t>
        </is>
      </c>
      <c r="B413" s="5" t="inlineStr">
        <is>
          <t>Ramesh Sippy</t>
        </is>
      </c>
      <c r="C413" s="5" t="inlineStr">
        <is>
          <t>Director</t>
        </is>
      </c>
      <c r="D413" s="18" t="n"/>
      <c r="E413" s="18" t="n"/>
      <c r="F413" s="5" t="n"/>
      <c r="G413" s="5" t="inlineStr">
        <is>
          <t>Hindi cinema</t>
        </is>
      </c>
      <c r="H413" s="5" t="inlineStr">
        <is>
          <t>Ramesh Sippy is an Indian director, producer and actor in Hindi cinema, best known as the director of Sholay (1975), often regarded as one of the most influential Indian films ever made. He is the son of the producer G. P. Sippy, received the Padma Shri in 2013, and founded the Ramesh Sippy Academy of Cinema in 2017. His children include the director Rohan Sippy.</t>
        </is>
      </c>
      <c r="I413" s="5" t="inlineStr">
        <is>
          <t>Directing from 1971; Sholay (1975) made his reputation.</t>
        </is>
      </c>
      <c r="J413" s="5" t="inlineStr">
        <is>
          <t>With Kapoor: Saagar (1985). Elsewhere, Sholay, Seeta Aur Geeta, Shaan and Shakti.</t>
        </is>
      </c>
      <c r="K413" s="19" t="inlineStr">
        <is>
          <t>The large-canvas ensemble; friendship and vengeance; romance staged against landscape.</t>
        </is>
      </c>
      <c r="L413" s="19" t="inlineStr">
        <is>
          <t>A director of scale and precision, with an unusual command of ensemble staging and of the widescreen image.</t>
        </is>
      </c>
      <c r="M413" s="5" t="inlineStr">
        <is>
          <t>Padma Shri (2013); his Sholay received the Filmfare Best Film of 50 Years award in 2005.</t>
        </is>
      </c>
      <c r="N413" s="19" t="inlineStr">
        <is>
          <t>The director of Sholay, the most culturally pervasive Hindi film ever made.</t>
        </is>
      </c>
      <c r="O413" s="19" t="inlineStr">
        <is>
          <t>One film, and it is among Kapoor's finest: Saagar (1985), which Sippy directed for his father G. P. Sippy's production. His article records that it starred Rishi Kapoor and Kamal Haasan and marked Dimple Kapadia's return to films twelve years after her debut in Bobby — so the film reunited Kapoor with his first leading lady, and cast him as the fisherman who loves her and loses. R. D. Burman's score was among the decade's best-selling.</t>
        </is>
      </c>
      <c r="P413" s="17" t="n">
        <v>1</v>
      </c>
      <c r="Q413" s="5" t="inlineStr">
        <is>
          <t>FILM-049</t>
        </is>
      </c>
      <c r="R413" s="5" t="inlineStr">
        <is>
          <t>Saagar (1985)</t>
        </is>
      </c>
      <c r="S413" s="5" t="inlineStr">
        <is>
          <t>Ramesh Sippy directed the best film Rishi Kapoor appeared in during his worst decade. The director of Sholay, a Padma Shri recipient and the son of the producer G. P. Sippy, Sippy made Saagar in 1985: his own article records that it starred Kapoor and Kamal Haasan and marked Dimple Kapadia's comeback twelve years after Bobby, the film in which she and Kapoor had become stars together. He plays Raja, the fisherman who loves her and is not chosen; the performance is among his most admired and R. D. Burman's score among the best-selling Hindi albums of the 1980s. In a decade of forgotten melodramas, Saagar is the exception that shows what he could still do.</t>
        </is>
      </c>
      <c r="T413" s="5" t="inlineStr">
        <is>
          <t>SOURCE-368</t>
        </is>
      </c>
      <c r="U413" s="5" t="inlineStr">
        <is>
          <t>High</t>
        </is>
      </c>
    </row>
    <row r="414" ht="94" customHeight="1">
      <c r="A414" s="15" t="inlineStr">
        <is>
          <t>PERSON-413</t>
        </is>
      </c>
      <c r="B414" s="5" t="inlineStr">
        <is>
          <t>Rangita Pritish Nandy</t>
        </is>
      </c>
      <c r="C414" s="5" t="inlineStr">
        <is>
          <t>Producer</t>
        </is>
      </c>
      <c r="D414" s="18" t="n"/>
      <c r="E414" s="18" t="n"/>
      <c r="F414" s="5" t="n"/>
      <c r="G414" s="5" t="inlineStr">
        <is>
          <t>Hindi cinema; Indian television</t>
        </is>
      </c>
      <c r="H414" s="5" t="inlineStr">
        <is>
          <t>A producer credited on one film in this filmography, with no Wikipedia article of her own; the name resolves to her father, the poet, editor and parliamentarian Pritish Nandy, whose article is cited on his own row in this sheet.</t>
        </is>
      </c>
      <c r="I414" s="5" t="n"/>
      <c r="J414" s="5" t="inlineStr">
        <is>
          <t>With Kapoor: Kuch Khatti Kuch Meethi (2001).</t>
        </is>
      </c>
      <c r="K414" s="19" t="inlineStr">
        <is>
          <t>Urban English-speaking India, through her father's content company.</t>
        </is>
      </c>
      <c r="L414" s="19" t="inlineStr">
        <is>
          <t>Not documented individually.</t>
        </is>
      </c>
      <c r="M414" s="5" t="n"/>
      <c r="N414" s="19" t="inlineStr">
        <is>
          <t>Not independently documented.</t>
        </is>
      </c>
      <c r="O414" s="19" t="inlineStr">
        <is>
          <t>One film: Rahul Rawail's Kuch Khatti Kuch Meethi (2001), produced with her father Pritish Nandy, in which Kapoor plays the father of twin daughters raised apart after a divorce. It belongs to the quiet years before Hum Tum reopened his career.</t>
        </is>
      </c>
      <c r="P414" s="17" t="n">
        <v>1</v>
      </c>
      <c r="Q414" s="5" t="inlineStr">
        <is>
          <t>FILM-113</t>
        </is>
      </c>
      <c r="R414" s="5" t="inlineStr">
        <is>
          <t>Kuch Khatti Kuch Meethi (2001)</t>
        </is>
      </c>
      <c r="S414" s="5" t="inlineStr">
        <is>
          <t>Rangita Pritish Nandy co-produced Kuch Khatti Kuch Meethi (2001) with her father, and has no article of her own — the name leads to his. Pritish Nandy was a Padma Shri-winning poet, publishing director of The Times of India Group and a former editor of Filmfare, whose awards recur throughout this workbook; the family's content company made television and film. Their one Kapoor film is a family comedy of separated twins directed by Rahul Rawail, who had given Kapoor a lead in his own debut twenty-one years earlier. It made no impression. This row is built from the film's credits alone.</t>
        </is>
      </c>
      <c r="T414" s="5" t="inlineStr">
        <is>
          <t>SOURCE-105</t>
        </is>
      </c>
      <c r="U414" s="5" t="inlineStr">
        <is>
          <t>Low</t>
        </is>
      </c>
    </row>
    <row r="415" ht="94" customHeight="1">
      <c r="A415" s="15" t="inlineStr">
        <is>
          <t>PERSON-414</t>
        </is>
      </c>
      <c r="B415" s="5" t="inlineStr">
        <is>
          <t>Ranjeev Verma</t>
        </is>
      </c>
      <c r="C415" s="5" t="inlineStr">
        <is>
          <t>Writer</t>
        </is>
      </c>
      <c r="D415" s="18" t="n"/>
      <c r="E415" s="18" t="n"/>
      <c r="F415" s="5" t="n"/>
      <c r="G415" s="5" t="inlineStr">
        <is>
          <t>Hindi cinema</t>
        </is>
      </c>
      <c r="H415" s="5" t="inlineStr">
        <is>
          <t>A writer credited on one film in this filmography, with no Wikipedia article of his own.</t>
        </is>
      </c>
      <c r="I415" s="5" t="n"/>
      <c r="J415" s="5" t="inlineStr">
        <is>
          <t>With Kapoor: Chalk N Duster (2016).</t>
        </is>
      </c>
      <c r="K415" s="19" t="inlineStr">
        <is>
          <t>The institutional drama; teachers and schools.</t>
        </is>
      </c>
      <c r="L415" s="19" t="inlineStr">
        <is>
          <t>Not documented.</t>
        </is>
      </c>
      <c r="M415" s="5" t="n"/>
      <c r="N415" s="19" t="inlineStr">
        <is>
          <t>Not independently documented.</t>
        </is>
      </c>
      <c r="O415" s="19" t="inlineStr">
        <is>
          <t>One film: Chalk N Duster (2016), a drama about schoolteachers resisting a commercialising management, with an ensemble including Shabana Azmi and Juhi Chawla and Kapoor in support — one of the small, socially minded films of his last years.</t>
        </is>
      </c>
      <c r="P415" s="17" t="n">
        <v>1</v>
      </c>
      <c r="Q415" s="5" t="inlineStr">
        <is>
          <t>FILM-150</t>
        </is>
      </c>
      <c r="R415" s="5" t="inlineStr">
        <is>
          <t>Chalk N Duster (2016)</t>
        </is>
      </c>
      <c r="S415" s="5" t="inlineStr">
        <is>
          <t>Ranjeev Verma is credited as a writer on Chalk N Duster (2016) and has no documented biography. The film is a modest drama about two teachers and the commercial pressures on their school, cast with veterans and with Kapoor in a supporting part. It belongs with Wedding Pullav and All Is Well among the late films in which his name lent respectability to productions that asked little of him, and it came four years before his death. This row is built from the film's credits alone.</t>
        </is>
      </c>
      <c r="T415" s="5" t="inlineStr">
        <is>
          <t>SOURCE-142</t>
        </is>
      </c>
      <c r="U415" s="5" t="inlineStr">
        <is>
          <t>Low</t>
        </is>
      </c>
    </row>
    <row r="416" ht="139" customHeight="1">
      <c r="A416" s="15" t="inlineStr">
        <is>
          <t>PERSON-415</t>
        </is>
      </c>
      <c r="B416" s="5" t="inlineStr">
        <is>
          <t>Ranjit Kapoor</t>
        </is>
      </c>
      <c r="C416" s="5" t="inlineStr">
        <is>
          <t>Director; Writer</t>
        </is>
      </c>
      <c r="D416" s="18" t="n"/>
      <c r="E416" s="18" t="n"/>
      <c r="F416" s="5" t="n"/>
      <c r="G416" s="5" t="inlineStr">
        <is>
          <t>Hindi cinema</t>
        </is>
      </c>
      <c r="H416" s="5" t="inlineStr">
        <is>
          <t>A director and writer credited on one film in this filmography. No Wikipedia article could be resolved for him: the bare name redirects to the 2021 film Chehre, and no disambiguated title was found. There is no evidence in the credits of any relation to the Kapoor family of this filmography.</t>
        </is>
      </c>
      <c r="I416" s="5" t="n"/>
      <c r="J416" s="5" t="inlineStr">
        <is>
          <t>With Kapoor: Chintu Ji (2009).</t>
        </is>
      </c>
      <c r="K416" s="19" t="inlineStr">
        <is>
          <t>Satire of celebrity and of the village's relation to it.</t>
        </is>
      </c>
      <c r="L416" s="19" t="inlineStr">
        <is>
          <t>Not documented here.</t>
        </is>
      </c>
      <c r="M416" s="5" t="n"/>
      <c r="N416" s="19" t="inlineStr">
        <is>
          <t>Not documented here.</t>
        </is>
      </c>
      <c r="O416" s="19" t="inlineStr">
        <is>
          <t>One film, and the most self-referential in the filmography: Chintu Ji (2009), which he wrote and directed, casts Kapoor as a film star named Chintu Ji — the nickname he had carried since childhood and by which the industry knew him — who returns to the village of his birth and is received as both celebrity and disappointment. Bobby Bedi of Kaleidoscope Entertainment produced it.</t>
        </is>
      </c>
      <c r="P416" s="17" t="n">
        <v>1</v>
      </c>
      <c r="Q416" s="5" t="inlineStr">
        <is>
          <t>FILM-132</t>
        </is>
      </c>
      <c r="R416" s="5" t="inlineStr">
        <is>
          <t>Chintu Ji (2009)</t>
        </is>
      </c>
      <c r="S416" s="5" t="inlineStr">
        <is>
          <t>Ranjit Kapoor wrote and directed Chintu Ji (2009), the film in which Rishi Kapoor plays a version of himself, and no article for him could be resolved in this research. The premise is unusually bold: a star called Chintu Ji — Kapoor's own lifelong nickname — goes back to the village where he was born, where the inhabitants have their own ideas about what he owes them. That it was produced by Bobby Bedi, whose Kaleidoscope Entertainment made Bandit Queen and Maqbool, suggests the film was conceived as satire rather than vanity. It came a year before Do Dooni Chaar, in the period when Kapoor had begun treating his own persona as material.</t>
        </is>
      </c>
      <c r="T416" s="5" t="inlineStr">
        <is>
          <t>SOURCE-124</t>
        </is>
      </c>
      <c r="U416" s="5" t="inlineStr">
        <is>
          <t>Low</t>
        </is>
      </c>
    </row>
    <row r="417" ht="124" customHeight="1">
      <c r="A417" s="15" t="inlineStr">
        <is>
          <t>PERSON-416</t>
        </is>
      </c>
      <c r="B417" s="5" t="inlineStr">
        <is>
          <t>Ratan Khatri</t>
        </is>
      </c>
      <c r="C417" s="5" t="inlineStr">
        <is>
          <t>Producer</t>
        </is>
      </c>
      <c r="D417" s="17" t="n">
        <v>1932</v>
      </c>
      <c r="E417" s="17" t="n">
        <v>2020</v>
      </c>
      <c r="F417" s="5" t="n"/>
      <c r="G417" s="5" t="inlineStr">
        <is>
          <t>Hindi cinema; Bombay gambling</t>
        </is>
      </c>
      <c r="H417" s="5" t="inlineStr">
        <is>
          <t>Ratan Khatri (c. 1932 – 9 May 2020) was an Indian gambling figure and film producer, widely known as the Matka King for his central role in turning matka — a form of betting — into one of Bombay's most lucrative underground industries.</t>
        </is>
      </c>
      <c r="I417" s="5" t="inlineStr">
        <is>
          <t>A bookmaker before his film production; his article treats the gambling career as the principal subject.</t>
        </is>
      </c>
      <c r="J417" s="5" t="inlineStr">
        <is>
          <t>With Kapoor: Rangila Ratan (1976).</t>
        </is>
      </c>
      <c r="K417" s="19" t="inlineStr">
        <is>
          <t>Not documented as a producer; his article concerns the matka business, its rise and its decline.</t>
        </is>
      </c>
      <c r="L417" s="19" t="inlineStr">
        <is>
          <t>Not documented.</t>
        </is>
      </c>
      <c r="M417" s="5" t="n"/>
      <c r="N417" s="19" t="inlineStr">
        <is>
          <t>A major figure in the history of illegal gambling in Bombay, and a reminder of how that money reached the film industry.</t>
        </is>
      </c>
      <c r="O417" s="19" t="inlineStr">
        <is>
          <t>One film: Rangila Ratan (1976), a Kalyanji–Anandji-scored comedy from the rush of work that followed Bobby. The title's second word is his own name, which may or may not be coincidence; the film is otherwise undocumented. The credit is the clearest instance in this workbook of the industry's well-known dependence on money from outside it.</t>
        </is>
      </c>
      <c r="P417" s="17" t="n">
        <v>1</v>
      </c>
      <c r="Q417" s="5" t="inlineStr">
        <is>
          <t>FILM-011</t>
        </is>
      </c>
      <c r="R417" s="5" t="inlineStr">
        <is>
          <t>Rangila Ratan (1976)</t>
        </is>
      </c>
      <c r="S417" s="5" t="inlineStr">
        <is>
          <t>Ratan Khatri, the Matka King of Bombay, produced a Rishi Kapoor film. Khatri's article is about gambling rather than cinema: he was the central figure in transforming matka betting into one of the city's largest underground industries, and he died in May 2020, three weeks after Kapoor. His one credit here is Rangila Ratan (1976) — a comedy from the glut of films that followed Bobby, scored by Kalyanji–Anandji, whose title carries his own name. The relationship between the Hindi film industry's financing and Bombay's unofficial economies is widely discussed and rarely documented; this is one of the few places in this workbook where it appears on a credit list.</t>
        </is>
      </c>
      <c r="T417" s="5" t="inlineStr">
        <is>
          <t>SOURCE-369</t>
        </is>
      </c>
      <c r="U417" s="5" t="inlineStr">
        <is>
          <t>Medium</t>
        </is>
      </c>
    </row>
    <row r="418" ht="124" customHeight="1">
      <c r="A418" s="15" t="inlineStr">
        <is>
          <t>PERSON-417</t>
        </is>
      </c>
      <c r="B418" s="5" t="inlineStr">
        <is>
          <t>Ravi</t>
        </is>
      </c>
      <c r="C418" s="5" t="inlineStr">
        <is>
          <t>Song composer</t>
        </is>
      </c>
      <c r="D418" s="18" t="n"/>
      <c r="E418" s="18" t="n"/>
      <c r="F418" s="5" t="n"/>
      <c r="G418" s="5" t="inlineStr">
        <is>
          <t>Hindi cinema</t>
        </is>
      </c>
      <c r="H418" s="5" t="inlineStr">
        <is>
          <t>A composer credited on one film in this filmography under a single name. No Wikipedia article could be resolved for him: the bare credit leads to a disambiguation page, and this research did not establish which composer is meant, though the name was used by a well-known Hindi film composer of the period.</t>
        </is>
      </c>
      <c r="I418" s="5" t="n"/>
      <c r="J418" s="5" t="inlineStr">
        <is>
          <t>With Kapoor: Tawaif (1985).</t>
        </is>
      </c>
      <c r="K418" s="19" t="inlineStr">
        <is>
          <t>Not established here.</t>
        </is>
      </c>
      <c r="L418" s="19" t="inlineStr">
        <is>
          <t>Not established here.</t>
        </is>
      </c>
      <c r="M418" s="5" t="n"/>
      <c r="N418" s="19" t="inlineStr">
        <is>
          <t>Not established here.</t>
        </is>
      </c>
      <c r="O418" s="19" t="inlineStr">
        <is>
          <t>One film, and a substantial one: B. R. Chopra's Tawaif (1985), for which Rahi Masoom Raza won his second Filmfare Award for Best Dialogue, and in which Kapoor plays a man who shelters a courtesan and comes to love her. It is among the few films of his middle period that treats love as moral complication rather than courtship.</t>
        </is>
      </c>
      <c r="P418" s="17" t="n">
        <v>1</v>
      </c>
      <c r="Q418" s="5" t="inlineStr">
        <is>
          <t>FILM-050</t>
        </is>
      </c>
      <c r="R418" s="5" t="inlineStr">
        <is>
          <t>Tawaif (1985)</t>
        </is>
      </c>
      <c r="S418" s="5" t="inlineStr">
        <is>
          <t>The composer credited simply as Ravi on Tawaif (1985) could not be identified with confidence in this research: the single name leads only to a disambiguation page, and this workbook declines to attach a biography on the strength of a first name. The film itself is one of the more serious of Kapoor's middle period — B. R. Chopra directing Rahi Masoom Raza's script about a courtesan taken into a respectable household, which won Raza his second Filmfare Award for Best Dialogue. Single-name credits recur across the Hindi industry of the period and are among the hardest entries in this workbook to resolve. This row is built from the film's credits alone.</t>
        </is>
      </c>
      <c r="T418" s="5" t="inlineStr">
        <is>
          <t>SOURCE-046</t>
        </is>
      </c>
      <c r="U418" s="5" t="inlineStr">
        <is>
          <t>Low</t>
        </is>
      </c>
    </row>
    <row r="419" ht="79" customHeight="1">
      <c r="A419" s="15" t="inlineStr">
        <is>
          <t>PERSON-418</t>
        </is>
      </c>
      <c r="B419" s="5" t="inlineStr">
        <is>
          <t>Ravindra Peepat</t>
        </is>
      </c>
      <c r="C419" s="5" t="inlineStr">
        <is>
          <t>Writer</t>
        </is>
      </c>
      <c r="D419" s="18" t="n"/>
      <c r="E419" s="18" t="n"/>
      <c r="F419" s="5" t="n"/>
      <c r="G419" s="5" t="inlineStr">
        <is>
          <t>Hindi cinema</t>
        </is>
      </c>
      <c r="H419" s="5" t="inlineStr">
        <is>
          <t>A writer credited on one film in this filmography, with no Wikipedia article of his own.</t>
        </is>
      </c>
      <c r="I419" s="5" t="n"/>
      <c r="J419" s="5" t="inlineStr">
        <is>
          <t>With Kapoor: Biwi-O-Biwi (1981).</t>
        </is>
      </c>
      <c r="K419" s="19" t="inlineStr">
        <is>
          <t>Not documented.</t>
        </is>
      </c>
      <c r="L419" s="19" t="inlineStr">
        <is>
          <t>Not documented; credited alongside Prabhakar Tamhane.</t>
        </is>
      </c>
      <c r="M419" s="5" t="n"/>
      <c r="N419" s="19" t="inlineStr">
        <is>
          <t>Not independently documented.</t>
        </is>
      </c>
      <c r="O419" s="19" t="inlineStr">
        <is>
          <t>One film: Biwi-O-Biwi (1981), an R. K. Films production directed by Rahul Rawail with an R. D. Burman score — one of the six R. K. films in this filmography and one of the few comedies among them.</t>
        </is>
      </c>
      <c r="P419" s="17" t="n">
        <v>1</v>
      </c>
      <c r="Q419" s="5" t="inlineStr">
        <is>
          <t>FILM-033</t>
        </is>
      </c>
      <c r="R419" s="5" t="inlineStr">
        <is>
          <t>Biwi-O-Biwi (1981)</t>
        </is>
      </c>
      <c r="S419" s="5" t="inlineStr">
        <is>
          <t>Ravindra Peepat is credited as a writer on Biwi-O-Biwi (1981) and has no documented biography. The film is one of six R. K. Films productions in this filmography — the family studio that gave Kapoor his credited debut in Mera Naam Joker and his stardom in Bobby — and among the lightest: a comedy directed by Rahul Rawail with an R. D. Burman score, made while Raj Kapoor was preparing Prem Rog. It sits between the two Raj Kapoor melodramas that frame his work for the family studio. This row is built from the film's credits alone.</t>
        </is>
      </c>
      <c r="T419" s="5" t="inlineStr">
        <is>
          <t>SOURCE-033</t>
        </is>
      </c>
      <c r="U419" s="5" t="inlineStr">
        <is>
          <t>Low</t>
        </is>
      </c>
    </row>
    <row r="420" ht="169" customHeight="1">
      <c r="A420" s="15" t="inlineStr">
        <is>
          <t>PERSON-419</t>
        </is>
      </c>
      <c r="B420" s="5" t="inlineStr">
        <is>
          <t>Ray Panthaki</t>
        </is>
      </c>
      <c r="C420" s="5" t="inlineStr">
        <is>
          <t>Writer</t>
        </is>
      </c>
      <c r="D420" s="17" t="n">
        <v>1979</v>
      </c>
      <c r="E420" s="18" t="n"/>
      <c r="F420" s="5" t="inlineStr">
        <is>
          <t>1999–present</t>
        </is>
      </c>
      <c r="G420" s="5" t="inlineStr">
        <is>
          <t>British film and television</t>
        </is>
      </c>
      <c r="H420" s="5" t="inlineStr">
        <is>
          <t>Ray Panthaki (born 20 January 1979 in London) is a British actor, writer, director and producer. On television he is known for the BBC series EastEnders (2003–2005) and Blessed (2005), the ITV series Marcella (2016–2020), Sky Atlantic's Gangs of London and the Netflix series Away. He was nominated for Best Supporting Actor in a Play at the TMA Theatre Awards in 2006 for Gladiator Games, and for the British Independent Film Award for Best Supporting Actor in 2021 for Boiling Point.</t>
        </is>
      </c>
      <c r="I420" s="5" t="inlineStr">
        <is>
          <t>On screen from 1999.</t>
        </is>
      </c>
      <c r="J420" s="5" t="inlineStr">
        <is>
          <t>With Kapoor: Don't Stop Dreaming (2007). Elsewhere, EastEnders, Marcella, Gangs of London and Boiling Point.</t>
        </is>
      </c>
      <c r="K420" s="19" t="inlineStr">
        <is>
          <t>British Asian experience on screen; ensemble television drama.</t>
        </is>
      </c>
      <c r="L420" s="19" t="inlineStr">
        <is>
          <t>An actor who also writes, directs and produces, working mainly in British film and television.</t>
        </is>
      </c>
      <c r="M420" s="5" t="inlineStr">
        <is>
          <t>TMA Theatre Award nomination (2006); British Independent Film Award nomination for Best Supporting Actor (2021).</t>
        </is>
      </c>
      <c r="N420" s="19" t="inlineStr">
        <is>
          <t>A significant British Asian screen actor of his generation, with a parallel career behind the camera.</t>
        </is>
      </c>
      <c r="O420" s="19" t="inlineStr">
        <is>
          <t>One credit: Don't Stop Dreaming (2007), one of the two English-language films in this filmography, both written and directed by Kapoor's cousin Aditya Raj Kapoor. Panthaki's involvement, along with Richard Blackwood's in the cast and Taz of Stereo Nation's score, places the film in the British Asian production world rather than the Hindi industry.</t>
        </is>
      </c>
      <c r="P420" s="17" t="n">
        <v>1</v>
      </c>
      <c r="Q420" s="5" t="inlineStr">
        <is>
          <t>FILM-122</t>
        </is>
      </c>
      <c r="R420" s="5" t="inlineStr">
        <is>
          <t>Don't Stop Dreaming (2007)</t>
        </is>
      </c>
      <c r="S420" s="5" t="inlineStr">
        <is>
          <t>Ray Panthaki is the only British screen professional with a writing credit in this filmography. A London-born actor known for EastEnders, Marcella, Gangs of London and Boiling Point — for which he received a British Independent Film Award nomination — Panthaki also writes, directs and produces. His credit here is Don't Stop Dreaming (2007), one of two English-language films Rishi Kapoor made that year for his cousin Aditya Raj Kapoor, with a soundtrack by Taz of Stereo Nation and Richard Blackwood in the cast. The film belongs to the British Asian production world rather than to Bombay, and it is among the least documented entries in this workbook.</t>
        </is>
      </c>
      <c r="T420" s="5" t="inlineStr">
        <is>
          <t>SOURCE-370</t>
        </is>
      </c>
      <c r="U420" s="5" t="inlineStr">
        <is>
          <t>High</t>
        </is>
      </c>
    </row>
    <row r="421" ht="139" customHeight="1">
      <c r="A421" s="15" t="inlineStr">
        <is>
          <t>PERSON-420</t>
        </is>
      </c>
      <c r="B421" s="5" t="inlineStr">
        <is>
          <t>Reema Rakesh Nath</t>
        </is>
      </c>
      <c r="C421" s="5" t="inlineStr">
        <is>
          <t>Producer; Writer</t>
        </is>
      </c>
      <c r="D421" s="18" t="n"/>
      <c r="E421" s="18" t="n"/>
      <c r="F421" s="5" t="n"/>
      <c r="G421" s="5" t="inlineStr">
        <is>
          <t>Hindi cinema</t>
        </is>
      </c>
      <c r="H421" s="5" t="inlineStr">
        <is>
          <t>Reema Rakesh Nath is an Indian film writer, director and producer, best known for scripting Saajan (1991) — a golden jubilee film and the highest-grossing Hindi release of its year — and for Aarzoo and Hum Tumhare Hain Sanam. She directed Mohabbat (1997). She is married to Rakesh Nath; her son is the actor Karan Nath, and the actors Tej Sapru and Priti Sapru are her brother and sister.</t>
        </is>
      </c>
      <c r="I421" s="5" t="inlineStr">
        <is>
          <t>Writing from the 1980s; Saajan (1991) was her biggest success.</t>
        </is>
      </c>
      <c r="J421" s="5" t="inlineStr">
        <is>
          <t>With Kapoor: Yaraana (1995), which she wrote and produced. Elsewhere, Saajan, Aarzoo and Hum Tumhare Hain Sanam.</t>
        </is>
      </c>
      <c r="K421" s="19" t="inlineStr">
        <is>
          <t>Melodrama of sacrifice and disguise; the love triangle in which one lover conceals himself.</t>
        </is>
      </c>
      <c r="L421" s="19" t="inlineStr">
        <is>
          <t>A writer-producer of high melodrama with a strong instinct for the situation that sells a soundtrack.</t>
        </is>
      </c>
      <c r="M421" s="5" t="n"/>
      <c r="N421" s="19" t="inlineStr">
        <is>
          <t>The writer of Saajan, one of the defining commercial melodramas of the early 1990s, and one of the few women writing and producing at that level in the period.</t>
        </is>
      </c>
      <c r="O421" s="19" t="inlineStr">
        <is>
          <t>One film, which she both wrote and produced: Yaraana (1995), directed by David Dhawan with an Anu Malik score, in which Kapoor is top-billed opposite Madhuri Dixit. It is among his last leading romances, and the only one in this filmography written and produced by the same woman.</t>
        </is>
      </c>
      <c r="P421" s="17" t="n">
        <v>1</v>
      </c>
      <c r="Q421" s="5" t="inlineStr">
        <is>
          <t>FILM-106</t>
        </is>
      </c>
      <c r="R421" s="5" t="inlineStr">
        <is>
          <t>Yaraana (1995)</t>
        </is>
      </c>
      <c r="S421" s="5" t="inlineStr">
        <is>
          <t>Reema Rakesh Nath wrote and produced Yaraana (1995), one of Rishi Kapoor's last films as a romantic lead. Her reputation rests on Saajan (1991), the melodrama of a crippled poet who writes love letters under his friend's name — a golden jubilee film and the biggest Hindi release of its year — and she also wrote Aarzoo and Hum Tumhare Hain Sanam and directed Mohabbat. Yaraana, directed by David Dhawan with Anu Malik's songs, cast Kapoor opposite Madhuri Dixit at a point when the romantic formula he embodied was being retired. She is among the very few women in this workbook credited as both writer and producer on the same film.</t>
        </is>
      </c>
      <c r="T421" s="5" t="inlineStr">
        <is>
          <t>SOURCE-371</t>
        </is>
      </c>
      <c r="U421" s="5" t="inlineStr">
        <is>
          <t>High</t>
        </is>
      </c>
    </row>
    <row r="422" ht="94" customHeight="1">
      <c r="A422" s="15" t="inlineStr">
        <is>
          <t>PERSON-421</t>
        </is>
      </c>
      <c r="B422" s="5" t="inlineStr">
        <is>
          <t>Rensil D'Silva</t>
        </is>
      </c>
      <c r="C422" s="5" t="inlineStr">
        <is>
          <t>Writer</t>
        </is>
      </c>
      <c r="D422" s="18" t="n"/>
      <c r="E422" s="18" t="n"/>
      <c r="F422" s="5" t="n"/>
      <c r="G422" s="5" t="inlineStr">
        <is>
          <t>Hindi cinema</t>
        </is>
      </c>
      <c r="H422" s="5" t="inlineStr">
        <is>
          <t>Rensil D'Silva, from Mumbai, is an Indian screenwriter and film director. His article records that he wrote the screenplay for Karan Johar's Student of the Year in 2011.</t>
        </is>
      </c>
      <c r="I422" s="5" t="inlineStr">
        <is>
          <t>Screenwriting in the 2000s; he also directs.</t>
        </is>
      </c>
      <c r="J422" s="5" t="inlineStr">
        <is>
          <t>With Kapoor: Student of the Year (2012). Elsewhere, Rang De Basanti as co-writer and Kurbaan as director.</t>
        </is>
      </c>
      <c r="K422" s="19" t="inlineStr">
        <is>
          <t>Young Indians and the institutions that shape them; the thriller with a political edge.</t>
        </is>
      </c>
      <c r="L422" s="19" t="inlineStr">
        <is>
          <t>A screenwriter who moved into directing, working on both youth drama and political thriller.</t>
        </is>
      </c>
      <c r="M422" s="5" t="n"/>
      <c r="N422" s="19" t="inlineStr">
        <is>
          <t>A writer on two of the more culturally visible Hindi films of his period.</t>
        </is>
      </c>
      <c r="O422" s="19" t="inlineStr">
        <is>
          <t>One film: Student of the Year (2012), Karan Johar's youth ensemble, in which Kapoor plays the dean of a fantasy college. The film launched three debutant actors, and his presence supplied the credibility a cast of newcomers lacked.</t>
        </is>
      </c>
      <c r="P422" s="17" t="n">
        <v>1</v>
      </c>
      <c r="Q422" s="5" t="inlineStr">
        <is>
          <t>FILM-139</t>
        </is>
      </c>
      <c r="R422" s="5" t="inlineStr">
        <is>
          <t>Student of the Year (2012)</t>
        </is>
      </c>
      <c r="S422" s="5" t="inlineStr">
        <is>
          <t>Rensil D'Silva wrote Student of the Year, one of three Dharma Productions films that reshaped Rishi Kapoor's late career. A Mumbai screenwriter who also directs, D'Silva is credited by his own article with the screenplay of Karan Johar's 2012 film, a youth ensemble that launched Sidharth Malhotra, Alia Bhatt and Varun Dhawan and needed an established older presence to hold it together; Kapoor played the dean. In the same year Dharma's Agneepath gave him Rauf Lala. The two films together established the two registers — indulgent elder and genuine villain — that his final decade alternated between.</t>
        </is>
      </c>
      <c r="T422" s="5" t="inlineStr">
        <is>
          <t>SOURCE-372</t>
        </is>
      </c>
      <c r="U422" s="5" t="inlineStr">
        <is>
          <t>Medium</t>
        </is>
      </c>
    </row>
    <row r="423" ht="94" customHeight="1">
      <c r="A423" s="15" t="inlineStr">
        <is>
          <t>PERSON-422</t>
        </is>
      </c>
      <c r="B423" s="5" t="inlineStr">
        <is>
          <t>Renu Patel</t>
        </is>
      </c>
      <c r="C423" s="5" t="inlineStr">
        <is>
          <t>Producer</t>
        </is>
      </c>
      <c r="D423" s="18" t="n"/>
      <c r="E423" s="18" t="n"/>
      <c r="F423" s="5" t="n"/>
      <c r="G423" s="5" t="inlineStr">
        <is>
          <t>English-language Indian cinema</t>
        </is>
      </c>
      <c r="H423" s="5" t="inlineStr">
        <is>
          <t>A producer credited on one film in this filmography, with no Wikipedia article of her own.</t>
        </is>
      </c>
      <c r="I423" s="5" t="n"/>
      <c r="J423" s="5" t="inlineStr">
        <is>
          <t>With Kapoor: Sambar Salsa (2007).</t>
        </is>
      </c>
      <c r="K423" s="19" t="inlineStr">
        <is>
          <t>Not documented.</t>
        </is>
      </c>
      <c r="L423" s="19" t="inlineStr">
        <is>
          <t>Not documented.</t>
        </is>
      </c>
      <c r="M423" s="5" t="n"/>
      <c r="N423" s="19" t="inlineStr">
        <is>
          <t>Not independently documented.</t>
        </is>
      </c>
      <c r="O423" s="19" t="inlineStr">
        <is>
          <t>One film: Sambar Salsa (2007), one of the two English-language films in this filmography, both written and directed by Kapoor's cousin Aditya Raj Kapoor and both released that year. They are the least documented entries in the workbook.</t>
        </is>
      </c>
      <c r="P423" s="17" t="n">
        <v>1</v>
      </c>
      <c r="Q423" s="5" t="inlineStr">
        <is>
          <t>FILM-124</t>
        </is>
      </c>
      <c r="R423" s="5" t="inlineStr">
        <is>
          <t>Sambar Salsa (2007)</t>
        </is>
      </c>
      <c r="S423" s="5" t="inlineStr">
        <is>
          <t>Renu Patel is credited as a producer on Sambar Salsa (2007) and has no documented biography. The film is one of two English-language pictures Rishi Kapoor made that year, both written and directed by his first cousin Aditya Raj Kapoor and both so thinly released that this workbook can record almost nothing about them: no substantial reviews, no commercial figures, and producers and banners with no documentation at all. They fall in the gap between his Yash Raj supporting roles and the Dharma films that followed. This row is built from the film's credits alone.</t>
        </is>
      </c>
      <c r="T423" s="5" t="inlineStr">
        <is>
          <t>SOURCE-117</t>
        </is>
      </c>
      <c r="U423" s="5" t="inlineStr">
        <is>
          <t>Low</t>
        </is>
      </c>
    </row>
    <row r="424" ht="109" customHeight="1">
      <c r="A424" s="15" t="inlineStr">
        <is>
          <t>PERSON-423</t>
        </is>
      </c>
      <c r="B424" s="5" t="inlineStr">
        <is>
          <t>Renuka Kunzru</t>
        </is>
      </c>
      <c r="C424" s="5" t="inlineStr">
        <is>
          <t>Writer</t>
        </is>
      </c>
      <c r="D424" s="18" t="n"/>
      <c r="E424" s="18" t="n"/>
      <c r="F424" s="5" t="n"/>
      <c r="G424" s="5" t="inlineStr">
        <is>
          <t>Hindi cinema</t>
        </is>
      </c>
      <c r="H424" s="5" t="inlineStr">
        <is>
          <t>A writer credited on one film in this filmography, with no Wikipedia article of her own.</t>
        </is>
      </c>
      <c r="I424" s="5" t="n"/>
      <c r="J424" s="5" t="inlineStr">
        <is>
          <t>With Kapoor: Chashme Buddoor (2013).</t>
        </is>
      </c>
      <c r="K424" s="19" t="inlineStr">
        <is>
          <t>Not documented.</t>
        </is>
      </c>
      <c r="L424" s="19" t="inlineStr">
        <is>
          <t>Not documented; credited alongside Sajid–Farhad and the director David Dhawan.</t>
        </is>
      </c>
      <c r="M424" s="5" t="n"/>
      <c r="N424" s="19" t="inlineStr">
        <is>
          <t>Not independently documented.</t>
        </is>
      </c>
      <c r="O424" s="19" t="inlineStr">
        <is>
          <t>One film: Chashme Buddoor (2013), David Dhawan's remake of the 1981 campus comedy, in which Kapoor appears in support. It was the fifth and last of Dhawan's films with him — more than any other director in this filmography — and came twenty-one years after their first, Bol Radha Bol.</t>
        </is>
      </c>
      <c r="P424" s="17" t="n">
        <v>1</v>
      </c>
      <c r="Q424" s="5" t="inlineStr">
        <is>
          <t>FILM-141</t>
        </is>
      </c>
      <c r="R424" s="5" t="inlineStr">
        <is>
          <t>Chashme Buddoor (2013)</t>
        </is>
      </c>
      <c r="S424" s="5" t="inlineStr">
        <is>
          <t>Renuka Kunzru is credited as a writer on Chashme Buddoor (2013) and has no documented biography. The film is David Dhawan's remake of Sai Paranjpye's 1981 campus comedy, and it closes the longest director relationship in this filmography: Dhawan directed Kapoor five times between 1992 and 2013, beginning with the double-role hit Bol Radha Bol when Kapoor was still a lead and ending here with him in a supporting role in a film aimed at a generation that knew him as somebody's father. This row is built from the film's credits alone.</t>
        </is>
      </c>
      <c r="T424" s="5" t="inlineStr">
        <is>
          <t>SOURCE-133</t>
        </is>
      </c>
      <c r="U424" s="5" t="inlineStr">
        <is>
          <t>Low</t>
        </is>
      </c>
    </row>
    <row r="425" ht="79" customHeight="1">
      <c r="A425" s="15" t="inlineStr">
        <is>
          <t>PERSON-424</t>
        </is>
      </c>
      <c r="B425" s="5" t="inlineStr">
        <is>
          <t>Rita Rawail</t>
        </is>
      </c>
      <c r="C425" s="5" t="inlineStr">
        <is>
          <t>Producer</t>
        </is>
      </c>
      <c r="D425" s="18" t="n"/>
      <c r="E425" s="18" t="n"/>
      <c r="F425" s="5" t="n"/>
      <c r="G425" s="5" t="inlineStr">
        <is>
          <t>Hindi cinema</t>
        </is>
      </c>
      <c r="H425" s="5" t="inlineStr">
        <is>
          <t>A producer credited on one film in this filmography, with no Wikipedia article of her own. The name belongs to the Rawail film family.</t>
        </is>
      </c>
      <c r="I425" s="5" t="n"/>
      <c r="J425" s="5" t="inlineStr">
        <is>
          <t>With Kapoor: Kuch Khatti Kuch Meethi (2001).</t>
        </is>
      </c>
      <c r="K425" s="19" t="inlineStr">
        <is>
          <t>Not documented.</t>
        </is>
      </c>
      <c r="L425" s="19" t="inlineStr">
        <is>
          <t>Not documented.</t>
        </is>
      </c>
      <c r="M425" s="5" t="n"/>
      <c r="N425" s="19" t="inlineStr">
        <is>
          <t>Not independently documented.</t>
        </is>
      </c>
      <c r="O425" s="19" t="inlineStr">
        <is>
          <t>One film: Kuch Khatti Kuch Meethi (2001), Rahul Rawail's comedy in which Kapoor plays Raj Khanna, a father who separates from his wife on a lie and raises one of their twin daughters alone.</t>
        </is>
      </c>
      <c r="P425" s="17" t="n">
        <v>1</v>
      </c>
      <c r="Q425" s="5" t="inlineStr">
        <is>
          <t>FILM-113</t>
        </is>
      </c>
      <c r="R425" s="5" t="inlineStr">
        <is>
          <t>Kuch Khatti Kuch Meethi (2001)</t>
        </is>
      </c>
      <c r="S425" s="5" t="inlineStr">
        <is>
          <t>Rita Rawail is credited as a producer on Kuch Khatti Kuch Meethi (2001) and has no documented biography. The film matters less for her than for what it completes: Kapoor worked with three generations of the Rawail family across twenty-five years. H. S. Rawail directed him in Laila Majnu (1976), the role that fixed his tragic-romantic register, and again in Deedar-E-Yaar (1982); Rahul Rawail directed this one, by which time Kapoor was playing the father rather than the lover. This row is built from the film's credits alone.</t>
        </is>
      </c>
      <c r="T425" s="5" t="inlineStr">
        <is>
          <t>SOURCE-105</t>
        </is>
      </c>
      <c r="U425" s="5" t="inlineStr">
        <is>
          <t>Low</t>
        </is>
      </c>
    </row>
    <row r="426" ht="169" customHeight="1">
      <c r="A426" s="15" t="inlineStr">
        <is>
          <t>PERSON-425</t>
        </is>
      </c>
      <c r="B426" s="5" t="inlineStr">
        <is>
          <t>Ritesh Shah</t>
        </is>
      </c>
      <c r="C426" s="5" t="inlineStr">
        <is>
          <t>Writer</t>
        </is>
      </c>
      <c r="D426" s="17" t="n">
        <v>1976</v>
      </c>
      <c r="E426" s="18" t="n"/>
      <c r="F426" s="5" t="n"/>
      <c r="G426" s="5" t="inlineStr">
        <is>
          <t>Hindi cinema</t>
        </is>
      </c>
      <c r="H426" s="5" t="inlineStr">
        <is>
          <t>Ritesh Shah is an Indian screenwriter who works in Hindi films. Born in Anantnag, Jammu and Kashmir, into a Kashmiri family forced to migrate to Delhi during the exodus of 1990, he read English at Hindu College and took a master's in mass communication at Jamia Millia Islamia, then began as a playwright with the Act One Art Group in Delhi before moving to television in 1999 and to films after that.</t>
        </is>
      </c>
      <c r="I426" s="5" t="inlineStr">
        <is>
          <t>Television writing from 1999, including the series Kagaar; his first film as writer was Sujoy Ghosh's Home Delivery.</t>
        </is>
      </c>
      <c r="J426" s="5" t="inlineStr">
        <is>
          <t>With Kapoor: D-Day (2013). Elsewhere, the screenplays and dialogues of Kahaani (2012), Pink (2016), Airlift (2017) and Raid (2018).</t>
        </is>
      </c>
      <c r="K426" s="19" t="inlineStr">
        <is>
          <t>Procedural thrillers and issue dramas built on investigation; ordinary people pushed against institutions.</t>
        </is>
      </c>
      <c r="L426" s="19" t="inlineStr">
        <is>
          <t>A dialogue specialist whose reputation rests on spare, functional speech in tense scenes rather than on flourish.</t>
        </is>
      </c>
      <c r="M426" s="5" t="inlineStr">
        <is>
          <t>Filmfare, Star Screen and Zee Cine awards for Best Dialogue for Pink.</t>
        </is>
      </c>
      <c r="N426" s="19" t="inlineStr">
        <is>
          <t>One of the most sought-after Hindi dialogue writers of the 2010s, associated with the decade's turn towards tighter, more plot-driven commercial cinema.</t>
        </is>
      </c>
      <c r="O426" s="19" t="inlineStr">
        <is>
          <t>One film: D-Day (2013), Nikhil Advani's spy thriller, in which Kapoor plays Iqbal Seth, called Goldman, the fugitive the entire operation exists to capture. It is the most unambiguously villainous part of his late career and the role in which his charm is used as menace. Shah's own article also credits him with the dialogues of Namastey London (2007), another film in this workbook, though the Films sheet records Suresh Nair as its writer.</t>
        </is>
      </c>
      <c r="P426" s="17" t="n">
        <v>1</v>
      </c>
      <c r="Q426" s="5" t="inlineStr">
        <is>
          <t>FILM-143</t>
        </is>
      </c>
      <c r="R426" s="5" t="inlineStr">
        <is>
          <t>D-Day (2013)</t>
        </is>
      </c>
      <c r="S426" s="5" t="inlineStr">
        <is>
          <t>Ritesh Shah wrote D-Day, the film that gave Rishi Kapoor the hardest role of his final decade. Born in Anantnag in 1976 and displaced to Delhi with his family in 1990, Shah came to screenwriting through Delhi theatre and the Act One Art Group, adapting Slawomir Mrozek before television took him to Mumbai in 1999. Kagaar and other serials led to his first feature, Home Delivery, and then to the run that made his name: Kahaani, Pink, Airlift and Raid, with Filmfare, Star Screen and Zee Cine awards for the dialogues of Pink. His writing favours clipped exchanges under pressure, which is what D-Day asks of Kapoor: a Dawood Ibrahim figure who is domestic and affable in one scene and lethal in the next. Kapoor had begun playing antagonists only the year before, in Agneepath; Shah's script extended that line and confirmed that the actor's late reinvention was not a single stunt.</t>
        </is>
      </c>
      <c r="T426" s="5" t="inlineStr">
        <is>
          <t>SOURCE-135; SOURCE-373</t>
        </is>
      </c>
      <c r="U426" s="5" t="inlineStr">
        <is>
          <t>High</t>
        </is>
      </c>
    </row>
    <row r="427" ht="124" customHeight="1">
      <c r="A427" s="15" t="inlineStr">
        <is>
          <t>PERSON-426</t>
        </is>
      </c>
      <c r="B427" s="5" t="inlineStr">
        <is>
          <t>Robin Bhatt</t>
        </is>
      </c>
      <c r="C427" s="5" t="inlineStr">
        <is>
          <t>Writer</t>
        </is>
      </c>
      <c r="D427" s="18" t="n"/>
      <c r="E427" s="18" t="n"/>
      <c r="F427" s="5" t="n"/>
      <c r="G427" s="5" t="inlineStr">
        <is>
          <t>Hindi cinema</t>
        </is>
      </c>
      <c r="H427" s="5" t="inlineStr">
        <is>
          <t>Robin Bhatt is an Indian screenwriter who works in Hindi films, the son of the director Nanabhai Bhatt and the elder half-brother of Mahesh and Mukesh Bhatt. He has worked as a writer, an assistant and an occasional actor, with around sixty-six writing credits and more than ten acting appearances.</t>
        </is>
      </c>
      <c r="I427" s="5" t="inlineStr">
        <is>
          <t>His debut as a writer was Aashiqui.</t>
        </is>
      </c>
      <c r="J427" s="5" t="inlineStr">
        <is>
          <t>With Kapoor: Raju Chacha (2000). Elsewhere, Baazigar, Koi Mil Gaya, Krrish and Omkara.</t>
        </is>
      </c>
      <c r="K427" s="19" t="inlineStr">
        <is>
          <t>Commercial thrillers and family melodrama, much of it for Bhatt Productions.</t>
        </is>
      </c>
      <c r="L427" s="19" t="inlineStr">
        <is>
          <t>A career screenwriter inside a family production system, working to the demands of the star vehicle.</t>
        </is>
      </c>
      <c r="M427" s="5" t="inlineStr">
        <is>
          <t>An award for the screenplay of Baazigar; three further nominations, for Koi Mil Gaya, Krrish and Omkara; a lifetime achievement award at the Jaipur International Film Festival in 2019.</t>
        </is>
      </c>
      <c r="N427" s="19" t="inlineStr">
        <is>
          <t>A prolific hand in the Bhatt family's 1990s output, which is one of the industry's longest-running writing operations.</t>
        </is>
      </c>
      <c r="O427" s="19" t="inlineStr">
        <is>
          <t>One film: Raju Chacha (2000), Anil Devgan's children's adventure, in which Kapoor plays Siddhant Rai, a wealthy widower whose three children drive off every governess he hires. It is one of the supporting-father parts that filled the gap between his years as a lead and his revival later in the decade.</t>
        </is>
      </c>
      <c r="P427" s="17" t="n">
        <v>1</v>
      </c>
      <c r="Q427" s="5" t="inlineStr">
        <is>
          <t>FILM-112</t>
        </is>
      </c>
      <c r="R427" s="5" t="inlineStr">
        <is>
          <t>Raju Chacha (2000)</t>
        </is>
      </c>
      <c r="S427" s="5" t="inlineStr">
        <is>
          <t>Robin Bhatt wrote Raju Chacha, which arrived at the lowest point of Rishi Kapoor's career. The eldest of Nanabhai Bhatt's sons and half-brother to Mahesh and Mukesh, Bhatt debuted as a writer with Aashiqui and became one of the Bhatt operation's most prolific hands, with some sixty-six credits, an award for Baazigar and nominations for Koi Mil Gaya, Krrish and Omkara. Raju Chacha was an expensive Ajay Devgn production that failed, and Kapoor's part in it, the distracted rich father, is the kind of role he took repeatedly between 1999 and 2004: the lead years were over and the Dharma and Yash Raj revival had not begun. The Jaipur International Film Festival gave Bhatt a lifetime achievement award in 2019, the year before Kapoor's death.</t>
        </is>
      </c>
      <c r="T427" s="5" t="inlineStr">
        <is>
          <t>SOURCE-104; SOURCE-374</t>
        </is>
      </c>
      <c r="U427" s="5" t="inlineStr">
        <is>
          <t>High</t>
        </is>
      </c>
    </row>
    <row r="428" ht="94" customHeight="1">
      <c r="A428" s="15" t="inlineStr">
        <is>
          <t>PERSON-427</t>
        </is>
      </c>
      <c r="B428" s="5" t="inlineStr">
        <is>
          <t>Rohan–Vinayak</t>
        </is>
      </c>
      <c r="C428" s="5" t="inlineStr">
        <is>
          <t>Song composer</t>
        </is>
      </c>
      <c r="D428" s="18" t="n"/>
      <c r="E428" s="18" t="n"/>
      <c r="F428" s="5" t="n"/>
      <c r="G428" s="5" t="inlineStr">
        <is>
          <t>Hindi cinema</t>
        </is>
      </c>
      <c r="H428" s="5" t="inlineStr">
        <is>
          <t>A composing pair credited on one film in this filmography, with no Wikipedia article of their own.</t>
        </is>
      </c>
      <c r="I428" s="5" t="n"/>
      <c r="J428" s="5" t="inlineStr">
        <is>
          <t>With Kapoor: 102 Not Out (2018).</t>
        </is>
      </c>
      <c r="K428" s="19" t="inlineStr">
        <is>
          <t>Not documented.</t>
        </is>
      </c>
      <c r="L428" s="19" t="inlineStr">
        <is>
          <t>Not documented.</t>
        </is>
      </c>
      <c r="M428" s="5" t="n"/>
      <c r="N428" s="19" t="inlineStr">
        <is>
          <t>Not independently documented.</t>
        </is>
      </c>
      <c r="O428" s="19" t="inlineStr">
        <is>
          <t>One film: 102 Not Out (2018), Umesh Shukla's comedy about a 102-year-old father and his seventy-five-year-old son, in which Kapoor plays Babulal. It was his last completed leading role opposite Amitabh Bachchan, with whom he had worked since the 1970s.</t>
        </is>
      </c>
      <c r="P428" s="17" t="n">
        <v>1</v>
      </c>
      <c r="Q428" s="5" t="inlineStr">
        <is>
          <t>FILM-154</t>
        </is>
      </c>
      <c r="R428" s="5" t="inlineStr">
        <is>
          <t>102 Not Out (2018)</t>
        </is>
      </c>
      <c r="S428" s="5" t="inlineStr">
        <is>
          <t>Rohan-Vinayak are credited with songs on 102 Not Out (2018) and have no documented biography. The film is the final Bachchan-Kapoor pairing and an unusual one: the two had shared the screen since Kabhi Kabhie (1976) and Amar Akbar Anthony (1977), always as contemporaries, and here play father and son, with Bachchan the parent. Kapoor was sixty-five, cast as a man of seventy-five convinced he is finished, a conceit the film treats as a correctable error. This row is built from the film's credits alone.</t>
        </is>
      </c>
      <c r="T428" s="5" t="inlineStr">
        <is>
          <t>SOURCE-146</t>
        </is>
      </c>
      <c r="U428" s="5" t="inlineStr">
        <is>
          <t>Low</t>
        </is>
      </c>
    </row>
    <row r="429" ht="124" customHeight="1">
      <c r="A429" s="15" t="inlineStr">
        <is>
          <t>PERSON-428</t>
        </is>
      </c>
      <c r="B429" s="5" t="inlineStr">
        <is>
          <t>Rohena Gera</t>
        </is>
      </c>
      <c r="C429" s="5" t="inlineStr">
        <is>
          <t>Writer</t>
        </is>
      </c>
      <c r="D429" s="17" t="n">
        <v>1973</v>
      </c>
      <c r="E429" s="18" t="n"/>
      <c r="F429" s="5" t="n"/>
      <c r="G429" s="5" t="inlineStr">
        <is>
          <t>Hindi cinema; French co-productions</t>
        </is>
      </c>
      <c r="H429" s="5" t="inlineStr">
        <is>
          <t>Rohena Gera is an Indian screenwriter, director and producer. She studied at Stanford University and Sarah Lawrence College, wrote for Indian television and film, and moved into documentary and then feature direction, alongside non-profit campaigning on peace and equality.</t>
        </is>
      </c>
      <c r="I429" s="5" t="inlineStr">
        <is>
          <t>Screenwriting debut on the first season of the television series Jassi Jaissi Koi Nahin in 2003.</t>
        </is>
      </c>
      <c r="J429" s="5" t="inlineStr">
        <is>
          <t>With Kapoor: Thoda Pyaar Thoda Magic (2008). Elsewhere, the documentary What's Love Got to Do with It? (2013) and the feature Sir, which premiered in Cannes' Semaine de la critique.</t>
        </is>
      </c>
      <c r="K429" s="19" t="inlineStr">
        <is>
          <t>Class and the household; marriage as a negotiated arrangement rather than a romantic conclusion.</t>
        </is>
      </c>
      <c r="L429" s="19" t="inlineStr">
        <is>
          <t>Observational and restrained in her own films, in contrast with the studio comedy she wrote early on.</t>
        </is>
      </c>
      <c r="M429" s="5" t="inlineStr">
        <is>
          <t>The Gan Foundation award in Cannes' Semaine de la critique and the grand jury and audience awards at Saint-Jean-de-Luz, all for Sir.</t>
        </is>
      </c>
      <c r="N429" s="19" t="inlineStr">
        <is>
          <t>One of a small group of Indian writer-directors of her generation whose features reach European festivals on their own terms.</t>
        </is>
      </c>
      <c r="O429" s="19" t="inlineStr">
        <is>
          <t>One film: Thoda Pyaar Thoda Magic (2008), Kunal Kohli's fantasy comedy, in which Kapoor appears as God, hearing four orphaned children pray and sending an angel down to them. It is the third of his four films with Kohli and the most purely decorative part of the group.</t>
        </is>
      </c>
      <c r="P429" s="17" t="n">
        <v>1</v>
      </c>
      <c r="Q429" s="5" t="inlineStr">
        <is>
          <t>FILM-127</t>
        </is>
      </c>
      <c r="R429" s="5" t="inlineStr">
        <is>
          <t>Thoda Pyaar Thoda Magic (2008)</t>
        </is>
      </c>
      <c r="S429" s="5" t="inlineStr">
        <is>
          <t>Rohena Gera wrote Thoda Pyaar Thoda Magic, in which Rishi Kapoor plays God. Born in 1973 and educated at Stanford and Sarah Lawrence, Gera began in Indian television with Jassi Jaissi Koi Nahin in 2003, produced a public-service campaign against hate propaganda after the Gujarat riots, and then moved to her own work: the documentary What's Love Got to Do with It? (2013) and the feature Sir, which took the Gan Foundation award in Cannes' Semaine de la critique. Her own films examine class inside the household, which is a long way from the Yash Raj fantasy comedy she wrote for Kohli. Kapoor's cameo belongs to the stretch when he was most useful to producers as a benign presiding figure, and the credit is a reminder that writers in the Hindi industry often pass through commercial assignments some distance from the work they are later known for.</t>
        </is>
      </c>
      <c r="T429" s="5" t="inlineStr">
        <is>
          <t>SOURCE-118; SOURCE-375</t>
        </is>
      </c>
      <c r="U429" s="5" t="inlineStr">
        <is>
          <t>High</t>
        </is>
      </c>
    </row>
    <row r="430" ht="94" customHeight="1">
      <c r="A430" s="15" t="inlineStr">
        <is>
          <t>PERSON-429</t>
        </is>
      </c>
      <c r="B430" s="5" t="inlineStr">
        <is>
          <t>Rohit R. Kulkarni</t>
        </is>
      </c>
      <c r="C430" s="5" t="inlineStr">
        <is>
          <t>Background-score composer</t>
        </is>
      </c>
      <c r="D430" s="18" t="n"/>
      <c r="E430" s="18" t="n"/>
      <c r="F430" s="5" t="n"/>
      <c r="G430" s="5" t="inlineStr">
        <is>
          <t>Hindi cinema</t>
        </is>
      </c>
      <c r="H430" s="5" t="inlineStr">
        <is>
          <t>A background-score composer credited on one film in this filmography, with no Wikipedia article of his own.</t>
        </is>
      </c>
      <c r="I430" s="5" t="n"/>
      <c r="J430" s="5" t="inlineStr">
        <is>
          <t>With Kapoor: Wedding Pullav (2015).</t>
        </is>
      </c>
      <c r="K430" s="19" t="inlineStr">
        <is>
          <t>Not documented.</t>
        </is>
      </c>
      <c r="L430" s="19" t="inlineStr">
        <is>
          <t>Not documented.</t>
        </is>
      </c>
      <c r="M430" s="5" t="n"/>
      <c r="N430" s="19" t="inlineStr">
        <is>
          <t>Not independently documented.</t>
        </is>
      </c>
      <c r="O430" s="19" t="inlineStr">
        <is>
          <t>One film: Wedding Pullav (2015), in which Kapoor is top-billed as Luv Kapoor but which the filmography records as a cameo. It is one of several late credits where his name carried the poster and the part ran a few minutes.</t>
        </is>
      </c>
      <c r="P430" s="17" t="n">
        <v>1</v>
      </c>
      <c r="Q430" s="5" t="inlineStr">
        <is>
          <t>FILM-149</t>
        </is>
      </c>
      <c r="R430" s="5" t="inlineStr">
        <is>
          <t>Wedding Pullav (2015)</t>
        </is>
      </c>
      <c r="S430" s="5" t="inlineStr">
        <is>
          <t>Rohit R. Kulkarni composed the background score for Wedding Pullav (2015) and has no documented biography. The film shows how Kapoor's name functioned in his last years: billed first, used briefly. By 2015 he was taking three or four films a year in parts of very different weight, from the sustained lead of Kapoor &amp; Sons the following year to single-scene appearances like Chalk N Duster, and distributors continued to put his face on the poster regardless of which kind the film was. This row is built from the film's credits alone.</t>
        </is>
      </c>
      <c r="T430" s="5" t="inlineStr">
        <is>
          <t>SOURCE-141</t>
        </is>
      </c>
      <c r="U430" s="5" t="inlineStr">
        <is>
          <t>Low</t>
        </is>
      </c>
    </row>
    <row r="431" ht="139" customHeight="1">
      <c r="A431" s="15" t="inlineStr">
        <is>
          <t>PERSON-430</t>
        </is>
      </c>
      <c r="B431" s="5" t="inlineStr">
        <is>
          <t>Ronnie Screwvala</t>
        </is>
      </c>
      <c r="C431" s="5" t="inlineStr">
        <is>
          <t>Producer</t>
        </is>
      </c>
      <c r="D431" s="17" t="n">
        <v>1956</v>
      </c>
      <c r="E431" s="18" t="n"/>
      <c r="F431" s="5" t="n"/>
      <c r="G431" s="5" t="inlineStr">
        <is>
          <t>Hindi cinema; Indian media</t>
        </is>
      </c>
      <c r="H431" s="5" t="inlineStr">
        <is>
          <t>Rohinton Soli Screwvala, known as Ronnie Screwvala, is an Indian entrepreneur and film producer. He is considered a pioneer of Indian cable television and built UTV Software Communications into a media conglomerate that partnered with News Corp, 20th Century Fox, Disney and Bloomberg, divesting it to Disney in 2012 at an enterprise value of about US$1.4 billion.</t>
        </is>
      </c>
      <c r="I431" s="5" t="inlineStr">
        <is>
          <t>Cable television and then UTV; UTV Motion Pictures became a leading studio-model producer in the 2000s.</t>
        </is>
      </c>
      <c r="J431" s="5" t="inlineStr">
        <is>
          <t>With Kapoor: Delhi-6 (2009). Elsewhere, the UTV Motion Pictures slate of the 2000s and early 2010s.</t>
        </is>
      </c>
      <c r="K431" s="19" t="inlineStr">
        <is>
          <t>The studio rather than the auteur: a slate spanning mainstream star vehicles and director-driven films.</t>
        </is>
      </c>
      <c r="L431" s="19" t="inlineStr">
        <is>
          <t>A corporate producer who brought studio financing, slates and overseas partnership into an industry previously run on individual proprietors.</t>
        </is>
      </c>
      <c r="M431" s="5" t="inlineStr">
        <is>
          <t>Named on Esquire's list of the 75 most influential people of the 21st century in 2008 and ranked in the Time 100.</t>
        </is>
      </c>
      <c r="N431" s="19" t="inlineStr">
        <is>
          <t>Central to the corporatisation of Hindi film production in the 2000s, which changed who financed films and on what terms.</t>
        </is>
      </c>
      <c r="O431" s="19" t="inlineStr">
        <is>
          <t>One film: Delhi-6 (2009), Rakeysh Omprakash Mehra's drama, in which Kapoor plays Ali Beg, the cultivated figure of the Old Delhi lane who once loved the protagonist's mother. It is one of the roles that re-established him as a character actor worth writing for.</t>
        </is>
      </c>
      <c r="P431" s="17" t="n">
        <v>1</v>
      </c>
      <c r="Q431" s="5" t="inlineStr">
        <is>
          <t>FILM-129</t>
        </is>
      </c>
      <c r="R431" s="5" t="inlineStr">
        <is>
          <t>Delhi-6 (2009)</t>
        </is>
      </c>
      <c r="S431" s="5" t="inlineStr">
        <is>
          <t>Ronnie Screwvala produced Delhi-6 under UTV Motion Pictures, one of the films that reopened Rishi Kapoor's career. Born in 1956, Screwvala built UTV from cable television into a conglomerate with News Corp, Fox, Disney and Bloomberg as partners and sold it to Disney in 2012 for an enterprise value of about $1.4 billion, having been listed by Esquire and Time along the way; he has since worked through the Swades Foundation, UpGrad, U Sports and Unilazer Ventures. UTV's slate was exactly the kind of production environment that made Kapoor's second career possible: corporate financing allowed ensemble films where an older actor took a written part rather than a courtesy appearance. In 2009 he appeared in three such films, Delhi-6, Luck by Chance and Love Aaj Kal, after a decade of thin supporting work. Ali Beg, the neighbourhood's civilised centre with a private history, is the first of them in release order.</t>
        </is>
      </c>
      <c r="T431" s="5" t="inlineStr">
        <is>
          <t>SOURCE-121; SOURCE-376</t>
        </is>
      </c>
      <c r="U431" s="5" t="inlineStr">
        <is>
          <t>High</t>
        </is>
      </c>
    </row>
    <row r="432" ht="94" customHeight="1">
      <c r="A432" s="15" t="inlineStr">
        <is>
          <t>PERSON-431</t>
        </is>
      </c>
      <c r="B432" s="5" t="inlineStr">
        <is>
          <t>Roopvati Productions</t>
        </is>
      </c>
      <c r="C432" s="5" t="inlineStr">
        <is>
          <t>Production banner</t>
        </is>
      </c>
      <c r="D432" s="18" t="n"/>
      <c r="E432" s="18" t="n"/>
      <c r="F432" s="5" t="n"/>
      <c r="G432" s="5" t="inlineStr">
        <is>
          <t>Hindi cinema</t>
        </is>
      </c>
      <c r="H432" s="5" t="inlineStr">
        <is>
          <t>A production banner credited on one film in this filmography, with no Wikipedia article of its own.</t>
        </is>
      </c>
      <c r="I432" s="5" t="n"/>
      <c r="J432" s="5" t="inlineStr">
        <is>
          <t>With Kapoor: Saajan Ka Ghar (1994).</t>
        </is>
      </c>
      <c r="K432" s="19" t="inlineStr">
        <is>
          <t>Not documented.</t>
        </is>
      </c>
      <c r="L432" s="19" t="inlineStr">
        <is>
          <t>Not documented.</t>
        </is>
      </c>
      <c r="M432" s="5" t="n"/>
      <c r="N432" s="19" t="inlineStr">
        <is>
          <t>Not independently documented.</t>
        </is>
      </c>
      <c r="O432" s="19" t="inlineStr">
        <is>
          <t>One film: Saajan Ka Ghar (1994), Surendra Bohra's family melodrama, in which Kapoor plays an army officer married to a woman her family has mistreated since birth and who conceals from her that another pregnancy would kill her.</t>
        </is>
      </c>
      <c r="P432" s="17" t="n">
        <v>1</v>
      </c>
      <c r="Q432" s="5" t="inlineStr">
        <is>
          <t>FILM-100</t>
        </is>
      </c>
      <c r="R432" s="5" t="inlineStr">
        <is>
          <t>Saajan Ka Ghar (1994)</t>
        </is>
      </c>
      <c r="S432" s="5" t="inlineStr">
        <is>
          <t>Roopvati Productions is credited on Saajan Ka Ghar (1994) and has no documented history. The banner belongs to the stretch of the early 1990s when Kapoor was still leading films but almost entirely in domestic melodrama: Saajan Ka Ghar, Ghar Ki Izzat and their like, built on sacrifice inside the marital household rather than on courtship. The romance in these films is settled before the plot starts, which is why his lover-boy scores drop through the period while romance centrality stays high. This row is built from the film's credits alone.</t>
        </is>
      </c>
      <c r="T432" s="5" t="inlineStr">
        <is>
          <t>SOURCE-092</t>
        </is>
      </c>
      <c r="U432" s="5" t="inlineStr">
        <is>
          <t>Low</t>
        </is>
      </c>
    </row>
    <row r="433" ht="79" customHeight="1">
      <c r="A433" s="15" t="inlineStr">
        <is>
          <t>PERSON-432</t>
        </is>
      </c>
      <c r="B433" s="5" t="inlineStr">
        <is>
          <t>Rose Movies</t>
        </is>
      </c>
      <c r="C433" s="5" t="inlineStr">
        <is>
          <t>Production banner</t>
        </is>
      </c>
      <c r="D433" s="18" t="n"/>
      <c r="E433" s="18" t="n"/>
      <c r="F433" s="5" t="n"/>
      <c r="G433" s="5" t="inlineStr">
        <is>
          <t>Hindi cinema</t>
        </is>
      </c>
      <c r="H433" s="5" t="inlineStr">
        <is>
          <t>A production banner credited on one film in this filmography, with no Wikipedia article of its own.</t>
        </is>
      </c>
      <c r="I433" s="5" t="n"/>
      <c r="J433" s="5" t="inlineStr">
        <is>
          <t>With Kapoor: Yeh Vaada Raha (1982).</t>
        </is>
      </c>
      <c r="K433" s="19" t="inlineStr">
        <is>
          <t>Not documented.</t>
        </is>
      </c>
      <c r="L433" s="19" t="inlineStr">
        <is>
          <t>Not documented.</t>
        </is>
      </c>
      <c r="M433" s="5" t="n"/>
      <c r="N433" s="19" t="inlineStr">
        <is>
          <t>Not independently documented.</t>
        </is>
      </c>
      <c r="O433" s="19" t="inlineStr">
        <is>
          <t>One film: Yeh Vaada Raha (1982), Kapil Kapoor's romance, in which Kapoor plays Vikram, who vows at a temple never to part from the singer Sunita and is then separated from her by a car crash and his mother's lies.</t>
        </is>
      </c>
      <c r="P433" s="17" t="n">
        <v>1</v>
      </c>
      <c r="Q433" s="5" t="inlineStr">
        <is>
          <t>FILM-036</t>
        </is>
      </c>
      <c r="R433" s="5" t="inlineStr">
        <is>
          <t>Yeh Vaada Raha (1982)</t>
        </is>
      </c>
      <c r="S433" s="5" t="inlineStr">
        <is>
          <t>Rose Movies is credited on Yeh Vaada Raha (1982) and has no documented history. The film is a pure example of the structure that dominates Kapoor's early 1980s: the lovers are aligned with each other and separated by machinery outside them, here a disfiguring accident and a mother who tells each that the other is dead. That shape is why his external-opposition average runs so far above his pair-friction average across the whole filmography. This row is built from the film's credits alone.</t>
        </is>
      </c>
      <c r="T433" s="5" t="inlineStr">
        <is>
          <t>SOURCE-034</t>
        </is>
      </c>
      <c r="U433" s="5" t="inlineStr">
        <is>
          <t>Low</t>
        </is>
      </c>
    </row>
    <row r="434" ht="94" customHeight="1">
      <c r="A434" s="15" t="inlineStr">
        <is>
          <t>PERSON-433</t>
        </is>
      </c>
      <c r="B434" s="5" t="inlineStr">
        <is>
          <t>Ruhi Rawail</t>
        </is>
      </c>
      <c r="C434" s="5" t="inlineStr">
        <is>
          <t>Writer</t>
        </is>
      </c>
      <c r="D434" s="18" t="n"/>
      <c r="E434" s="18" t="n"/>
      <c r="F434" s="5" t="n"/>
      <c r="G434" s="5" t="inlineStr">
        <is>
          <t>Hindi cinema</t>
        </is>
      </c>
      <c r="H434" s="5" t="inlineStr">
        <is>
          <t>A writer credited on one film in this filmography, with no Wikipedia article of her own. The name belongs to the Rawail film family.</t>
        </is>
      </c>
      <c r="I434" s="5" t="n"/>
      <c r="J434" s="5" t="inlineStr">
        <is>
          <t>With Kapoor: Deedar-E-Yaar (1982).</t>
        </is>
      </c>
      <c r="K434" s="19" t="inlineStr">
        <is>
          <t>Not documented.</t>
        </is>
      </c>
      <c r="L434" s="19" t="inlineStr">
        <is>
          <t>Not documented.</t>
        </is>
      </c>
      <c r="M434" s="5" t="n"/>
      <c r="N434" s="19" t="inlineStr">
        <is>
          <t>Not independently documented.</t>
        </is>
      </c>
      <c r="O434" s="19" t="inlineStr">
        <is>
          <t>One film: Deedar-E-Yaar (1982), H. S. Rawail's romance, in which Kapoor plays Javed, who enters Firdous's house disguised as a servant to win her and is then told by her father that his family makes the marriage impossible.</t>
        </is>
      </c>
      <c r="P434" s="17" t="n">
        <v>1</v>
      </c>
      <c r="Q434" s="5" t="inlineStr">
        <is>
          <t>FILM-038</t>
        </is>
      </c>
      <c r="R434" s="5" t="inlineStr">
        <is>
          <t>Deedar-E-Yaar (1982)</t>
        </is>
      </c>
      <c r="S434" s="5" t="inlineStr">
        <is>
          <t>Ruhi Rawail is credited as a writer on Deedar-E-Yaar (1982) and has no documented biography. The film was H. S. Rawail's second with Kapoor after Laila Majnu (1976) and an expensive failure, built on the same material as the earlier film: love declared absolutely, then broken by lineage and family prohibition. Rawail's grandson Rahul would direct Kapoor again in Kuch Khatti Kuch Meethi (2001), by which time the parts had moved from the lover to the father. This row is built from the film's credits alone.</t>
        </is>
      </c>
      <c r="T434" s="5" t="inlineStr">
        <is>
          <t>SOURCE-038</t>
        </is>
      </c>
      <c r="U434" s="5" t="inlineStr">
        <is>
          <t>Low</t>
        </is>
      </c>
    </row>
    <row r="435" ht="94" customHeight="1">
      <c r="A435" s="15" t="inlineStr">
        <is>
          <t>PERSON-434</t>
        </is>
      </c>
      <c r="B435" s="5" t="inlineStr">
        <is>
          <t>S Waris Ali</t>
        </is>
      </c>
      <c r="C435" s="5" t="inlineStr">
        <is>
          <t>Producer</t>
        </is>
      </c>
      <c r="D435" s="18" t="n"/>
      <c r="E435" s="18" t="n"/>
      <c r="F435" s="5" t="n"/>
      <c r="G435" s="5" t="inlineStr">
        <is>
          <t>Hindi cinema</t>
        </is>
      </c>
      <c r="H435" s="5" t="inlineStr">
        <is>
          <t>A producer credited on one film in this filmography, with no Wikipedia article of his own.</t>
        </is>
      </c>
      <c r="I435" s="5" t="n"/>
      <c r="J435" s="5" t="inlineStr">
        <is>
          <t>With Kapoor: Paraya Ghar (1989).</t>
        </is>
      </c>
      <c r="K435" s="19" t="inlineStr">
        <is>
          <t>Not documented.</t>
        </is>
      </c>
      <c r="L435" s="19" t="inlineStr">
        <is>
          <t>Not documented.</t>
        </is>
      </c>
      <c r="M435" s="5" t="n"/>
      <c r="N435" s="19" t="inlineStr">
        <is>
          <t>Not independently documented.</t>
        </is>
      </c>
      <c r="O435" s="19" t="inlineStr">
        <is>
          <t>One film: Paraya Ghar (1989), one of three films Kalpataru directed with Kapoor in two years. Its Wikipedia article carries only an infobox and a soundtrack listing, so nothing about the role itself can be recorded from it.</t>
        </is>
      </c>
      <c r="P435" s="17" t="n">
        <v>1</v>
      </c>
      <c r="Q435" s="5" t="inlineStr">
        <is>
          <t>FILM-071</t>
        </is>
      </c>
      <c r="R435" s="5" t="inlineStr">
        <is>
          <t>Paraya Ghar (1989)</t>
        </is>
      </c>
      <c r="S435" s="5" t="inlineStr">
        <is>
          <t>S Waris Ali is credited as a producer on Paraya Ghar (1989) and has no documented biography. The film is one of twenty-eight entries in this filmography with no usable Wikipedia coverage beyond a cast list, and those gaps cluster precisely here, in the family dramas Kapoor made between 1986 and 1991 while the hits went elsewhere. Kalpataru directed him three times in this period, in Ghar Ghar Ki Kahani, Bade Ghar Ki Beti and this film, and almost nothing survives in reference sources about any of them. This row is built from the film's credits alone.</t>
        </is>
      </c>
      <c r="T435" s="5" t="inlineStr">
        <is>
          <t>SOURCE-065</t>
        </is>
      </c>
      <c r="U435" s="5" t="inlineStr">
        <is>
          <t>Low</t>
        </is>
      </c>
    </row>
    <row r="436" ht="139" customHeight="1">
      <c r="A436" s="15" t="inlineStr">
        <is>
          <t>PERSON-435</t>
        </is>
      </c>
      <c r="B436" s="5" t="inlineStr">
        <is>
          <t>S. A. Chandrasekhar</t>
        </is>
      </c>
      <c r="C436" s="5" t="inlineStr">
        <is>
          <t>Director</t>
        </is>
      </c>
      <c r="D436" s="17" t="n">
        <v>1945</v>
      </c>
      <c r="E436" s="18" t="n"/>
      <c r="F436" s="5" t="n"/>
      <c r="G436" s="5" t="inlineStr">
        <is>
          <t>Tamil cinema, with Telugu, Kannada and Hindi films</t>
        </is>
      </c>
      <c r="H436" s="5" t="inlineStr">
        <is>
          <t>Senapathy Albert Chandrasekaran, known as S. A. Chandrasekhar, is an Indian director, producer, screenwriter and actor who works chiefly in Tamil cinema. Born in Thangachimadam in 1945, he made his directorial debut with Aval Oru Pachai Kuzhanthai (1978) and has directed more than seventy films across four languages, many of them on social issues.</t>
        </is>
      </c>
      <c r="I436" s="5" t="inlineStr">
        <is>
          <t>Directorial debut Aval Oru Pachai Kuzhanthai (1978); breakthrough with Sattam Oru Iruttarai (1981).</t>
        </is>
      </c>
      <c r="J436" s="5" t="inlineStr">
        <is>
          <t>With Kapoor: Azaad Desh Ke Gulam (1990). Elsewhere, Sattam Oru Iruttarai (1981) and a long run of Tamil vigilante and social-issue films, including those launching his son Vijay.</t>
        </is>
      </c>
      <c r="K436" s="19" t="inlineStr">
        <is>
          <t>Vigilante justice, trafficking, corruption and institutional failure, addressed directly and at speed.</t>
        </is>
      </c>
      <c r="L436" s="19" t="inlineStr">
        <is>
          <t>A fast, high-volume commercial director with a declamatory approach to social subjects; S. Shankar and several other directors worked as his assistants.</t>
        </is>
      </c>
      <c r="M436" s="5" t="n"/>
      <c r="N436" s="19" t="inlineStr">
        <is>
          <t>A major figure in 1980s Tamil commercial cinema and the father and early director of Vijay.</t>
        </is>
      </c>
      <c r="O436" s="19" t="inlineStr">
        <is>
          <t>One film: Azaad Desh Ke Gulam (1990), in which Kapoor plays Vijay, a law student who helps his classmate Bharti expose her father's trafficking of children and women. It is one of the few explicitly issue-driven films in a filmography otherwise built on romance and domestic drama, and one of the few in which Kapoor is the heroine's ally rather than her suitor.</t>
        </is>
      </c>
      <c r="P436" s="17" t="n">
        <v>1</v>
      </c>
      <c r="Q436" s="5" t="inlineStr">
        <is>
          <t>FILM-076</t>
        </is>
      </c>
      <c r="R436" s="5" t="inlineStr">
        <is>
          <t>Azaad Desh Ke Gulam (1990)</t>
        </is>
      </c>
      <c r="S436" s="5" t="inlineStr">
        <is>
          <t>S. A. Chandrasekhar directed Azaad Desh Ke Gulam, an outlier in Rishi Kapoor's filmography. Born in Thangachimadam in 1945, Chandrasekhar debuted with Aval Oru Pachai Kuzhanthai in 1978, broke through with Sattam Oru Iruttarai in 1981 and has directed over seventy films in Tamil, Telugu, Kannada and Hindi, largely on social subjects and vigilante justice; S. Shankar and Ponram were among his assistants, and his son is the actor and politician Vijay. His Hindi excursions were rare, and this is one of them, written by his wife Shoba Chandrasekhar, who appears separately in this sheet. The film gives Kapoor an unusual function: Bharti discovers her father's crimes and Vijay accompanies and supports her, which makes the female character the agent of the plot. In a filmography where women are most often the object of courtship, the role stands out more for its structure than for its quality.</t>
        </is>
      </c>
      <c r="T436" s="5" t="inlineStr">
        <is>
          <t>SOURCE-072; SOURCE-377</t>
        </is>
      </c>
      <c r="U436" s="5" t="inlineStr">
        <is>
          <t>High</t>
        </is>
      </c>
    </row>
    <row r="437" ht="139" customHeight="1">
      <c r="A437" s="15" t="inlineStr">
        <is>
          <t>PERSON-436</t>
        </is>
      </c>
      <c r="B437" s="5" t="inlineStr">
        <is>
          <t>S. D. Burman</t>
        </is>
      </c>
      <c r="C437" s="5" t="inlineStr">
        <is>
          <t>Song composer</t>
        </is>
      </c>
      <c r="D437" s="17" t="n">
        <v>1906</v>
      </c>
      <c r="E437" s="17" t="n">
        <v>1975</v>
      </c>
      <c r="F437" s="5" t="inlineStr">
        <is>
          <t>1930s–1975</t>
        </is>
      </c>
      <c r="G437" s="5" t="inlineStr">
        <is>
          <t>Hindi and Bengali cinema</t>
        </is>
      </c>
      <c r="H437" s="5" t="inlineStr">
        <is>
          <t>Sachin Dev Burman was an Indian music director and singer and a member of the Tripura royal family. He composed for Hindi and Bengali films from the 1930s until his death in 1975, and sang a small number of distinctive playback songs himself.</t>
        </is>
      </c>
      <c r="I437" s="5" t="inlineStr">
        <is>
          <t>Bengali films in the 1930s, then Bombay from the 1940s.</t>
        </is>
      </c>
      <c r="J437" s="5" t="inlineStr">
        <is>
          <t>With Kapoor: Barood (1976). Elsewhere, Sujata, Guide, Aradhana, Talaash and Prem Nagar among a very large body of work.</t>
        </is>
      </c>
      <c r="K437" s="19" t="inlineStr">
        <is>
          <t>Folk melody, particularly Bengali and north-eastern, absorbed into film song; the lyric line placed above orchestration.</t>
        </is>
      </c>
      <c r="L437" s="19" t="inlineStr">
        <is>
          <t>Melodic economy and an unmistakable singing voice; an influence transmitted directly to his son R. D. Burman, who composed far more of this filmography.</t>
        </is>
      </c>
      <c r="M437" s="5" t="inlineStr">
        <is>
          <t>National Film Award for Best Male Playback Singer for Aradhana (1970); National Film Award for Best Music Direction for Zindagi Zindagi (1974); Filmfare nominations for Sujata, Guide, Aradhana, Talaash and Prem Nagar.</t>
        </is>
      </c>
      <c r="N437" s="19" t="inlineStr">
        <is>
          <t>One of the defining composers of Hindi film music's classic period, and the head of a two-generation dynasty that shaped the sound of Kapoor's own era.</t>
        </is>
      </c>
      <c r="O437" s="19" t="inlineStr">
        <is>
          <t>One film: Barood (1976), Pramod Chakravorty's revenge thriller, in which Kapoor plays Anup, who watches smugglers kill his father and spends twelve years preparing to kill them. Burman died on 31 October 1975, so the score reached cinemas after his death; it is the only S. D. Burman music in this filmography, while his son R. D. Burman scored a great many of Kapoor's films.</t>
        </is>
      </c>
      <c r="P437" s="17" t="n">
        <v>1</v>
      </c>
      <c r="Q437" s="5" t="inlineStr">
        <is>
          <t>FILM-010</t>
        </is>
      </c>
      <c r="R437" s="5" t="inlineStr">
        <is>
          <t>Barood (1976)</t>
        </is>
      </c>
      <c r="S437" s="5" t="inlineStr">
        <is>
          <t>S. D. Burman composed the songs for Barood, released in April 1976, some five months after his death in October 1975. Born into the Tripura royal family in 1906, Burman built one of the central bodies of work in Hindi film music, from Sujata and Guide to Aradhana and Prem Nagar, winning the National Film Award for Best Music Direction for Zindagi Zindagi and for playback singing for Aradhana. His presence in this filmography is a single late credit, and it marks a generational handover: Kapoor's career was scored overwhelmingly by R. D. Burman, his son, whose work on Khel Khel Mein, Hum Kisise Kum Naheen and Karz did more than any other music to define Kapoor's romantic image. The father's one contribution is attached instead to a revenge thriller, the genre Kapoor was least suited to and largely abandoned.</t>
        </is>
      </c>
      <c r="T437" s="5" t="inlineStr">
        <is>
          <t>SOURCE-014; SOURCE-378</t>
        </is>
      </c>
      <c r="U437" s="5" t="inlineStr">
        <is>
          <t>High</t>
        </is>
      </c>
    </row>
    <row r="438" ht="109" customHeight="1">
      <c r="A438" s="15" t="inlineStr">
        <is>
          <t>PERSON-437</t>
        </is>
      </c>
      <c r="B438" s="5" t="inlineStr">
        <is>
          <t>S. M. Abbas</t>
        </is>
      </c>
      <c r="C438" s="5" t="inlineStr">
        <is>
          <t>Writer</t>
        </is>
      </c>
      <c r="D438" s="18" t="n"/>
      <c r="E438" s="18" t="n"/>
      <c r="F438" s="5" t="n"/>
      <c r="G438" s="5" t="inlineStr">
        <is>
          <t>Hindi cinema</t>
        </is>
      </c>
      <c r="H438" s="5" t="inlineStr">
        <is>
          <t>S. M. Abbas, born Syed Mohammad Abbas, was an Indian film director and screenwriter active chiefly in the 1960s and 1970s. He graduated from Allahabad University, where he acted in and directed stage plays, and left for Bombay in early 1957 intending to act, instead working as an assistant and then a writer.</t>
        </is>
      </c>
      <c r="I438" s="5" t="inlineStr">
        <is>
          <t>His first film was Ek Jhalak (1957); he wrote additional dialogue on Parvarish (1958).</t>
        </is>
      </c>
      <c r="J438" s="5" t="inlineStr">
        <is>
          <t>With Kapoor: Ghar Parivar (1991). Elsewhere, Shriman Satyawadi (1960), Kab? Kyoon? Aur Kahan? (1970), Hungama (1971) and Ek Hasina Do Diwane (1972).</t>
        </is>
      </c>
      <c r="K438" s="19" t="inlineStr">
        <is>
          <t>Comedy and domestic drama.</t>
        </is>
      </c>
      <c r="L438" s="19" t="inlineStr">
        <is>
          <t>A writer-director of the studio era working in established commercial forms.</t>
        </is>
      </c>
      <c r="M438" s="5" t="n"/>
      <c r="N438" s="19" t="inlineStr">
        <is>
          <t>A working professional of the 1960s and 1970s whose reference coverage is thin and poorly sourced.</t>
        </is>
      </c>
      <c r="O438" s="19" t="inlineStr">
        <is>
          <t>One film: Ghar Parivar (1991), Mohanji Prasad's family drama, in which Kapoor plays Birju, billed second to Rajesh Khanna. The film's article has no plot section, so nothing about the role can be recorded from it.</t>
        </is>
      </c>
      <c r="P438" s="17" t="n">
        <v>1</v>
      </c>
      <c r="Q438" s="5" t="inlineStr">
        <is>
          <t>FILM-079</t>
        </is>
      </c>
      <c r="R438" s="5" t="inlineStr">
        <is>
          <t>Ghar Parivar (1991)</t>
        </is>
      </c>
      <c r="S438" s="5" t="inlineStr">
        <is>
          <t>S. M. Abbas is credited as a writer on Ghar Parivar (1991), late in a career that belonged to the 1960s and 1970s. Born Syed Mohammad Abbas, he came to Bombay from Allahabad University in 1957 hoping to act, assisted the director Kali Das under a pseudonym and wrote additional dialogue for Raj Kapoor's Parvarish in 1958, then built a modest body of work including Shriman Satyawadi, Kab? Kyoon? Aur Kahan?, Hungama and Ek Hasina Do Diwane. His Wikipedia article is thinly referenced and reads partly as family record. The film itself is one of several in which Kapoor is second-billed to Rajesh Khanna, an arrangement that recurs through his late 1980s work and marks the period when he was no longer the industry's first choice for a lead.</t>
        </is>
      </c>
      <c r="T438" s="5" t="inlineStr">
        <is>
          <t>SOURCE-079; SOURCE-379</t>
        </is>
      </c>
      <c r="U438" s="5" t="inlineStr">
        <is>
          <t>Medium</t>
        </is>
      </c>
    </row>
    <row r="439" ht="94" customHeight="1">
      <c r="A439" s="15" t="inlineStr">
        <is>
          <t>PERSON-438</t>
        </is>
      </c>
      <c r="B439" s="5" t="inlineStr">
        <is>
          <t>S. Ramanathan</t>
        </is>
      </c>
      <c r="C439" s="5" t="inlineStr">
        <is>
          <t>Director</t>
        </is>
      </c>
      <c r="D439" s="18" t="n"/>
      <c r="E439" s="18" t="n"/>
      <c r="F439" s="5" t="n"/>
      <c r="G439" s="5" t="inlineStr">
        <is>
          <t>Hindi and Tamil cinema</t>
        </is>
      </c>
      <c r="H439" s="5" t="inlineStr">
        <is>
          <t>A director credited on one film in this filmography. No Wikipedia article under this name could be located, so nothing about his wider career can be recorded here.</t>
        </is>
      </c>
      <c r="I439" s="5" t="n"/>
      <c r="J439" s="5" t="inlineStr">
        <is>
          <t>With Kapoor: Rangila Ratan (1976).</t>
        </is>
      </c>
      <c r="K439" s="19" t="inlineStr">
        <is>
          <t>Not documented.</t>
        </is>
      </c>
      <c r="L439" s="19" t="inlineStr">
        <is>
          <t>Not documented.</t>
        </is>
      </c>
      <c r="M439" s="5" t="n"/>
      <c r="N439" s="19" t="inlineStr">
        <is>
          <t>Not independently documented.</t>
        </is>
      </c>
      <c r="O439" s="19" t="inlineStr">
        <is>
          <t>One film: Rangila Ratan (1976), in which Kapoor plays a man kidnapped as a child and raised as a criminal by the man his father sent to the gallows, groomed his whole life as an instrument of revenge against his own father.</t>
        </is>
      </c>
      <c r="P439" s="17" t="n">
        <v>1</v>
      </c>
      <c r="Q439" s="5" t="inlineStr">
        <is>
          <t>FILM-011</t>
        </is>
      </c>
      <c r="R439" s="5" t="inlineStr">
        <is>
          <t>Rangila Ratan (1976)</t>
        </is>
      </c>
      <c r="S439" s="5" t="inlineStr">
        <is>
          <t>S. Ramanathan directed Rangila Ratan (1976) and has no locatable Wikipedia article. The film belongs to Kapoor's second year as an adult lead, when he and his producers were still testing whether he could carry the revenge plots that were then the industry's dominant commercial form. The answer across 1975 and 1976, in Raaja, Barood, Rangila Ratan and Zinda Dil, was that he could be cast in them but was not persuasive in them, and the films that worked instead were Khel Khel Mein and Laila Majnu, one comic and one romantic. This row is built from the film's credits alone.</t>
        </is>
      </c>
      <c r="T439" s="5" t="inlineStr">
        <is>
          <t>SOURCE-012</t>
        </is>
      </c>
      <c r="U439" s="5" t="inlineStr">
        <is>
          <t>Low</t>
        </is>
      </c>
    </row>
    <row r="440" ht="79" customHeight="1">
      <c r="A440" s="15" t="inlineStr">
        <is>
          <t>PERSON-439</t>
        </is>
      </c>
      <c r="B440" s="5" t="inlineStr">
        <is>
          <t>S.K. Jain</t>
        </is>
      </c>
      <c r="C440" s="5" t="inlineStr">
        <is>
          <t>Producer</t>
        </is>
      </c>
      <c r="D440" s="18" t="n"/>
      <c r="E440" s="18" t="n"/>
      <c r="F440" s="5" t="n"/>
      <c r="G440" s="5" t="inlineStr">
        <is>
          <t>Hindi cinema</t>
        </is>
      </c>
      <c r="H440" s="5" t="inlineStr">
        <is>
          <t>A producer credited on one film in this filmography, with no Wikipedia article of his own.</t>
        </is>
      </c>
      <c r="I440" s="5" t="n"/>
      <c r="J440" s="5" t="inlineStr">
        <is>
          <t>With Kapoor: Bade Ghar Ki Beti (1989).</t>
        </is>
      </c>
      <c r="K440" s="19" t="inlineStr">
        <is>
          <t>Not documented.</t>
        </is>
      </c>
      <c r="L440" s="19" t="inlineStr">
        <is>
          <t>Not documented.</t>
        </is>
      </c>
      <c r="M440" s="5" t="n"/>
      <c r="N440" s="19" t="inlineStr">
        <is>
          <t>Not independently documented.</t>
        </is>
      </c>
      <c r="O440" s="19" t="inlineStr">
        <is>
          <t>One film: Bade Ghar Ki Beti (1989), Kalpataru's drama, in which Kapoor plays Gopal, married at his father's wish to the daughter of the family's servant, the two of them the only decent members of the household.</t>
        </is>
      </c>
      <c r="P440" s="17" t="n">
        <v>1</v>
      </c>
      <c r="Q440" s="5" t="inlineStr">
        <is>
          <t>FILM-070</t>
        </is>
      </c>
      <c r="R440" s="5" t="inlineStr">
        <is>
          <t>Bade Ghar Ki Beti (1989)</t>
        </is>
      </c>
      <c r="S440" s="5" t="inlineStr">
        <is>
          <t>S.K. Jain is credited as a producer on Bade Ghar Ki Beti (1989) and has no documented biography. The film is one of the clearest statements of the structure that organises Kapoor's late 1980s work: a marriage arranged across a class line, a couple who behave well, and a household ranged against them. Pair friction is near zero and external opposition does all the work, which is the signature pattern of this filmography as a whole and is at its most schematic in the Kalpataru films. This row is built from the film's credits alone.</t>
        </is>
      </c>
      <c r="T440" s="5" t="inlineStr">
        <is>
          <t>SOURCE-064</t>
        </is>
      </c>
      <c r="U440" s="5" t="inlineStr">
        <is>
          <t>Low</t>
        </is>
      </c>
    </row>
    <row r="441" ht="94" customHeight="1">
      <c r="A441" s="15" t="inlineStr">
        <is>
          <t>PERSON-440</t>
        </is>
      </c>
      <c r="B441" s="5" t="inlineStr">
        <is>
          <t>SPE Films India</t>
        </is>
      </c>
      <c r="C441" s="5" t="inlineStr">
        <is>
          <t>Producer; Production banner</t>
        </is>
      </c>
      <c r="D441" s="18" t="n"/>
      <c r="E441" s="18" t="n"/>
      <c r="F441" s="5" t="n"/>
      <c r="G441" s="5" t="inlineStr">
        <is>
          <t>Hindi cinema</t>
        </is>
      </c>
      <c r="H441" s="5" t="inlineStr">
        <is>
          <t>A production entity credited on one film in this filmography, with no Wikipedia article of its own under this name. The credit is the Indian film arm of Sony Pictures Entertainment as it appears in the film's credits.</t>
        </is>
      </c>
      <c r="I441" s="5" t="n"/>
      <c r="J441" s="5" t="inlineStr">
        <is>
          <t>With Kapoor: 102 Not Out (2018).</t>
        </is>
      </c>
      <c r="K441" s="19" t="inlineStr">
        <is>
          <t>Not documented.</t>
        </is>
      </c>
      <c r="L441" s="19" t="inlineStr">
        <is>
          <t>Not documented.</t>
        </is>
      </c>
      <c r="M441" s="5" t="n"/>
      <c r="N441" s="19" t="inlineStr">
        <is>
          <t>Part of the entry of international studios into Hindi-language production, though this particular credit is not independently documented.</t>
        </is>
      </c>
      <c r="O441" s="19" t="inlineStr">
        <is>
          <t>One film: 102 Not Out (2018), in which Kapoor plays Babulal opposite Amitabh Bachchan's 102-year-old father. It was his last completed leading role and the last of their many films together.</t>
        </is>
      </c>
      <c r="P441" s="17" t="n">
        <v>1</v>
      </c>
      <c r="Q441" s="5" t="inlineStr">
        <is>
          <t>FILM-154</t>
        </is>
      </c>
      <c r="R441" s="5" t="inlineStr">
        <is>
          <t>102 Not Out (2018)</t>
        </is>
      </c>
      <c r="S441" s="5" t="inlineStr">
        <is>
          <t>SPE Films India is credited as a producer on 102 Not Out (2018) and has no documented history under that name. The credit is worth recording for what it indicates about the film's financing: by 2018 a two-hander about an elderly father and son, with no romance and no action, could be funded through an international studio's Indian arm and adapted from a Gujarati stage play. That is a different industry from the one in which Kapoor became a star, and it is the reason his last decade offered him written parts rather than ceremonial ones. This row is built from the film's credits alone.</t>
        </is>
      </c>
      <c r="T441" s="5" t="inlineStr">
        <is>
          <t>SOURCE-146</t>
        </is>
      </c>
      <c r="U441" s="5" t="inlineStr">
        <is>
          <t>Low</t>
        </is>
      </c>
    </row>
    <row r="442" ht="94" customHeight="1">
      <c r="A442" s="15" t="inlineStr">
        <is>
          <t>PERSON-441</t>
        </is>
      </c>
      <c r="B442" s="5" t="inlineStr">
        <is>
          <t>SaarthiE Entertainment</t>
        </is>
      </c>
      <c r="C442" s="5" t="inlineStr">
        <is>
          <t>Production banner</t>
        </is>
      </c>
      <c r="D442" s="18" t="n"/>
      <c r="E442" s="18" t="n"/>
      <c r="F442" s="5" t="n"/>
      <c r="G442" s="5" t="inlineStr">
        <is>
          <t>Hindi cinema</t>
        </is>
      </c>
      <c r="H442" s="5" t="inlineStr">
        <is>
          <t>A production banner credited on one film in this filmography, with no Wikipedia article of its own.</t>
        </is>
      </c>
      <c r="I442" s="5" t="n"/>
      <c r="J442" s="5" t="inlineStr">
        <is>
          <t>With Kapoor: Rajma Chawal (2018).</t>
        </is>
      </c>
      <c r="K442" s="19" t="inlineStr">
        <is>
          <t>Not documented.</t>
        </is>
      </c>
      <c r="L442" s="19" t="inlineStr">
        <is>
          <t>Not documented.</t>
        </is>
      </c>
      <c r="M442" s="5" t="n"/>
      <c r="N442" s="19" t="inlineStr">
        <is>
          <t>Not independently documented.</t>
        </is>
      </c>
      <c r="O442" s="19" t="inlineStr">
        <is>
          <t>One film: Rajma Chawal (2018), Leena Yadav's comedy drama, in which Kapoor plays Raj Mathur, a widower who cannot talk to his son and so steals a young woman's identity on Facebook to reach him.</t>
        </is>
      </c>
      <c r="P442" s="17" t="n">
        <v>1</v>
      </c>
      <c r="Q442" s="5" t="inlineStr">
        <is>
          <t>FILM-157</t>
        </is>
      </c>
      <c r="R442" s="5" t="inlineStr">
        <is>
          <t>Rajma Chawal (2018)</t>
        </is>
      </c>
      <c r="S442" s="5" t="inlineStr">
        <is>
          <t>SaarthiE Entertainment is credited on Rajma Chawal (2018) and has no documented history. The film was released on Netflix rather than in cinemas, and it is one of the last two leading roles Kapoor completed. Raj Mathur is a part his earlier career could not have produced: the comedy depends on a father who is inept, deceitful in a small way and visibly lonely, with no romantic function at all. His final films pursue this register consistently, from Do Dooni Chaar through Sharmaji Namkeen. This row is built from the film's credits alone.</t>
        </is>
      </c>
      <c r="T442" s="5" t="inlineStr">
        <is>
          <t>SOURCE-149</t>
        </is>
      </c>
      <c r="U442" s="5" t="inlineStr">
        <is>
          <t>Low</t>
        </is>
      </c>
    </row>
    <row r="443" ht="79" customHeight="1">
      <c r="A443" s="15" t="inlineStr">
        <is>
          <t>PERSON-442</t>
        </is>
      </c>
      <c r="B443" s="5" t="inlineStr">
        <is>
          <t>Saboo Films</t>
        </is>
      </c>
      <c r="C443" s="5" t="inlineStr">
        <is>
          <t>Production banner</t>
        </is>
      </c>
      <c r="D443" s="18" t="n"/>
      <c r="E443" s="18" t="n"/>
      <c r="F443" s="5" t="n"/>
      <c r="G443" s="5" t="inlineStr">
        <is>
          <t>Hindi cinema</t>
        </is>
      </c>
      <c r="H443" s="5" t="inlineStr">
        <is>
          <t>A production banner credited on one film in this filmography, with no Wikipedia article of its own.</t>
        </is>
      </c>
      <c r="I443" s="5" t="n"/>
      <c r="J443" s="5" t="inlineStr">
        <is>
          <t>With Kapoor: Kuch Khatti Kuch Meethi (2001).</t>
        </is>
      </c>
      <c r="K443" s="19" t="inlineStr">
        <is>
          <t>Not documented.</t>
        </is>
      </c>
      <c r="L443" s="19" t="inlineStr">
        <is>
          <t>Not documented.</t>
        </is>
      </c>
      <c r="M443" s="5" t="n"/>
      <c r="N443" s="19" t="inlineStr">
        <is>
          <t>Not independently documented.</t>
        </is>
      </c>
      <c r="O443" s="19" t="inlineStr">
        <is>
          <t>One film: Kuch Khatti Kuch Meethi (2001), Rahul Rawail's comedy, in which Kapoor plays Raj Khanna, separated from his wife on his stepsister's lie and raising one of their twin daughters alone.</t>
        </is>
      </c>
      <c r="P443" s="17" t="n">
        <v>1</v>
      </c>
      <c r="Q443" s="5" t="inlineStr">
        <is>
          <t>FILM-113</t>
        </is>
      </c>
      <c r="R443" s="5" t="inlineStr">
        <is>
          <t>Kuch Khatti Kuch Meethi (2001)</t>
        </is>
      </c>
      <c r="S443" s="5" t="inlineStr">
        <is>
          <t>Saboo Films is credited on Kuch Khatti Kuch Meethi (2001) and has no documented history. The film is a remake of The Parent Trap by way of Kabhi Kabhie's generation of stars, and it casts Kapoor as the wronged husband and father rather than as either lover. Between 1999 and 2004 almost every part he took was of this kind, and the films themselves were mostly unsuccessful; what changed after 2008 was not his willingness to play fathers but the quality of the fathers being written. This row is built from the film's credits alone.</t>
        </is>
      </c>
      <c r="T443" s="5" t="inlineStr">
        <is>
          <t>SOURCE-105</t>
        </is>
      </c>
      <c r="U443" s="5" t="inlineStr">
        <is>
          <t>Low</t>
        </is>
      </c>
    </row>
    <row r="444" ht="124" customHeight="1">
      <c r="A444" s="15" t="inlineStr">
        <is>
          <t>PERSON-443</t>
        </is>
      </c>
      <c r="B444" s="5" t="inlineStr">
        <is>
          <t>Sachin–Jigar</t>
        </is>
      </c>
      <c r="C444" s="5" t="inlineStr">
        <is>
          <t>Song composer</t>
        </is>
      </c>
      <c r="D444" s="18" t="n"/>
      <c r="E444" s="18" t="n"/>
      <c r="F444" s="5" t="n"/>
      <c r="G444" s="5" t="inlineStr">
        <is>
          <t>Hindi and Gujarati cinema</t>
        </is>
      </c>
      <c r="H444" s="5" t="inlineStr">
        <is>
          <t>Sachin-Jigar are an Indian composing duo, Sachin Sanghvi and Jigar Saraiya, both from Gujarat and settled in Mumbai. Before forming the duo they were long-time assistants to Rajesh Roshan and Pritam and arranged and programmed music for composers including A. R. Rahman, Amit Trivedi, Anu Malik, Nadeem-Shravan and Sandesh Shandilya.</t>
        </is>
      </c>
      <c r="I444" s="5" t="inlineStr">
        <is>
          <t>A guest song for Life Partner (2009); their first full score followed on F.A.L.T.U, after a recommendation from Pritam.</t>
        </is>
      </c>
      <c r="J444" s="5" t="inlineStr">
        <is>
          <t>With Kapoor: Shuddh Desi Romance (2013). Elsewhere, a large body of Hindi and Gujarati film music from 2011 onwards.</t>
        </is>
      </c>
      <c r="K444" s="19" t="inlineStr">
        <is>
          <t>Youth romance and small-town settings; songs built for situation rather than for a classical idiom.</t>
        </is>
      </c>
      <c r="L444" s="19" t="inlineStr">
        <is>
          <t>Programmed, rhythm-forward arrangements with folk inflections, written closely to the screenplay's needs.</t>
        </is>
      </c>
      <c r="M444" s="5" t="n"/>
      <c r="N444" s="19" t="inlineStr">
        <is>
          <t>Among the most-used composers of the 2010s, in the generation that followed Pritam in the Yash Raj and Dharma system.</t>
        </is>
      </c>
      <c r="O444" s="19" t="inlineStr">
        <is>
          <t>One film: Shuddh Desi Romance (2013), Maneesh Sharma's Jaipur-set comedy, in which Kapoor plays Goyal, called Tauji, who employs the hero as a rental wedding guest and presides over the film's economy of weddings that may not happen.</t>
        </is>
      </c>
      <c r="P444" s="17" t="n">
        <v>1</v>
      </c>
      <c r="Q444" s="5" t="inlineStr">
        <is>
          <t>FILM-144</t>
        </is>
      </c>
      <c r="R444" s="5" t="inlineStr">
        <is>
          <t>Shuddh Desi Romance (2013)</t>
        </is>
      </c>
      <c r="S444" s="5" t="inlineStr">
        <is>
          <t>Sachin-Jigar scored Shuddh Desi Romance, in which Rishi Kapoor plays the genial fixer at the edge of a romance about two people who keep refusing to marry. Sachin Sanghvi and Jigar Saraiya, both Gujaratis settled in Mumbai, spent years as assistants to Rajesh Roshan and Pritam and as arrangers for Rahman, Trivedi, Anu Malik and Nadeem-Shravan before Pritam's recommendation turned them into a duo in their own right from 2009. Their songs for this film are built around the hero's indecision, which is the film's subject. The casting is pointed: the actor whose own stardom was made of courtship songs appears here as the man renting out wedding crowds, in a film that treats marriage as an institution its young leads cannot commit to. It is one of four films he made with Yash Raj between 2004 and 2013.</t>
        </is>
      </c>
      <c r="T444" s="5" t="inlineStr">
        <is>
          <t>SOURCE-136; SOURCE-380</t>
        </is>
      </c>
      <c r="U444" s="5" t="inlineStr">
        <is>
          <t>High</t>
        </is>
      </c>
    </row>
    <row r="445" ht="169" customHeight="1">
      <c r="A445" s="15" t="inlineStr">
        <is>
          <t>PERSON-444</t>
        </is>
      </c>
      <c r="B445" s="5" t="inlineStr">
        <is>
          <t>Saif Ali Khan</t>
        </is>
      </c>
      <c r="C445" s="5" t="inlineStr">
        <is>
          <t>Producer</t>
        </is>
      </c>
      <c r="D445" s="17" t="n">
        <v>1970</v>
      </c>
      <c r="E445" s="18" t="n"/>
      <c r="F445" s="5" t="n"/>
      <c r="G445" s="5" t="inlineStr">
        <is>
          <t>Hindi cinema</t>
        </is>
      </c>
      <c r="H445" s="5" t="inlineStr">
        <is>
          <t>Saif Ali Khan is an Indian actor and film producer, the son of the actress Sharmila Tagore and the cricketer Mansoor Ali Khan Pataudi and titular head of the Pataudi family since 2011. He has won a National Film Award and seven Filmfare Awards and received the Padma Shri in 2010; he produced through Illuminati Films from the late 2000s.</t>
        </is>
      </c>
      <c r="I445" s="5" t="inlineStr">
        <is>
          <t>Acting debut in Parampara (1993); recognition for Dil Chahta Hai (2001) and Kal Ho Naa Ho (2003).</t>
        </is>
      </c>
      <c r="J445" s="5" t="inlineStr">
        <is>
          <t>With Kapoor: Love Aaj Kal (2009), as producer. Elsewhere, as an actor, Dil Chahta Hai, Hum Tum, Parineeta, Omkara, Race and Sacred Games.</t>
        </is>
      </c>
      <c r="K445" s="19" t="inlineStr">
        <is>
          <t>Urban romantic comedy and, later, morally compromised men in thrillers and prestige series.</t>
        </is>
      </c>
      <c r="L445" s="19" t="inlineStr">
        <is>
          <t>As a producer, a star using his own name to finance director-driven projects he also leads.</t>
        </is>
      </c>
      <c r="M445" s="5" t="inlineStr">
        <is>
          <t>A National Film Award, seven Filmfare Awards and the Padma Shri (2010).</t>
        </is>
      </c>
      <c r="N445" s="19" t="inlineStr">
        <is>
          <t>One of the central Hindi stars of the 2000s and part of the shift towards the urban, English-speaking romantic comedy.</t>
        </is>
      </c>
      <c r="O445" s="19" t="inlineStr">
        <is>
          <t>Two points of contact, one of them outside his roster credit. As a producer: Love Aaj Kal (2009), in which Kapoor plays the older Veer Singh Panesar, telling the story of a love he decided on at first sight, against which the film measures its modern couple. As an actor he had already played Kapoor's son in Hum Tum (2004), where Kapoor appears as Arjun Kapoor in the family scenes punctuating a romance conducted over nine years.</t>
        </is>
      </c>
      <c r="P445" s="17" t="n">
        <v>1</v>
      </c>
      <c r="Q445" s="5" t="inlineStr">
        <is>
          <t>FILM-131</t>
        </is>
      </c>
      <c r="R445" s="5" t="inlineStr">
        <is>
          <t>Love Aaj Kal (2009)</t>
        </is>
      </c>
      <c r="S445" s="5" t="inlineStr">
        <is>
          <t>Saif Ali Khan produced Love Aaj Kal through Illuminati Films, five years after acting as Rishi Kapoor's son in Hum Tum. Born in 1970 to Sharmila Tagore and Mansoor Ali Khan Pataudi, he debuted in Parampara in 1993 and became one of the defining stars of the 2000s with Dil Chahta Hai, Kal Ho Naa Ho, Hum Tum, Parineeta and Omkara, collecting a National Film Award, seven Filmfare Awards and the Padma Shri. Love Aaj Kal is structurally the most interesting of Kapoor's late supporting roles: Imtiaz Ali gives him the older version of the film's romantic argument, a man who chose a woman at first sight and spent his life on that choice, set against Khan's modern character, who cannot. Casting Kapoor in that function used his own screen history as evidence, which is something only an actor with a thirty-five-year romantic record could supply.</t>
        </is>
      </c>
      <c r="T445" s="5" t="inlineStr">
        <is>
          <t>SOURCE-123; SOURCE-381</t>
        </is>
      </c>
      <c r="U445" s="5" t="inlineStr">
        <is>
          <t>High</t>
        </is>
      </c>
    </row>
    <row r="446" ht="124" customHeight="1">
      <c r="A446" s="15" t="inlineStr">
        <is>
          <t>PERSON-445</t>
        </is>
      </c>
      <c r="B446" s="5" t="inlineStr">
        <is>
          <t>Sajid Khan</t>
        </is>
      </c>
      <c r="C446" s="5" t="inlineStr">
        <is>
          <t>Director; Writer</t>
        </is>
      </c>
      <c r="D446" s="18" t="n"/>
      <c r="E446" s="18" t="n"/>
      <c r="F446" s="5" t="n"/>
      <c r="G446" s="5" t="inlineStr">
        <is>
          <t>Hindi cinema</t>
        </is>
      </c>
      <c r="H446" s="5" t="inlineStr">
        <is>
          <t>Sajid Khan is an Indian film director and screenwriter, born in Mumbai to the stuntman-turned-director Kamran Khan and Menaka Khan. His sister is the choreographer and director Farah Khan, and Farhan and Zoya Akhtar are his maternal cousins. He was educated at Maneckji Cooper School and Mithibai College, and began as a television host before directing.</t>
        </is>
      </c>
      <c r="I446" s="5" t="inlineStr">
        <is>
          <t>A segment of the anthology Darna Zaroori Hai (2006), followed by his first full feature Heyy Babyy (2007).</t>
        </is>
      </c>
      <c r="J446" s="5" t="inlineStr">
        <is>
          <t>With Kapoor: Housefull 2 (2012). Elsewhere, Heyy Babyy (2007), Housefull (2010), Himmatwala (2013) and Humshakals (2014).</t>
        </is>
      </c>
      <c r="K446" s="19" t="inlineStr">
        <is>
          <t>Broad ensemble farce built on mistaken identity, large star casts and deliberate vulgarity.</t>
        </is>
      </c>
      <c r="L446" s="19" t="inlineStr">
        <is>
          <t>High-volume slapstick with no interest in realism; the comedy is driven by configuration rather than character.</t>
        </is>
      </c>
      <c r="M446" s="5" t="n"/>
      <c r="N446" s="19" t="inlineStr">
        <is>
          <t>A principal maker of the multi-star comedy franchise that dominated Hindi box-office returns around 2010.</t>
        </is>
      </c>
      <c r="O446" s="19" t="inlineStr">
        <is>
          <t>One film: Housefull 2 (2012), in which Kapoor plays Chintu Kapoor, who despises his half-brother Dabboo and competes with him over whose daughter can marry the richer man. It is the broadest comedy of his late career and arrived in the same year as Agneepath, the two together marking how wide his range of late-career employment had become.</t>
        </is>
      </c>
      <c r="P446" s="17" t="n">
        <v>1</v>
      </c>
      <c r="Q446" s="5" t="inlineStr">
        <is>
          <t>FILM-138</t>
        </is>
      </c>
      <c r="R446" s="5" t="inlineStr">
        <is>
          <t>Housefull 2 (2012)</t>
        </is>
      </c>
      <c r="S446" s="5" t="inlineStr">
        <is>
          <t>Sajid Khan directed Housefull 2, in which Rishi Kapoor plays one of four feuding older men in a farce of mistaken parentage. Born in Mumbai to Kamran Khan and Menaka Khan, with Farah Khan as his sister and Farhan and Zoya Akhtar as cousins, Khan moved from television hosting to a segment of Darna Zaroori Hai in 2006 and then to Heyy Babyy, Housefull and Housefull 2, all commercially successful, before Himmatwala and Humshakals failed. The film is instructive about Kapoor's final decade: his willingness to appear in an ensemble farce, with Randhir Kapoor among the other patriarchs, sat alongside Agneepath's Rauf Lala in the same year. He treated the two assignments as equally legitimate, and that indifference to prestige is part of why he worked so steadily after 2008. His cousin Zoya Akhtar had directed Kapoor three years earlier in Luck by Chance.</t>
        </is>
      </c>
      <c r="T446" s="5" t="inlineStr">
        <is>
          <t>SOURCE-130; SOURCE-382</t>
        </is>
      </c>
      <c r="U446" s="5" t="inlineStr">
        <is>
          <t>High</t>
        </is>
      </c>
    </row>
    <row r="447" ht="124" customHeight="1">
      <c r="A447" s="15" t="inlineStr">
        <is>
          <t>PERSON-446</t>
        </is>
      </c>
      <c r="B447" s="5" t="inlineStr">
        <is>
          <t>Sajid Nadiadwala</t>
        </is>
      </c>
      <c r="C447" s="5" t="inlineStr">
        <is>
          <t>Producer; Writer</t>
        </is>
      </c>
      <c r="D447" s="17" t="n">
        <v>1966</v>
      </c>
      <c r="E447" s="18" t="n"/>
      <c r="F447" s="5" t="n"/>
      <c r="G447" s="5" t="inlineStr">
        <is>
          <t>Hindi cinema</t>
        </is>
      </c>
      <c r="H447" s="5" t="inlineStr">
        <is>
          <t>Sajid Nadiadwala is an Indian film producer, director and screenwriter, the grandson of the producer A. K. Nadiadwala. He assisted J. P. Dutta on Ghulami at twenty-one, worked as a production assistant in his uncle's company and founded Nadiadwala Grandson Entertainment at twenty-five.</t>
        </is>
      </c>
      <c r="I447" s="5" t="inlineStr">
        <is>
          <t>Waqt Hamara Hai (1993) as producer; Kick (2014) as director.</t>
        </is>
      </c>
      <c r="J447" s="5" t="inlineStr">
        <is>
          <t>With Kapoor: Housefull 2 (2012). Elsewhere, the Housefull and Baaghi franchises and a long run of Akshay Kumar and Salman Khan vehicles.</t>
        </is>
      </c>
      <c r="K447" s="19" t="inlineStr">
        <is>
          <t>Star-led commercial entertainment: comedy franchises, action remakes and family spectacle.</t>
        </is>
      </c>
      <c r="L447" s="19" t="inlineStr">
        <is>
          <t>A franchise producer who builds repeatable properties around established stars.</t>
        </is>
      </c>
      <c r="M447" s="5" t="inlineStr">
        <is>
          <t>A debutant director award for Kick.</t>
        </is>
      </c>
      <c r="N447" s="19" t="inlineStr">
        <is>
          <t>One of the most consistently commercial Hindi producers of the past three decades and a central figure in the franchise model.</t>
        </is>
      </c>
      <c r="O447" s="19" t="inlineStr">
        <is>
          <t>One film: Housefull 2 (2012), in which Kapoor plays Chintu Kapoor, one of two warring half-brothers each trying to marry a daughter off to money. Nadiadwala is credited both as producer and among the writers.</t>
        </is>
      </c>
      <c r="P447" s="17" t="n">
        <v>1</v>
      </c>
      <c r="Q447" s="5" t="inlineStr">
        <is>
          <t>FILM-138</t>
        </is>
      </c>
      <c r="R447" s="5" t="inlineStr">
        <is>
          <t>Housefull 2 (2012)</t>
        </is>
      </c>
      <c r="S447" s="5" t="inlineStr">
        <is>
          <t>Sajid Nadiadwala produced and co-wrote Housefull 2, the only Nadiadwala Grandson film in this filmography. Born in 1966 and descended from the producer A. K. Nadiadwala, he began as an assistant on Ghulami, founded his own company at twenty-five and built it on Akshay Kumar and Salman Khan vehicles, from Waqt Hamara Hai and Judwaa to the Housefull and Baaghi franchises, later directing Kick himself. Housefull 2 recruited an older generation to pad its ensemble, and Kapoor took the assignment at sixty, in the same year as Agneepath and Student of the Year. Nothing in the part uses his history as a romantic star except his recognisability, which was precisely the asset the franchise model was buying. The film was among the year's larger commercial successes.</t>
        </is>
      </c>
      <c r="T447" s="5" t="inlineStr">
        <is>
          <t>SOURCE-130; SOURCE-383</t>
        </is>
      </c>
      <c r="U447" s="5" t="inlineStr">
        <is>
          <t>High</t>
        </is>
      </c>
    </row>
    <row r="448" ht="139" customHeight="1">
      <c r="A448" s="15" t="inlineStr">
        <is>
          <t>PERSON-447</t>
        </is>
      </c>
      <c r="B448" s="5" t="inlineStr">
        <is>
          <t>Salim Khan</t>
        </is>
      </c>
      <c r="C448" s="5" t="inlineStr">
        <is>
          <t>Writer</t>
        </is>
      </c>
      <c r="D448" s="17" t="n">
        <v>1935</v>
      </c>
      <c r="E448" s="18" t="n"/>
      <c r="F448" s="5" t="n"/>
      <c r="G448" s="5" t="inlineStr">
        <is>
          <t>Hindi cinema</t>
        </is>
      </c>
      <c r="H448" s="5" t="inlineStr">
        <is>
          <t>Salim Khan is an Indian screenwriter, actor and producer, best known as one half of Salim-Javed with Javed Akhtar. Within the partnership he developed stories and characters while Akhtar concentrated on screenplay and dialogue. The pair were among the first Indian screenwriters to reach star status, and their work in the 1970s reshaped the commercial Hindi formula.</t>
        </is>
      </c>
      <c r="I448" s="5" t="inlineStr">
        <is>
          <t>Acting from the early 1960s; the Salim-Javed partnership formed in the late 1960s.</t>
        </is>
      </c>
      <c r="J448" s="5" t="inlineStr">
        <is>
          <t>With Kapoor: Zamana (1985), credited with Javed Akhtar. Elsewhere, Seeta Aur Geeta, Zanjeer, Deewaar, Sholay, Trishul, Kranti and Don.</t>
        </is>
      </c>
      <c r="K448" s="19" t="inlineStr">
        <is>
          <t>The angry young man, the divided brothers, the mother as moral centre, and the state as absent or compromised.</t>
        </is>
      </c>
      <c r="L448" s="19" t="inlineStr">
        <is>
          <t>Tight structural plotting around a single wounded protagonist, with dialogue built for repetition and recall.</t>
        </is>
      </c>
      <c r="M448" s="5" t="n"/>
      <c r="N448" s="19" t="inlineStr">
        <is>
          <t>Co-author of the dominant commercial template of 1970s Hindi cinema and of the archetype that made Amitabh Bachchan a star.</t>
        </is>
      </c>
      <c r="O448" s="19" t="inlineStr">
        <is>
          <t>One film: Zamana (1985), Ramesh Talwar's drama, credited to Salim Khan with Javed Akhtar, in which Kapoor plays Ravi, the criminal brother to Rajesh Khanna's police inspector, both of them in love with the same woman. The brother-against-brother structure is the writers' own, but by 1985 their partnership had dissolved and the formula was in decline.</t>
        </is>
      </c>
      <c r="P448" s="17" t="n">
        <v>1</v>
      </c>
      <c r="Q448" s="5" t="inlineStr">
        <is>
          <t>FILM-046</t>
        </is>
      </c>
      <c r="R448" s="5" t="inlineStr">
        <is>
          <t>Zamana (1985)</t>
        </is>
      </c>
      <c r="S448" s="5" t="inlineStr">
        <is>
          <t>Salim Khan is credited, with Javed Akhtar, on Zamana (1985), the one Salim-Javed script in this filmography. Born in 1935, Khan supplied the stories and characters for the partnership that produced Zanjeer, Deewaar, Sholay, Trishul and Kranti, created the angry young man and made screenwriters visible in an industry that had treated them as staff. Zamana arrives after the split and after the template had passed its peak: two brothers divided by a murdered father neither knew, one a policeman and one a criminal, both in love with the same woman. Kapoor plays the criminal, second-billed to Rajesh Khanna, and the casting is revealing. The archetype Salim-Javed built needed an actor who could carry rage, which Kapoor could not and never pretended to; the film's structure fits Bachchan and the role fits him only approximately.</t>
        </is>
      </c>
      <c r="T448" s="5" t="inlineStr">
        <is>
          <t>SOURCE-045; SOURCE-384</t>
        </is>
      </c>
      <c r="U448" s="5" t="inlineStr">
        <is>
          <t>High</t>
        </is>
      </c>
    </row>
    <row r="449" ht="94" customHeight="1">
      <c r="A449" s="15" t="inlineStr">
        <is>
          <t>PERSON-448</t>
        </is>
      </c>
      <c r="B449" s="5" t="inlineStr">
        <is>
          <t>Sameer Dixit</t>
        </is>
      </c>
      <c r="C449" s="5" t="inlineStr">
        <is>
          <t>Producer</t>
        </is>
      </c>
      <c r="D449" s="18" t="n"/>
      <c r="E449" s="18" t="n"/>
      <c r="F449" s="5" t="n"/>
      <c r="G449" s="5" t="inlineStr">
        <is>
          <t>Hindi cinema</t>
        </is>
      </c>
      <c r="H449" s="5" t="inlineStr">
        <is>
          <t>A producer credited on one film in this filmography, with no Wikipedia article of his own.</t>
        </is>
      </c>
      <c r="I449" s="5" t="n"/>
      <c r="J449" s="5" t="inlineStr">
        <is>
          <t>With Kapoor: Manto (2018).</t>
        </is>
      </c>
      <c r="K449" s="19" t="inlineStr">
        <is>
          <t>Not documented.</t>
        </is>
      </c>
      <c r="L449" s="19" t="inlineStr">
        <is>
          <t>Not documented.</t>
        </is>
      </c>
      <c r="M449" s="5" t="n"/>
      <c r="N449" s="19" t="inlineStr">
        <is>
          <t>Not independently documented.</t>
        </is>
      </c>
      <c r="O449" s="19" t="inlineStr">
        <is>
          <t>One film: Manto (2018), Nandita Das's biographical drama, in which Kapoor appears briefly as an unnamed film producer, one of a gallery of cameos peopling the Bombay film world Saadat Hasan Manto worked in before partition.</t>
        </is>
      </c>
      <c r="P449" s="17" t="n">
        <v>1</v>
      </c>
      <c r="Q449" s="5" t="inlineStr">
        <is>
          <t>FILM-156</t>
        </is>
      </c>
      <c r="R449" s="5" t="inlineStr">
        <is>
          <t>Manto (2018)</t>
        </is>
      </c>
      <c r="S449" s="5" t="inlineStr">
        <is>
          <t>Sameer Dixit is credited as a producer on Manto (2018) and has no documented biography. Kapoor's appearance in the film is a single scene as a producer of the 1940s, and the casting is a joke the audience is expected to get: the grandson of Prithviraj Kapoor and son of Raj Kapoor, playing an anonymous functionary of the industry his family helped build, in a film about a writer it treated badly. It is one of four cameos in his last five years and the only one in a film with festival ambitions. This row is built from the film's credits alone.</t>
        </is>
      </c>
      <c r="T449" s="5" t="inlineStr">
        <is>
          <t>SOURCE-147</t>
        </is>
      </c>
      <c r="U449" s="5" t="inlineStr">
        <is>
          <t>Low</t>
        </is>
      </c>
    </row>
    <row r="450" ht="94" customHeight="1">
      <c r="A450" s="15" t="inlineStr">
        <is>
          <t>PERSON-449</t>
        </is>
      </c>
      <c r="B450" s="5" t="inlineStr">
        <is>
          <t>Sameer Uddin</t>
        </is>
      </c>
      <c r="C450" s="5" t="inlineStr">
        <is>
          <t>Background-score composer</t>
        </is>
      </c>
      <c r="D450" s="18" t="n"/>
      <c r="E450" s="18" t="n"/>
      <c r="F450" s="5" t="n"/>
      <c r="G450" s="5" t="inlineStr">
        <is>
          <t>Hindi cinema</t>
        </is>
      </c>
      <c r="H450" s="5" t="inlineStr">
        <is>
          <t>A background-score composer credited on one film in this filmography, with no Wikipedia article of his own.</t>
        </is>
      </c>
      <c r="I450" s="5" t="n"/>
      <c r="J450" s="5" t="inlineStr">
        <is>
          <t>With Kapoor: Kapoor &amp; Sons (2016).</t>
        </is>
      </c>
      <c r="K450" s="19" t="inlineStr">
        <is>
          <t>Not documented.</t>
        </is>
      </c>
      <c r="L450" s="19" t="inlineStr">
        <is>
          <t>Not documented.</t>
        </is>
      </c>
      <c r="M450" s="5" t="n"/>
      <c r="N450" s="19" t="inlineStr">
        <is>
          <t>Not independently documented.</t>
        </is>
      </c>
      <c r="O450" s="19" t="inlineStr">
        <is>
          <t>One film: Kapoor &amp; Sons (2016), Shakun Batra's family drama, in which Kapoor plays the ninety-year-old Amarjeet Kapoor, whose heart attack summons his estranged grandsons home and whose stated last wish is a family photograph the film keeps failing to take.</t>
        </is>
      </c>
      <c r="P450" s="17" t="n">
        <v>1</v>
      </c>
      <c r="Q450" s="5" t="inlineStr">
        <is>
          <t>FILM-152</t>
        </is>
      </c>
      <c r="R450" s="5" t="inlineStr">
        <is>
          <t>Kapoor &amp; Sons (2016)</t>
        </is>
      </c>
      <c r="S450" s="5" t="inlineStr">
        <is>
          <t>Sameer Uddin composed the background score for Kapoor &amp; Sons (2016) and has no documented biography. The film is the best-reviewed of Kapoor's last decade and the one that required most of him physically: four hours of prosthetics daily to play a man thirty years his senior, a performance built on comic appetite rather than dignity. For a filmography organised around romantic leads, the most admired late role is a grandfather who watches pornography, forges a photograph and holds a family together by refusing to behave. This row is built from the film's credits alone.</t>
        </is>
      </c>
      <c r="T450" s="5" t="inlineStr">
        <is>
          <t>SOURCE-144</t>
        </is>
      </c>
      <c r="U450" s="5" t="inlineStr">
        <is>
          <t>Low</t>
        </is>
      </c>
    </row>
    <row r="451" ht="94" customHeight="1">
      <c r="A451" s="15" t="inlineStr">
        <is>
          <t>PERSON-450</t>
        </is>
      </c>
      <c r="B451" s="5" t="inlineStr">
        <is>
          <t>Samir Ganguly</t>
        </is>
      </c>
      <c r="C451" s="5" t="inlineStr">
        <is>
          <t>Director</t>
        </is>
      </c>
      <c r="D451" s="18" t="n"/>
      <c r="E451" s="18" t="n"/>
      <c r="F451" s="5" t="n"/>
      <c r="G451" s="5" t="inlineStr">
        <is>
          <t>Hindi cinema; Indian television</t>
        </is>
      </c>
      <c r="H451" s="5" t="inlineStr">
        <is>
          <t>Samir Ganguly is an Indian film director who also directed many episodes of the television serial Paying Guest. His Wikipedia article is a short stub and records almost nothing else.</t>
        </is>
      </c>
      <c r="I451" s="5" t="n"/>
      <c r="J451" s="5" t="inlineStr">
        <is>
          <t>With Kapoor: Anjane Mein (1978). Elsewhere, episodes of Paying Guest.</t>
        </is>
      </c>
      <c r="K451" s="19" t="inlineStr">
        <is>
          <t>Not documented.</t>
        </is>
      </c>
      <c r="L451" s="19" t="inlineStr">
        <is>
          <t>Not documented.</t>
        </is>
      </c>
      <c r="M451" s="5" t="n"/>
      <c r="N451" s="19" t="inlineStr">
        <is>
          <t>Not independently documented.</t>
        </is>
      </c>
      <c r="O451" s="19" t="inlineStr">
        <is>
          <t>One film: Anjane Mein (1978), in which Kapoor and Neetu Singh take the leads as Raja and Rani, with Nirupa Roy, Ranjeet and Asha Sachdev in support. The film's article has no plot section, so the role cannot be described from it.</t>
        </is>
      </c>
      <c r="P451" s="17" t="n">
        <v>1</v>
      </c>
      <c r="Q451" s="5" t="inlineStr">
        <is>
          <t>FILM-019</t>
        </is>
      </c>
      <c r="R451" s="5" t="inlineStr">
        <is>
          <t>Anjane Mein (1978)</t>
        </is>
      </c>
      <c r="S451" s="5" t="inlineStr">
        <is>
          <t>Samir Ganguly directed Anjane Mein (1978), one of the many Rishi Kapoor and Neetu Singh pairings of that decade. His own record is almost blank: a stub noting television work on Paying Guest and nothing substantial about his films. Anjane Mein is one of eight films in this workbook marked with a major romance that has no Romances row, because the surviving documentation gives a cast list and a soundtrack and no account of the relationship at all. Kapoor and Singh made eleven films together before marrying in 1980, and several of the lesser ones are in exactly this condition: certain to have been romances, impossible to characterise.</t>
        </is>
      </c>
      <c r="T451" s="5" t="inlineStr">
        <is>
          <t>SOURCE-021; SOURCE-385</t>
        </is>
      </c>
      <c r="U451" s="5" t="inlineStr">
        <is>
          <t>Low</t>
        </is>
      </c>
    </row>
    <row r="452" ht="124" customHeight="1">
      <c r="A452" s="15" t="inlineStr">
        <is>
          <t>PERSON-451</t>
        </is>
      </c>
      <c r="B452" s="5" t="inlineStr">
        <is>
          <t>Sandesh Shandilya</t>
        </is>
      </c>
      <c r="C452" s="5" t="inlineStr">
        <is>
          <t>Song composer</t>
        </is>
      </c>
      <c r="D452" s="18" t="n"/>
      <c r="E452" s="18" t="n"/>
      <c r="F452" s="5" t="n"/>
      <c r="G452" s="5" t="inlineStr">
        <is>
          <t>Hindi cinema</t>
        </is>
      </c>
      <c r="H452" s="5" t="inlineStr">
        <is>
          <t>Sandesh Shandilya is an Indian film composer, musician and singer who has written more than twenty Hindi film soundtracks. He took his early training from the sarangi player Ustad Sultan Khan.</t>
        </is>
      </c>
      <c r="I452" s="5" t="inlineStr">
        <is>
          <t>Songs for Kabhi Khushi Kabhie Gham (2001); the album Piya Basanti the same year.</t>
        </is>
      </c>
      <c r="J452" s="5" t="inlineStr">
        <is>
          <t>With Kapoor: Chalk N Duster (2016). Elsewhere, Kabhi Khushi Kabhie Gham (2001), Chameli (2004), Socha Na Tha (2005) and Jab We Met (2007).</t>
        </is>
      </c>
      <c r="K452" s="19" t="inlineStr">
        <is>
          <t>Melody-led romantic songs with a semi-classical inflection.</t>
        </is>
      </c>
      <c r="L452" s="19" t="inlineStr">
        <is>
          <t>Writes for the singing voice rather than for arrangement, often in long melodic lines; Aaoge Jab Tum is the usual example.</t>
        </is>
      </c>
      <c r="M452" s="5" t="inlineStr">
        <is>
          <t>International Viewers' Choice Award at the 2001 MTV Video Music Awards for Piya Basanti.</t>
        </is>
      </c>
      <c r="N452" s="19" t="inlineStr">
        <is>
          <t>One of the composers who kept a melodic, semi-classical register current in the 2000s alongside more heavily programmed music.</t>
        </is>
      </c>
      <c r="O452" s="19" t="inlineStr">
        <is>
          <t>One film: Chalk N Duster (2016), in which Kapoor appears as the host of the televised quiz that forms the film's climax, where two dismissed teachers stake their careers against five crore rupees. The part is a single sustained sequence.</t>
        </is>
      </c>
      <c r="P452" s="17" t="n">
        <v>1</v>
      </c>
      <c r="Q452" s="5" t="inlineStr">
        <is>
          <t>FILM-150</t>
        </is>
      </c>
      <c r="R452" s="5" t="inlineStr">
        <is>
          <t>Chalk N Duster (2016)</t>
        </is>
      </c>
      <c r="S452" s="5" t="inlineStr">
        <is>
          <t>Sandesh Shandilya scored Chalk N Duster, in which Rishi Kapoor hosts the quiz show that decides the film. Trained under Ustad Sultan Khan, Shandilya came to notice in 2001 with songs for Kabhi Khushi Kabhie Gham and the album Piya Basanti, which won an International Viewers' Choice Award at that year's MTV Video Music Awards, and wrote more than twenty soundtracks including Chameli, Socha Na Tha and Jab We Met, where Aaoge Jab Tum drew the strongest notices of his career. His melodic manner has an obvious affinity with the music Kapoor lip-synced in the 1970s, but the two met only here, in a late issue film about the commercialisation of private schooling, where Kapoor plays a version of himself presiding over a game show. The role is small and the film little seen.</t>
        </is>
      </c>
      <c r="T452" s="5" t="inlineStr">
        <is>
          <t>SOURCE-142; SOURCE-386</t>
        </is>
      </c>
      <c r="U452" s="5" t="inlineStr">
        <is>
          <t>High</t>
        </is>
      </c>
    </row>
    <row r="453" ht="124" customHeight="1">
      <c r="A453" s="15" t="inlineStr">
        <is>
          <t>PERSON-452</t>
        </is>
      </c>
      <c r="B453" s="5" t="inlineStr">
        <is>
          <t>Sandow M. M. A. Chinnappa Thevar</t>
        </is>
      </c>
      <c r="C453" s="5" t="inlineStr">
        <is>
          <t>Producer</t>
        </is>
      </c>
      <c r="D453" s="17" t="n">
        <v>1915</v>
      </c>
      <c r="E453" s="17" t="n">
        <v>1978</v>
      </c>
      <c r="F453" s="5" t="inlineStr">
        <is>
          <t>1950s–1978</t>
        </is>
      </c>
      <c r="G453" s="5" t="inlineStr">
        <is>
          <t>Tamil cinema, with Hindi productions</t>
        </is>
      </c>
      <c r="H453" s="5" t="inlineStr">
        <is>
          <t>Sandow Marudur Marudachalamurthy Ayyavoo Chinnappa Thevar was a producer of Tamil cinema from the mid-1950s through the 1970s, working under the Devar Films and Dhandayupathi Films banners. He produced sixteen films with M. G. Ramachandran and was best known for films featuring animals. The Sandow title came from the bodybuilder Eugen Sandow, in tribute to his physique.</t>
        </is>
      </c>
      <c r="I453" s="5" t="inlineStr">
        <is>
          <t>Production from the mid-1950s; national recognition with Haathi Mere Saathi (1971).</t>
        </is>
      </c>
      <c r="J453" s="5" t="inlineStr">
        <is>
          <t>With Kapoor: Raaja (1975). Elsewhere, Haathi Mere Saathi (1971), Vellikizhamai Viratham (1974) and Aattukara Alamelu (1977).</t>
        </is>
      </c>
      <c r="K453" s="19" t="inlineStr">
        <is>
          <t>Animals as central characters, melodrama and mass-audience spectacle.</t>
        </is>
      </c>
      <c r="L453" s="19" t="inlineStr">
        <is>
          <t>A showman-producer who built films around a single attraction, often an elephant or other animal.</t>
        </is>
      </c>
      <c r="M453" s="5" t="n"/>
      <c r="N453" s="19" t="inlineStr">
        <is>
          <t>A dominant Tamil producer of his era and the maker of Haathi Mere Saathi, one of the most commercially successful Hindi films of the early 1970s.</t>
        </is>
      </c>
      <c r="O453" s="19" t="inlineStr">
        <is>
          <t>One film: Raaja (1975), K. Shankar's action thriller, in which Kapoor plays twin brothers, the ordinary Raaja and the CID inspector Ram, with Rani unable to tell them apart until Ram grows a moustache for her benefit. It is Kapoor's first double role, two years before Karz and sixteen before the comic double of Bol Radha Bol.</t>
        </is>
      </c>
      <c r="P453" s="17" t="n">
        <v>1</v>
      </c>
      <c r="Q453" s="5" t="inlineStr">
        <is>
          <t>FILM-005</t>
        </is>
      </c>
      <c r="R453" s="5" t="inlineStr">
        <is>
          <t>Raaja (1975)</t>
        </is>
      </c>
      <c r="S453" s="5" t="inlineStr">
        <is>
          <t>Chinnappa Thevar produced Raaja, Rishi Kapoor's first double role, in his second year as an adult lead. Born in 1915 and nicknamed Sandow after the bodybuilder Eugen Sandow, Thevar built Devar Films into one of Tamil cinema's most successful production houses, made sixteen films with M. G. Ramachandran, specialised in films with animals at their centre, and reached a national audience with Haathi Mere Saathi in 1971. He died in 1978 during the shooting of Thai Meethu Sathiyam. Raaja is a south-Indian producer's Hindi venture, directed by K. Shankar, and it tests the twin-brother device that Kapoor would use three times in his career. The pattern of his early years is visible in it: an actor whose success was romantic being cast repeatedly in action plots by producers who wanted a new young lead for an established formula.</t>
        </is>
      </c>
      <c r="T453" s="5" t="inlineStr">
        <is>
          <t>SOURCE-009; SOURCE-387</t>
        </is>
      </c>
      <c r="U453" s="5" t="inlineStr">
        <is>
          <t>High</t>
        </is>
      </c>
    </row>
    <row r="454" ht="124" customHeight="1">
      <c r="A454" s="15" t="inlineStr">
        <is>
          <t>PERSON-453</t>
        </is>
      </c>
      <c r="B454" s="5" t="inlineStr">
        <is>
          <t>Sanjay Chhel</t>
        </is>
      </c>
      <c r="C454" s="5" t="inlineStr">
        <is>
          <t>Director; Writer</t>
        </is>
      </c>
      <c r="D454" s="17" t="n">
        <v>1967</v>
      </c>
      <c r="E454" s="18" t="n"/>
      <c r="F454" s="5" t="n"/>
      <c r="G454" s="5" t="inlineStr">
        <is>
          <t>Hindi and Gujarati cinema; Gujarati theatre</t>
        </is>
      </c>
      <c r="H454" s="5" t="inlineStr">
        <is>
          <t>Sanjay Chhel is an Indian director, writer and lyricist, born at Dwarka in Gujarat in 1967 and raised in Mumbai, the son of the art director and production designer Chhel Vayeda. He began in Gujarati theatre with one-act plays, wrote more than thirty television serials, and worked as a Hindi film lyricist and screenwriter before directing.</t>
        </is>
      </c>
      <c r="I454" s="5" t="inlineStr">
        <is>
          <t>One-act plays in Gujarati theatre, then television; his film work includes lyrics for popular Hindi songs.</t>
        </is>
      </c>
      <c r="J454" s="5" t="inlineStr">
        <is>
          <t>With Kapoor: Patel Ki Punjabi Shaadi (2017). Elsewhere, the plays Ubhi Chavi Adi Chavi and Crossword Puzzle, the serial Hum Sab Baraati, and song lyrics including Nikamma kiya is dil ne.</t>
        </is>
      </c>
      <c r="K454" s="19" t="inlineStr">
        <is>
          <t>Community comedy and the collision of regional identities; marriage as a negotiation between families.</t>
        </is>
      </c>
      <c r="L454" s="19" t="inlineStr">
        <is>
          <t>A theatre writer's approach to film comedy, built on verbal play and ensemble scenes.</t>
        </is>
      </c>
      <c r="M454" s="5" t="n"/>
      <c r="N454" s="19" t="inlineStr">
        <is>
          <t>A notable figure in Gujarati theatre whose Hindi film work is less prominent.</t>
        </is>
      </c>
      <c r="O454" s="19" t="inlineStr">
        <is>
          <t>One film: Patel Ki Punjabi Shaadi (2017), which he directed and in which Kapoor plays Guggi Tandon, the Punjabi half of a comedy about two fathers, one Punjabi and one Gujarati, whose children are marrying each other. His own article records the film as commercially unsuccessful.</t>
        </is>
      </c>
      <c r="P454" s="17" t="n">
        <v>1</v>
      </c>
      <c r="Q454" s="5" t="inlineStr">
        <is>
          <t>FILM-153</t>
        </is>
      </c>
      <c r="R454" s="5" t="inlineStr">
        <is>
          <t>Patel Ki Punjabi Shaadi (2017)</t>
        </is>
      </c>
      <c r="S454" s="5" t="inlineStr">
        <is>
          <t>Sanjay Chhel directed Patel Ki Punjabi Shaadi, one of Rishi Kapoor's last leading roles. Born at Dwarka in 1967 to the art director Chhel Vayeda and raised in Mumbai, Chhel made his name in Gujarati theatre with one-act plays, wrote over thirty television serials and worked as a Hindi lyricist and screenwriter before moving into direction. The film is a two-patriarch comedy in which Kapoor's Punjabi father faces Paresh Rawal's Gujarati one over their children's marriage, and his own article concedes it failed commercially. It belongs to the final group of films in which Kapoor is top-billed in parts organised entirely around fatherhood and community, with the romance handed to the younger cast. The structure would recur in 102 Not Out and Jhootha Kahin Ka within two years.</t>
        </is>
      </c>
      <c r="T454" s="5" t="inlineStr">
        <is>
          <t>SOURCE-145; SOURCE-388</t>
        </is>
      </c>
      <c r="U454" s="5" t="inlineStr">
        <is>
          <t>High</t>
        </is>
      </c>
    </row>
    <row r="455" ht="94" customHeight="1">
      <c r="A455" s="15" t="inlineStr">
        <is>
          <t>PERSON-454</t>
        </is>
      </c>
      <c r="B455" s="5" t="inlineStr">
        <is>
          <t>Sanjay Wandrekar</t>
        </is>
      </c>
      <c r="C455" s="5" t="inlineStr">
        <is>
          <t>Background-score composer</t>
        </is>
      </c>
      <c r="D455" s="18" t="n"/>
      <c r="E455" s="18" t="n"/>
      <c r="F455" s="5" t="n"/>
      <c r="G455" s="5" t="inlineStr">
        <is>
          <t>Hindi cinema</t>
        </is>
      </c>
      <c r="H455" s="5" t="inlineStr">
        <is>
          <t>A background-score composer credited on one film in this filmography, with no Wikipedia article of his own.</t>
        </is>
      </c>
      <c r="I455" s="5" t="n"/>
      <c r="J455" s="5" t="inlineStr">
        <is>
          <t>With Kapoor: Tell Me O Kkhuda (2011).</t>
        </is>
      </c>
      <c r="K455" s="19" t="inlineStr">
        <is>
          <t>Not documented.</t>
        </is>
      </c>
      <c r="L455" s="19" t="inlineStr">
        <is>
          <t>Not documented.</t>
        </is>
      </c>
      <c r="M455" s="5" t="n"/>
      <c r="N455" s="19" t="inlineStr">
        <is>
          <t>Not independently documented.</t>
        </is>
      </c>
      <c r="O455" s="19" t="inlineStr">
        <is>
          <t>One film: Tell Me O Kkhuda (2011), Hema Malini's film, in which Kapoor plays Altaf Zardari, the second of the men a young woman visits while searching for her biological father.</t>
        </is>
      </c>
      <c r="P455" s="17" t="n">
        <v>1</v>
      </c>
      <c r="Q455" s="5" t="inlineStr">
        <is>
          <t>FILM-136</t>
        </is>
      </c>
      <c r="R455" s="5" t="inlineStr">
        <is>
          <t>Tell Me O Kkhuda (2011)</t>
        </is>
      </c>
      <c r="S455" s="5" t="inlineStr">
        <is>
          <t>Sanjay Wandrekar composed the background score for Tell Me O Kkhuda (2011) and has no documented biography. The film was Hema Malini's third as director and a comprehensive failure, and Kapoor's role is one of three possible fathers paraded before the heroine. It sits oddly in the year that also produced Patiala House, where he plays a father whose authority has wrecked his son's life. The same late-career type, the patriarch, could be written with real weight or used as a plot station, and in 2011 he took both kinds. This row is built from the film's credits alone.</t>
        </is>
      </c>
      <c r="T455" s="5" t="inlineStr">
        <is>
          <t>SOURCE-128</t>
        </is>
      </c>
      <c r="U455" s="5" t="inlineStr">
        <is>
          <t>Low</t>
        </is>
      </c>
    </row>
    <row r="456" ht="124" customHeight="1">
      <c r="A456" s="15" t="inlineStr">
        <is>
          <t>PERSON-455</t>
        </is>
      </c>
      <c r="B456" s="5" t="inlineStr">
        <is>
          <t>Sanjeev Datta</t>
        </is>
      </c>
      <c r="C456" s="5" t="inlineStr">
        <is>
          <t>Writer</t>
        </is>
      </c>
      <c r="D456" s="18" t="n"/>
      <c r="E456" s="18" t="n"/>
      <c r="F456" s="5" t="n"/>
      <c r="G456" s="5" t="inlineStr">
        <is>
          <t>Hindi cinema</t>
        </is>
      </c>
      <c r="H456" s="5" t="inlineStr">
        <is>
          <t>A writer credited on one film in this filmography, with no Wikipedia article of his own.</t>
        </is>
      </c>
      <c r="I456" s="5" t="n"/>
      <c r="J456" s="5" t="inlineStr">
        <is>
          <t>With Kapoor: Sanam Re (2016).</t>
        </is>
      </c>
      <c r="K456" s="19" t="inlineStr">
        <is>
          <t>Not documented.</t>
        </is>
      </c>
      <c r="L456" s="19" t="inlineStr">
        <is>
          <t>Not documented.</t>
        </is>
      </c>
      <c r="M456" s="5" t="n"/>
      <c r="N456" s="19" t="inlineStr">
        <is>
          <t>Not independently documented.</t>
        </is>
      </c>
      <c r="O456" s="19" t="inlineStr">
        <is>
          <t>One film: Sanam Re (2016), Divya Khosla Kumar's romantic drama, in which Kapoor plays Daddu, the grandfather whose prophecy organises the whole film: that his grandson will love a girl who lives five hundred steps from the studio, that they will love each other forever, and that they will never marry.</t>
        </is>
      </c>
      <c r="P456" s="17" t="n">
        <v>1</v>
      </c>
      <c r="Q456" s="5" t="inlineStr">
        <is>
          <t>FILM-151</t>
        </is>
      </c>
      <c r="R456" s="5" t="inlineStr">
        <is>
          <t>Sanam Re (2016)</t>
        </is>
      </c>
      <c r="S456" s="5" t="inlineStr">
        <is>
          <t>Sanjeev Datta is credited as a writer on Sanam Re (2016) and has no documented biography. The part is the clearest instance of a late-career device the films use repeatedly: Kapoor as the custodian of a romantic belief the young characters have to live out. In Love Aaj Kal he supplies the old way of loving as a counter-argument; here he supplies a prophecy, and in Sanam Re the prophecy is of a love that lasts and a marriage that never happens. His own star image, built on courtship films across the 1970s, is the reason the device works with him in the chair. This row is built from the film's credits alone.</t>
        </is>
      </c>
      <c r="T456" s="5" t="inlineStr">
        <is>
          <t>SOURCE-143</t>
        </is>
      </c>
      <c r="U456" s="5" t="inlineStr">
        <is>
          <t>Low</t>
        </is>
      </c>
    </row>
    <row r="457" ht="94" customHeight="1">
      <c r="A457" s="15" t="inlineStr">
        <is>
          <t>PERSON-456</t>
        </is>
      </c>
      <c r="B457" s="5" t="inlineStr">
        <is>
          <t>Sanjeev Gupta</t>
        </is>
      </c>
      <c r="C457" s="5" t="inlineStr">
        <is>
          <t>Producer</t>
        </is>
      </c>
      <c r="D457" s="18" t="n"/>
      <c r="E457" s="18" t="n"/>
      <c r="F457" s="5" t="n"/>
      <c r="G457" s="5" t="inlineStr">
        <is>
          <t>Hindi cinema</t>
        </is>
      </c>
      <c r="H457" s="5" t="inlineStr">
        <is>
          <t>A producer credited on one film in this filmography, with no Wikipedia article of his own. The documented Sanjeev Gupta is an Indian-born British steel businessman and a different person.</t>
        </is>
      </c>
      <c r="I457" s="5" t="n"/>
      <c r="J457" s="5" t="inlineStr">
        <is>
          <t>With Kapoor: Besharam (2013).</t>
        </is>
      </c>
      <c r="K457" s="19" t="inlineStr">
        <is>
          <t>Not documented.</t>
        </is>
      </c>
      <c r="L457" s="19" t="inlineStr">
        <is>
          <t>Not documented.</t>
        </is>
      </c>
      <c r="M457" s="5" t="n"/>
      <c r="N457" s="19" t="inlineStr">
        <is>
          <t>Not independently documented.</t>
        </is>
      </c>
      <c r="O457" s="19" t="inlineStr">
        <is>
          <t>One film: Besharam (2013), Abhinav Kashyap's action comedy, in which Kapoor and Neetu Singh play Inspector Chulbul Chautala and Head Constable Bulbul Chautala, the police couple pursuing a car thief played by their son Ranbir Kapoor.</t>
        </is>
      </c>
      <c r="P457" s="17" t="n">
        <v>1</v>
      </c>
      <c r="Q457" s="5" t="inlineStr">
        <is>
          <t>FILM-145</t>
        </is>
      </c>
      <c r="R457" s="5" t="inlineStr">
        <is>
          <t>Besharam (2013)</t>
        </is>
      </c>
      <c r="S457" s="5" t="inlineStr">
        <is>
          <t>Sanjeev Gupta is credited as a producer on Besharam (2013) and has no documented biography; the Wikipedia Sanjeev Gupta is a British steel magnate and unrelated. The film is the only one in which Rishi Kapoor, Neetu Singh and Ranbir Kapoor all appear, and the only one in which the couple whose romance ran through the 1970s play a married pair of police officers opposite their own son. It was mauled on release. The family reunion the production was selling is worth recording anyway: Kapoor and Singh had not acted together as a couple since the 1980s. This row is built from the film's credits alone.</t>
        </is>
      </c>
      <c r="T457" s="5" t="inlineStr">
        <is>
          <t>SOURCE-137</t>
        </is>
      </c>
      <c r="U457" s="5" t="inlineStr">
        <is>
          <t>Low</t>
        </is>
      </c>
    </row>
    <row r="458" ht="94" customHeight="1">
      <c r="A458" s="15" t="inlineStr">
        <is>
          <t>PERSON-457</t>
        </is>
      </c>
      <c r="B458" s="5" t="inlineStr">
        <is>
          <t>Sanjeev–Ajay</t>
        </is>
      </c>
      <c r="C458" s="5" t="inlineStr">
        <is>
          <t>Song composer</t>
        </is>
      </c>
      <c r="D458" s="18" t="n"/>
      <c r="E458" s="18" t="n"/>
      <c r="F458" s="5" t="n"/>
      <c r="G458" s="5" t="inlineStr">
        <is>
          <t>Hindi cinema</t>
        </is>
      </c>
      <c r="H458" s="5" t="inlineStr">
        <is>
          <t>A composing pair credited on one film in this filmography, with no Wikipedia article of their own.</t>
        </is>
      </c>
      <c r="I458" s="5" t="n"/>
      <c r="J458" s="5" t="inlineStr">
        <is>
          <t>With Kapoor: Jhootha Kahin Ka (2019).</t>
        </is>
      </c>
      <c r="K458" s="19" t="inlineStr">
        <is>
          <t>Not documented.</t>
        </is>
      </c>
      <c r="L458" s="19" t="inlineStr">
        <is>
          <t>Not documented.</t>
        </is>
      </c>
      <c r="M458" s="5" t="n"/>
      <c r="N458" s="19" t="inlineStr">
        <is>
          <t>Not independently documented.</t>
        </is>
      </c>
      <c r="O458" s="19" t="inlineStr">
        <is>
          <t>One film: Jhootha Kahin Ka (2019), Smeep Kang's comedy, in which Kapoor plays Yograj Singh, a widowed father whose son has no job and no intention of returning to the family farm.</t>
        </is>
      </c>
      <c r="P458" s="17" t="n">
        <v>1</v>
      </c>
      <c r="Q458" s="5" t="inlineStr">
        <is>
          <t>FILM-158</t>
        </is>
      </c>
      <c r="R458" s="5" t="inlineStr">
        <is>
          <t>Jhootha Kahin Ka (2019)</t>
        </is>
      </c>
      <c r="S458" s="5" t="inlineStr">
        <is>
          <t>Sanjeev-Ajay are credited with songs on Jhootha Kahin Ka (2019) and have no documented biography. The film was released in July 2019, nine months before Kapoor's death and after his return from cancer treatment in New York, and it is a Punjabi-comedy remake with a crowded credit list that includes several composers and lyricists for a handful of songs. It is the least regarded of his final films, and its existence alongside The Body and the posthumous Sharmaji Namkeen shows how determinedly he worked in the time he had left. This row is built from the film's credits alone.</t>
        </is>
      </c>
      <c r="T458" s="5" t="inlineStr">
        <is>
          <t>SOURCE-150</t>
        </is>
      </c>
      <c r="U458" s="5" t="inlineStr">
        <is>
          <t>Low</t>
        </is>
      </c>
    </row>
    <row r="459" ht="109" customHeight="1">
      <c r="A459" s="15" t="inlineStr">
        <is>
          <t>PERSON-458</t>
        </is>
      </c>
      <c r="B459" s="5" t="inlineStr">
        <is>
          <t>Sanjoy Chowdhury</t>
        </is>
      </c>
      <c r="C459" s="5" t="inlineStr">
        <is>
          <t>Background-score composer</t>
        </is>
      </c>
      <c r="D459" s="18" t="n"/>
      <c r="E459" s="18" t="n"/>
      <c r="F459" s="5" t="n"/>
      <c r="G459" s="5" t="inlineStr">
        <is>
          <t>Hindi, Malayalam and Bengali cinema</t>
        </is>
      </c>
      <c r="H459" s="5" t="inlineStr">
        <is>
          <t>Sanjoy Chowdhury is an Indian film score composer and the son of the composer Salil Chowdhury. He has specialised in background music rather than songs across a long list of films in several languages.</t>
        </is>
      </c>
      <c r="I459" s="5" t="inlineStr">
        <is>
          <t>The background score of the Malayalam film Ennu Swantham Janakikutty (1998), followed by John Matthew Matthan's Sarfarosh.</t>
        </is>
      </c>
      <c r="J459" s="5" t="inlineStr">
        <is>
          <t>With Kapoor: All Is Well (2015). Elsewhere, Sarfarosh, A Wednesday! and scores in Malayalam and Bengali.</t>
        </is>
      </c>
      <c r="K459" s="19" t="inlineStr">
        <is>
          <t>Score as structural support for thrillers and social dramas.</t>
        </is>
      </c>
      <c r="L459" s="19" t="inlineStr">
        <is>
          <t>A specialist background-score composer working apart from the song-writing side of Hindi film music.</t>
        </is>
      </c>
      <c r="M459" s="5" t="inlineStr">
        <is>
          <t>Star Screen Award nomination for A Wednesday!.</t>
        </is>
      </c>
      <c r="N459" s="19" t="inlineStr">
        <is>
          <t>Part of the generation that established the background score as a separate craft credit in Hindi cinema, and the carrier of his father's name into it.</t>
        </is>
      </c>
      <c r="O459" s="19" t="inlineStr">
        <is>
          <t>One film: All Is Well (2015), Umesh Shukla's comedy drama, in which Kapoor plays Bhajanlal Bhalla, a baker who throws his son out of the house and is then revealed to be deep in debt, with a wife suffering from Alzheimer's whom he has sent away to an ashram.</t>
        </is>
      </c>
      <c r="P459" s="17" t="n">
        <v>1</v>
      </c>
      <c r="Q459" s="5" t="inlineStr">
        <is>
          <t>FILM-148</t>
        </is>
      </c>
      <c r="R459" s="5" t="inlineStr">
        <is>
          <t>All Is Well (2015)</t>
        </is>
      </c>
      <c r="S459" s="5" t="inlineStr">
        <is>
          <t>Sanjoy Chowdhury scored All Is Well, the first of two films Umesh Shukla made with Rishi Kapoor. The son of Salil Chowdhury, Chowdhury debuted in 1998 on the Malayalam film Ennu Swantham Janakikutty, was brought in by John Matthew Matthan for Sarfarosh and built a career almost entirely on background music, with a Star Screen nomination for A Wednesday!. All Is Well failed, but the part it gave Kapoor is of a piece with his late work: a father whose severity is revealed to be a cover for ruin, with a wife who no longer recognises him. Three years later Shukla cast him again, in 102 Not Out, in a far better version of the same relationship, where the parent is Amitabh Bachchan and Kapoor is the son being refused permission to give up.</t>
        </is>
      </c>
      <c r="T459" s="5" t="inlineStr">
        <is>
          <t>SOURCE-140; SOURCE-389</t>
        </is>
      </c>
      <c r="U459" s="5" t="inlineStr">
        <is>
          <t>High</t>
        </is>
      </c>
    </row>
    <row r="460" ht="184" customHeight="1">
      <c r="A460" s="15" t="inlineStr">
        <is>
          <t>PERSON-459</t>
        </is>
      </c>
      <c r="B460" s="5" t="inlineStr">
        <is>
          <t>Santosh Anand</t>
        </is>
      </c>
      <c r="C460" s="5" t="inlineStr">
        <is>
          <t>Writer; Lyricist</t>
        </is>
      </c>
      <c r="D460" s="17" t="n">
        <v>1929</v>
      </c>
      <c r="E460" s="18" t="n"/>
      <c r="F460" s="5" t="n"/>
      <c r="G460" s="5" t="inlineStr">
        <is>
          <t>Hindi cinema</t>
        </is>
      </c>
      <c r="H460" s="5" t="inlineStr">
        <is>
          <t>Santosh Anand is an Indian lyricist who came to prominence in the 1970s. Born in Sikandrabad in 1929, he studied library science at Aligarh Muslim University and began writing for films in 1970.</t>
        </is>
      </c>
      <c r="I460" s="5" t="inlineStr">
        <is>
          <t>Purab Aur Paschim (1970), with music by Kalyanji-Anandji.</t>
        </is>
      </c>
      <c r="J460" s="5" t="inlineStr">
        <is>
          <t>With Kapoor: Prem Rog (1982), Bade Ghar Ki Beti (1989) and Ranbhoomi (1991). Elsewhere, Ek Pyar Ka Nagma Hai from Shor (1972) and the songs of Roti Kapda Aur Makaan (1974).</t>
        </is>
      </c>
      <c r="K460" s="19" t="inlineStr">
        <is>
          <t>Plain-spoken moral and romantic verse, often on love as endurance rather than conquest.</t>
        </is>
      </c>
      <c r="L460" s="19" t="inlineStr">
        <is>
          <t>Simple diction and repeatable refrains, written to be sung slowly; a lyricist of sentiment rather than wordplay.</t>
        </is>
      </c>
      <c r="M460" s="5" t="inlineStr">
        <is>
          <t>Filmfare Award for Best Lyricist twice, in 1975 and 1983; Yash Bharti Award in 2016.</t>
        </is>
      </c>
      <c r="N460" s="19" t="inlineStr">
        <is>
          <t>One of the most-sung lyricists of the 1970s and early 1980s, whose second Filmfare award came for a Rishi Kapoor film.</t>
        </is>
      </c>
      <c r="O460" s="19" t="inlineStr">
        <is>
          <t>Three films by the Films sheet, against one in the frozen collaborator roster. He wrote the lyrics for Prem Rog (1982), Raj Kapoor's film in which Kapoor plays the servant's son who marries a widowed daughter of the house, and for Bade Ghar Ki Beti (1989), and he is credited among the writers of Ranbhoomi (1991). Prem Rog is by far the most important of the three: it is one of his defining films, and Anand's lyrics for it won him the Filmfare Award for Best Lyricist in 1983.</t>
        </is>
      </c>
      <c r="P460" s="17" t="n">
        <v>3</v>
      </c>
      <c r="Q460" s="5" t="inlineStr">
        <is>
          <t>FILM-037; FILM-070; FILM-082</t>
        </is>
      </c>
      <c r="R460" s="5" t="inlineStr">
        <is>
          <t>Prem Rog (1982)</t>
        </is>
      </c>
      <c r="S460" s="5" t="inlineStr">
        <is>
          <t>Santosh Anand wrote the lyrics of Prem Rog, which is among the two or three most important films Rishi Kapoor made. Born in Sikandrabad in 1929 and trained in library science at Aligarh, Anand began with Purab Aur Paschim in 1970 and wrote Ek Pyar Ka Nagma Hai for Shor, then the songs of Roti Kapda Aur Makaan, which brought him the Filmfare Award for Best Lyricist in 1975; his second came in 1983 for Prem Rog. Raj Kapoor's film cast his son as a poor young man who loves and marries a widowed daughter of the household that raised him, against every convention the family holds, and its songs carry the argument the dialogue cannot make directly. Anand's plain, slow-moving verse suited a film built on grief and defiance rather than courtship, and it gave Kapoor his least frivolous romantic role of the period.</t>
        </is>
      </c>
      <c r="T460" s="5" t="inlineStr">
        <is>
          <t>SOURCE-077; SOURCE-390</t>
        </is>
      </c>
      <c r="U460" s="5" t="inlineStr">
        <is>
          <t>High</t>
        </is>
      </c>
    </row>
    <row r="461" ht="169" customHeight="1">
      <c r="A461" s="15" t="inlineStr">
        <is>
          <t>PERSON-460</t>
        </is>
      </c>
      <c r="B461" s="5" t="inlineStr">
        <is>
          <t>Santosh Saroj</t>
        </is>
      </c>
      <c r="C461" s="5" t="inlineStr">
        <is>
          <t>Writer</t>
        </is>
      </c>
      <c r="D461" s="18" t="n"/>
      <c r="E461" s="18" t="n"/>
      <c r="F461" s="5" t="n"/>
      <c r="G461" s="5" t="inlineStr">
        <is>
          <t>Hindi cinema</t>
        </is>
      </c>
      <c r="H461" s="5" t="inlineStr">
        <is>
          <t>Santosh Saroj is a Hindi-film screenwriter and dialogue writer, earlier an assistant director on films including Mausam (1975) and Raaste Ka Patthar. He worked most often with Mukul Anand and Tinu Anand and has also directed two films.</t>
        </is>
      </c>
      <c r="I461" s="5" t="inlineStr">
        <is>
          <t>Assistant direction in the mid-1970s, then writing; best known for the Amitabh Bachchan vehicles of the late 1980s.</t>
        </is>
      </c>
      <c r="J461" s="5" t="inlineStr">
        <is>
          <t>With Kapoor: Agneepath (2012), credited among the writers of the remake. Elsewhere, Shahenshah (1988), Agneepath (1990), Khuda Gawah and Major Saab (1998).</t>
        </is>
      </c>
      <c r="K461" s="19" t="inlineStr">
        <is>
          <t>Crime melodrama and vengeance, written for a single dominant star.</t>
        </is>
      </c>
      <c r="L461" s="19" t="inlineStr">
        <is>
          <t>Declamatory dialogue built for star entrances and confrontation scenes.</t>
        </is>
      </c>
      <c r="M461" s="5" t="n"/>
      <c r="N461" s="19" t="inlineStr">
        <is>
          <t>A principal writer of the late-1980s Bachchan cycle, and the author of the original Agneepath, whose story credit carried into the 2012 remake.</t>
        </is>
      </c>
      <c r="O461" s="19" t="inlineStr">
        <is>
          <t>One film: Agneepath (2012), Karan Malhotra's remake, in which Kapoor plays Rauf Lala, the gangster whose protege destroys him. Saroj is credited among the film's writers alongside Malhotra and Ila Bedi Dutta, his claim resting on the 1990 original. The part is the hinge of Kapoor's late career: a genuine villain, played without any appeal to the audience's affection, in a year when he also appeared in Housefull 2 and Student of the Year.</t>
        </is>
      </c>
      <c r="P461" s="17" t="n">
        <v>1</v>
      </c>
      <c r="Q461" s="5" t="inlineStr">
        <is>
          <t>FILM-137</t>
        </is>
      </c>
      <c r="R461" s="5" t="inlineStr">
        <is>
          <t>Agneepath (2012)</t>
        </is>
      </c>
      <c r="S461" s="5" t="inlineStr">
        <is>
          <t>Santosh Saroj wrote the original Agneepath and is credited among the writers of the 2012 remake in which Rishi Kapoor plays Rauf Lala. He began as an assistant director on Mausam and Raaste Ka Patthar, then wrote the late-1980s Amitabh Bachchan films that are his best-known work, Shahenshah, Khuda Gawah and the 1990 Agneepath, as well as Major Saab in 1998, and directed two films himself. The remake's story credit is his inheritance, and the role it produced changed how the industry used Kapoor. Rauf Lala is a flesh trader with gold teeth and no redeeming warmth, and Kapoor played him at fifty-nine with evident appetite. Every antagonist he took afterwards, in Aurangzeb, D-Day, Kal Kissne Dekha and Kaanchi, follows from this one, and it is the single most consequential casting decision of his final decade.</t>
        </is>
      </c>
      <c r="T461" s="5" t="inlineStr">
        <is>
          <t>SOURCE-129; SOURCE-391</t>
        </is>
      </c>
      <c r="U461" s="5" t="inlineStr">
        <is>
          <t>High</t>
        </is>
      </c>
    </row>
    <row r="462" ht="109" customHeight="1">
      <c r="A462" s="15" t="inlineStr">
        <is>
          <t>PERSON-461</t>
        </is>
      </c>
      <c r="B462" s="5" t="inlineStr">
        <is>
          <t>Sapan–Jagmohan</t>
        </is>
      </c>
      <c r="C462" s="5" t="inlineStr">
        <is>
          <t>Background-score composer</t>
        </is>
      </c>
      <c r="D462" s="18" t="n"/>
      <c r="E462" s="18" t="n"/>
      <c r="F462" s="5" t="n"/>
      <c r="G462" s="5" t="inlineStr">
        <is>
          <t>Hindi cinema</t>
        </is>
      </c>
      <c r="H462" s="5" t="inlineStr">
        <is>
          <t>A composing duo credited on one film in this filmography, with no Wikipedia article located under this name.</t>
        </is>
      </c>
      <c r="I462" s="5" t="n"/>
      <c r="J462" s="5" t="inlineStr">
        <is>
          <t>With Kapoor: Aap Ke Deewane (1980).</t>
        </is>
      </c>
      <c r="K462" s="19" t="inlineStr">
        <is>
          <t>Not documented.</t>
        </is>
      </c>
      <c r="L462" s="19" t="inlineStr">
        <is>
          <t>Not documented.</t>
        </is>
      </c>
      <c r="M462" s="5" t="n"/>
      <c r="N462" s="19" t="inlineStr">
        <is>
          <t>Not independently documented.</t>
        </is>
      </c>
      <c r="O462" s="19" t="inlineStr">
        <is>
          <t>One film: Aap Ke Deewane (1980), Surendra Mohan's romance, in which Kapoor and Rakesh Roshan play inseparable friends thrown out of college on a false charge, who assume the identity of a married couple to be hired as tutors and both fall in love with the same woman.</t>
        </is>
      </c>
      <c r="P462" s="17" t="n">
        <v>1</v>
      </c>
      <c r="Q462" s="5" t="inlineStr">
        <is>
          <t>FILM-030</t>
        </is>
      </c>
      <c r="R462" s="5" t="inlineStr">
        <is>
          <t>Aap Ke Deewane (1980)</t>
        </is>
      </c>
      <c r="S462" s="5" t="inlineStr">
        <is>
          <t>Sapan-Jagmohan are credited on Aap Ke Deewane (1980) and have no locatable Wikipedia article. The film is one of the double-hero comedies that ran through Kapoor's late 1970s and early 1980s, in which the romance is organised as a contest between two friends rather than between the couple and the world. Those films give him his highest mutuality scores and his lowest external-opposition scores, which makes them the exception in a filmography where the obstacle almost always comes from outside the pair. This row is built from the film's credits alone.</t>
        </is>
      </c>
      <c r="T462" s="5" t="inlineStr">
        <is>
          <t>SOURCE-030</t>
        </is>
      </c>
      <c r="U462" s="5" t="inlineStr">
        <is>
          <t>Low</t>
        </is>
      </c>
    </row>
    <row r="463" ht="94" customHeight="1">
      <c r="A463" s="15" t="inlineStr">
        <is>
          <t>PERSON-462</t>
        </is>
      </c>
      <c r="B463" s="5" t="inlineStr">
        <is>
          <t>Satish Bhatnagar</t>
        </is>
      </c>
      <c r="C463" s="5" t="inlineStr">
        <is>
          <t>Writer</t>
        </is>
      </c>
      <c r="D463" s="18" t="n"/>
      <c r="E463" s="18" t="n"/>
      <c r="F463" s="5" t="n"/>
      <c r="G463" s="5" t="inlineStr">
        <is>
          <t>Hindi cinema</t>
        </is>
      </c>
      <c r="H463" s="5" t="inlineStr">
        <is>
          <t>A writer credited on one film in this filmography, with no Wikipedia article of his own.</t>
        </is>
      </c>
      <c r="I463" s="5" t="n"/>
      <c r="J463" s="5" t="inlineStr">
        <is>
          <t>With Kapoor: Tawaif (1985).</t>
        </is>
      </c>
      <c r="K463" s="19" t="inlineStr">
        <is>
          <t>Not documented.</t>
        </is>
      </c>
      <c r="L463" s="19" t="inlineStr">
        <is>
          <t>Not documented.</t>
        </is>
      </c>
      <c r="M463" s="5" t="n"/>
      <c r="N463" s="19" t="inlineStr">
        <is>
          <t>Not independently documented.</t>
        </is>
      </c>
      <c r="O463" s="19" t="inlineStr">
        <is>
          <t>One film: Tawaif (1985), B. R. Chopra's drama, in which Kapoor plays Dawood, forced at knifepoint to shelter a courtesan for a night and waking to find the neighbourhood has decided she is his wife.</t>
        </is>
      </c>
      <c r="P463" s="17" t="n">
        <v>1</v>
      </c>
      <c r="Q463" s="5" t="inlineStr">
        <is>
          <t>FILM-050</t>
        </is>
      </c>
      <c r="R463" s="5" t="inlineStr">
        <is>
          <t>Tawaif (1985)</t>
        </is>
      </c>
      <c r="S463" s="5" t="inlineStr">
        <is>
          <t>Satish Bhatnagar is credited as a writer on Tawaif (1985) and has no documented biography. The film is among the more interesting of Kapoor's mid-1980s leads and one of the few that complicates his romantic persona: Dawood resents Sultana, is courting another woman, and comes to see her worth only slowly, which inverts the instant devotion of his 1970s roles. It is a B. R. Chopra production, made in the social-problem register that studio favoured, and it gives the woman the moral initiative. This row is built from the film's credits alone.</t>
        </is>
      </c>
      <c r="T463" s="5" t="inlineStr">
        <is>
          <t>SOURCE-046</t>
        </is>
      </c>
      <c r="U463" s="5" t="inlineStr">
        <is>
          <t>Low</t>
        </is>
      </c>
    </row>
    <row r="464" ht="124" customHeight="1">
      <c r="A464" s="15" t="inlineStr">
        <is>
          <t>PERSON-463</t>
        </is>
      </c>
      <c r="B464" s="5" t="inlineStr">
        <is>
          <t>Saumya Joshi</t>
        </is>
      </c>
      <c r="C464" s="5" t="inlineStr">
        <is>
          <t>Writer</t>
        </is>
      </c>
      <c r="D464" s="17" t="n">
        <v>1973</v>
      </c>
      <c r="E464" s="18" t="n"/>
      <c r="F464" s="5" t="n"/>
      <c r="G464" s="5" t="inlineStr">
        <is>
          <t>Gujarati theatre and literature; Hindi cinema</t>
        </is>
      </c>
      <c r="H464" s="5" t="inlineStr">
        <is>
          <t>Saumya Joshi is an Indian poet, playwright, director and actor working in Gujarati literature, theatre and film. Born in Ahmedabad in 1973, he taught English literature at H. K. Arts College from 1995, founded the Fade-In Theatre in 2010 and left teaching in 2011 to work in theatre full-time.</t>
        </is>
      </c>
      <c r="I464" s="5" t="inlineStr">
        <is>
          <t>Gujarati poetry from his late teens; his plays include Welcome Zindagi and 102 Not Out.</t>
        </is>
      </c>
      <c r="J464" s="5" t="inlineStr">
        <is>
          <t>With Kapoor: 102 Not Out (2018), adapted from his own play. Elsewhere, the poetry collection Greenroomma (2008) and his Gujarati plays.</t>
        </is>
      </c>
      <c r="K464" s="19" t="inlineStr">
        <is>
          <t>Ageing, obstinacy and family obligation treated as comedy; everyday Gujarati speech on stage.</t>
        </is>
      </c>
      <c r="L464" s="19" t="inlineStr">
        <is>
          <t>A playwright's structure carried into film: two or three characters, one location and an argument that runs the length of the piece.</t>
        </is>
      </c>
      <c r="M464" s="5" t="inlineStr">
        <is>
          <t>Chandravadan Chimanlal Mehta Award (2013), Yuva Gaurav Puraskar (2007) and Takhtasinh Parmar Prize (2008-09).</t>
        </is>
      </c>
      <c r="N464" s="19" t="inlineStr">
        <is>
          <t>One of the significant contemporary Gujarati playwrights, and the author of the source play for one of the most successful Hindi films about old age.</t>
        </is>
      </c>
      <c r="O464" s="19" t="inlineStr">
        <is>
          <t>One film: 102 Not Out (2018), based on his Gujarati play, in which Kapoor plays Babulal, a man of seventy-five convinced he is too old and frail for anything, opposed by his 102-year-old father who intends to break a longevity record. It was Kapoor's last completed leading role and his last film with Amitabh Bachchan.</t>
        </is>
      </c>
      <c r="P464" s="17" t="n">
        <v>1</v>
      </c>
      <c r="Q464" s="5" t="inlineStr">
        <is>
          <t>FILM-154</t>
        </is>
      </c>
      <c r="R464" s="5" t="inlineStr">
        <is>
          <t>102 Not Out (2018)</t>
        </is>
      </c>
      <c r="S464" s="5" t="inlineStr">
        <is>
          <t>Saumya Joshi wrote the play 102 Not Out and its screenplay, giving Rishi Kapoor his final completed lead. Born in Ahmedabad in 1973, Joshi taught English literature for sixteen years while building a reputation in Gujarati theatre with Welcome Zindagi and 102 Not Out, published the poetry collection Greenroomma in 2008 and won the Chandravadan Chimanlal Mehta Award in 2013. The play's premise is a father declaring his son too dull to live with, and the film keeps its two-hander shape. Casting Bachchan and Kapoor as father and son is only possible because of their shared history: they had played contemporaries and rivals since Kabhi Kabhie in 1976, and the eleven years between them is doing none of the work. Kapoor plays old age as physical caution, which is the opposite of the role he had been playing since Agneepath.</t>
        </is>
      </c>
      <c r="T464" s="5" t="inlineStr">
        <is>
          <t>SOURCE-146; SOURCE-392</t>
        </is>
      </c>
      <c r="U464" s="5" t="inlineStr">
        <is>
          <t>High</t>
        </is>
      </c>
    </row>
    <row r="465" ht="109" customHeight="1">
      <c r="A465" s="15" t="inlineStr">
        <is>
          <t>PERSON-464</t>
        </is>
      </c>
      <c r="B465" s="5" t="inlineStr">
        <is>
          <t>Seeroo Daryani</t>
        </is>
      </c>
      <c r="C465" s="5" t="inlineStr">
        <is>
          <t>Producer</t>
        </is>
      </c>
      <c r="D465" s="18" t="n"/>
      <c r="E465" s="18" t="n"/>
      <c r="F465" s="5" t="n"/>
      <c r="G465" s="5" t="inlineStr">
        <is>
          <t>Hindi cinema</t>
        </is>
      </c>
      <c r="H465" s="5" t="inlineStr">
        <is>
          <t>A producer credited on one film in this filmography, with no Wikipedia article of his own.</t>
        </is>
      </c>
      <c r="I465" s="5" t="n"/>
      <c r="J465" s="5" t="inlineStr">
        <is>
          <t>With Kapoor: Laila Majnu (1976).</t>
        </is>
      </c>
      <c r="K465" s="19" t="inlineStr">
        <is>
          <t>Not documented.</t>
        </is>
      </c>
      <c r="L465" s="19" t="inlineStr">
        <is>
          <t>Not documented.</t>
        </is>
      </c>
      <c r="M465" s="5" t="n"/>
      <c r="N465" s="19" t="inlineStr">
        <is>
          <t>Not independently documented.</t>
        </is>
      </c>
      <c r="O465" s="19" t="inlineStr">
        <is>
          <t>One film: Laila Majnu (1976), H. S. Rawail's version of the romance, in which Kapoor plays Qais, who loves Laila from childhood with a bond so literal that a blow to one draws blood from the other, kills her brother in revenge for his father, is exiled and goes mad in the desert.</t>
        </is>
      </c>
      <c r="P465" s="17" t="n">
        <v>1</v>
      </c>
      <c r="Q465" s="5" t="inlineStr">
        <is>
          <t>FILM-013</t>
        </is>
      </c>
      <c r="R465" s="5" t="inlineStr">
        <is>
          <t>Laila Majnu (1976)</t>
        </is>
      </c>
      <c r="S465" s="5" t="inlineStr">
        <is>
          <t>Seeroo Daryani is credited as a producer on Laila Majnu (1976) and has no documented biography. The film is one of the most consequential in this workbook: in his second year as a lead, it established that Kapoor could carry absolute, self-destroying love, and it fixed the tragic end of the range his comedies would otherwise have defined. The pairing with Ranjeeta was repeated, the songs became standards, and the structure, love declared as fact and destroyed entirely from outside, became the template for Yeh Vaada Raha and Deedar-E-Yaar. This row is built from the film's credits alone.</t>
        </is>
      </c>
      <c r="T465" s="5" t="inlineStr">
        <is>
          <t>SOURCE-011</t>
        </is>
      </c>
      <c r="U465" s="5" t="inlineStr">
        <is>
          <t>Low</t>
        </is>
      </c>
    </row>
    <row r="466" ht="124" customHeight="1">
      <c r="A466" s="15" t="inlineStr">
        <is>
          <t>PERSON-465</t>
        </is>
      </c>
      <c r="B466" s="5" t="inlineStr">
        <is>
          <t>Shafi Inamdar</t>
        </is>
      </c>
      <c r="C466" s="5" t="inlineStr">
        <is>
          <t>Director</t>
        </is>
      </c>
      <c r="D466" s="17" t="n">
        <v>1945</v>
      </c>
      <c r="E466" s="17" t="n">
        <v>1996</v>
      </c>
      <c r="F466" s="5" t="n"/>
      <c r="G466" s="5" t="inlineStr">
        <is>
          <t>Hindi cinema; Indian television</t>
        </is>
      </c>
      <c r="H466" s="5" t="inlineStr">
        <is>
          <t>Shafi Inamdar was an Indian actor who also directed. Educated in Ratnagiri and Mumbai, with a B.Sc. from K. C. College in 1963, he began in films with Vijeta and became a household name on television in Yeh Jo Hai Zindagi, playing, in his own description, the common man.</t>
        </is>
      </c>
      <c r="I466" s="5" t="inlineStr">
        <is>
          <t>Film debut in Vijeta; television fame with Yeh Jo Hai Zindagi in the 1980s.</t>
        </is>
      </c>
      <c r="J466" s="5" t="inlineStr">
        <is>
          <t>With Kapoor: Hum Dono (1995), as director. Elsewhere, as an actor, Ardh Satya, Aaj Ki Awaz, Awam, Nazrana and Love 86.</t>
        </is>
      </c>
      <c r="K466" s="19" t="inlineStr">
        <is>
          <t>Middle-class domestic comedy on television; police and villain roles on film.</t>
        </is>
      </c>
      <c r="L466" s="19" t="inlineStr">
        <is>
          <t>An actor's director, with a background in serial television rather than in film-school technique.</t>
        </is>
      </c>
      <c r="M466" s="5" t="n"/>
      <c r="N466" s="19" t="inlineStr">
        <is>
          <t>A major television presence of the 1980s whose film direction is a footnote to his acting career.</t>
        </is>
      </c>
      <c r="O466" s="19" t="inlineStr">
        <is>
          <t>One film: Hum Dono (1995), which he directed, in which Kapoor plays Raju, the step-brother whose consent a will requires, forcing the man who despises him to work with him. Inamdar died the following year, aged fifty.</t>
        </is>
      </c>
      <c r="P466" s="17" t="n">
        <v>1</v>
      </c>
      <c r="Q466" s="5" t="inlineStr">
        <is>
          <t>FILM-105</t>
        </is>
      </c>
      <c r="R466" s="5" t="inlineStr">
        <is>
          <t>Hum Dono (1995)</t>
        </is>
      </c>
      <c r="S466" s="5" t="inlineStr">
        <is>
          <t>Shafi Inamdar directed Hum Dono, one of his few credits behind the camera and one of Rishi Kapoor's last films as a co-lead. Born in 1945 and educated in Mumbai, Inamdar built his career as an actor, from Vijeta and Ardh Satya to villain and police parts in Awam and Aaj Ki Awaz, but became genuinely famous on television in Yeh Jo Hai Zindagi, whose Friday-night broadcast was said to affect cinema business. He was married to the actress Bhakti Barve and died of a heart attack in March 1996, a year after this film. Hum Dono casts Kapoor as the lower-class step-brother in an inheritance plot opposite Nana Patekar, and belongs to the mid-1990s stretch when his leads were becoming co-leads and the romance in them secondary to the mechanics of the plot.</t>
        </is>
      </c>
      <c r="T466" s="5" t="inlineStr">
        <is>
          <t>SOURCE-098; SOURCE-393</t>
        </is>
      </c>
      <c r="U466" s="5" t="inlineStr">
        <is>
          <t>High</t>
        </is>
      </c>
    </row>
    <row r="467" ht="94" customHeight="1">
      <c r="A467" s="15" t="inlineStr">
        <is>
          <t>PERSON-466</t>
        </is>
      </c>
      <c r="B467" s="5" t="inlineStr">
        <is>
          <t>Shakeel Noorani</t>
        </is>
      </c>
      <c r="C467" s="5" t="inlineStr">
        <is>
          <t>Producer</t>
        </is>
      </c>
      <c r="D467" s="18" t="n"/>
      <c r="E467" s="18" t="n"/>
      <c r="F467" s="5" t="n"/>
      <c r="G467" s="5" t="inlineStr">
        <is>
          <t>Hindi cinema</t>
        </is>
      </c>
      <c r="H467" s="5" t="inlineStr">
        <is>
          <t>A producer credited on one film in this filmography, with no Wikipedia article of his own.</t>
        </is>
      </c>
      <c r="I467" s="5" t="n"/>
      <c r="J467" s="5" t="inlineStr">
        <is>
          <t>With Kapoor: Shreemaan Aashique (1993).</t>
        </is>
      </c>
      <c r="K467" s="19" t="inlineStr">
        <is>
          <t>Not documented.</t>
        </is>
      </c>
      <c r="L467" s="19" t="inlineStr">
        <is>
          <t>Not documented.</t>
        </is>
      </c>
      <c r="M467" s="5" t="n"/>
      <c r="N467" s="19" t="inlineStr">
        <is>
          <t>Not independently documented.</t>
        </is>
      </c>
      <c r="O467" s="19" t="inlineStr">
        <is>
          <t>One film: Shreemaan Aashique (1993), Deepak Anand's romantic comedy, in which Kapoor plays Dushyant, who has promised his uncle's association of confirmed bachelors that he will never marry and is pursued by Shakuntala until he gives in.</t>
        </is>
      </c>
      <c r="P467" s="17" t="n">
        <v>1</v>
      </c>
      <c r="Q467" s="5" t="inlineStr">
        <is>
          <t>FILM-092</t>
        </is>
      </c>
      <c r="R467" s="5" t="inlineStr">
        <is>
          <t>Shreemaan Aashique (1993)</t>
        </is>
      </c>
      <c r="S467" s="5" t="inlineStr">
        <is>
          <t>Shakeel Noorani is credited as a producer on Shreemaan Aashique (1993) and has no documented biography. The film is late evidence of a pattern unusual in this filmography and strongest in the 1990s: the woman does the pursuing. Kapoor's character refuses marriage on principle and Urmila Matondkar's heroine persists until he relents, which produces high female-agency and mutuality scores in a film of no critical standing. At forty-one he was still being cast as the reluctant object of a young woman's courtship, two years before the leads stopped coming. This row is built from the film's credits alone.</t>
        </is>
      </c>
      <c r="T467" s="5" t="inlineStr">
        <is>
          <t>SOURCE-085</t>
        </is>
      </c>
      <c r="U467" s="5" t="inlineStr">
        <is>
          <t>Low</t>
        </is>
      </c>
    </row>
    <row r="468" ht="139" customHeight="1">
      <c r="A468" s="15" t="inlineStr">
        <is>
          <t>PERSON-467</t>
        </is>
      </c>
      <c r="B468" s="5" t="inlineStr">
        <is>
          <t>Shakun Batra</t>
        </is>
      </c>
      <c r="C468" s="5" t="inlineStr">
        <is>
          <t>Director; Writer</t>
        </is>
      </c>
      <c r="D468" s="17" t="n">
        <v>1983</v>
      </c>
      <c r="E468" s="18" t="n"/>
      <c r="F468" s="5" t="n"/>
      <c r="G468" s="5" t="inlineStr">
        <is>
          <t>Hindi cinema</t>
        </is>
      </c>
      <c r="H468" s="5" t="inlineStr">
        <is>
          <t>Shakun Batra is an Indian filmmaker, writer and occasional actor. He entered the industry as a bit-part actor in Don: The Chase Begins Again (2006) and worked as an assistant director on Jaane Tu... Ya Jaane Na and Rock On!! before writing and directing his own films.</t>
        </is>
      </c>
      <c r="I468" s="5" t="inlineStr">
        <is>
          <t>Writing and directing debut with the romantic comedy Ek Main Aur Ekk Tu (2012).</t>
        </is>
      </c>
      <c r="J468" s="5" t="inlineStr">
        <is>
          <t>With Kapoor: Kapoor &amp; Sons (2016). Elsewhere, Ek Main Aur Ekk Tu (2012) and Gehraiyaan (2022).</t>
        </is>
      </c>
      <c r="K468" s="19" t="inlineStr">
        <is>
          <t>Families that cannot speak honestly to each other; affection and resentment held in the same scene.</t>
        </is>
      </c>
      <c r="L468" s="19" t="inlineStr">
        <is>
          <t>Overlapping dialogue, handheld camera and performances kept below the pitch of conventional Hindi melodrama; a Dharma Productions director working against the studio's house style.</t>
        </is>
      </c>
      <c r="M468" s="5" t="inlineStr">
        <is>
          <t>Critical recognition for Kapoor &amp; Sons; the New York Times noted the restraint of his debut.</t>
        </is>
      </c>
      <c r="N468" s="19" t="inlineStr">
        <is>
          <t>One of the directors who moved the mainstream Hindi family film away from declamation and towards naturalism in the 2010s.</t>
        </is>
      </c>
      <c r="O468" s="19" t="inlineStr">
        <is>
          <t>One film: Kapoor &amp; Sons (2016), in which Kapoor plays Amarjeet Kapoor, the ninety-year-old whose heart attack brings his estranged grandsons home and whose stated last wish, a family photograph captioned Kapoor and Sons since 1921, the film keeps failing to achieve. It is the best-reviewed performance of his late career and required four hours of prosthetic make-up a day.</t>
        </is>
      </c>
      <c r="P468" s="17" t="n">
        <v>1</v>
      </c>
      <c r="Q468" s="5" t="inlineStr">
        <is>
          <t>FILM-152</t>
        </is>
      </c>
      <c r="R468" s="5" t="inlineStr">
        <is>
          <t>Kapoor &amp; Sons (2016)</t>
        </is>
      </c>
      <c r="S468" s="5" t="inlineStr">
        <is>
          <t>Shakun Batra directed Kapoor &amp; Sons, which produced the finest performance of Rishi Kapoor's last decade. Born in 1983, Batra appeared in Don: The Chase Begins Again, assisted on Jaane Tu... Ya Jaane Na and Rock On!!, and made his writing and directing debut with Ek Main Aur Ekk Tu in 2012 before this film and Gehraiyaan. His method, overlapping talk and performances pitched well below melodrama, let Kapoor play a ninety-year-old as an appetite rather than a monument: lecherous, manipulative, funny, the only member of the family honest about what he wants. He wore prosthetics for four hours each shooting day at sixty-three. For a filmography built on romantic leads, the critical peak of the career arrives in a part with no romance in it at all, which is the sharpest single fact in this workbook.</t>
        </is>
      </c>
      <c r="T468" s="5" t="inlineStr">
        <is>
          <t>SOURCE-144; SOURCE-394</t>
        </is>
      </c>
      <c r="U468" s="5" t="inlineStr">
        <is>
          <t>High</t>
        </is>
      </c>
    </row>
    <row r="469" ht="109" customHeight="1">
      <c r="A469" s="15" t="inlineStr">
        <is>
          <t>PERSON-468</t>
        </is>
      </c>
      <c r="B469" s="5" t="inlineStr">
        <is>
          <t>Shamir Tandon</t>
        </is>
      </c>
      <c r="C469" s="5" t="inlineStr">
        <is>
          <t>Song composer</t>
        </is>
      </c>
      <c r="D469" s="18" t="n"/>
      <c r="E469" s="18" t="n"/>
      <c r="F469" s="5" t="n"/>
      <c r="G469" s="5" t="inlineStr">
        <is>
          <t>Hindi cinema</t>
        </is>
      </c>
      <c r="H469" s="5" t="inlineStr">
        <is>
          <t>Shamir Tandon is an Indian music composer and director. Raised in a Mumbai middle-class family and orphaned early, he qualified in cost accountancy and took an MBA from Narsee Monjee, then worked as a merchant banker with Kotak Mahindra and Birla Global and as a marketing manager at Virgin EMI before composing.</t>
        </is>
      </c>
      <c r="I469" s="5" t="inlineStr">
        <is>
          <t>His debut as a music director was Stumped (2003).</t>
        </is>
      </c>
      <c r="J469" s="5" t="inlineStr">
        <is>
          <t>With Kapoor: The Body (2019). Elsewhere, Page 3, Corporate, Traffic Signal, Mission Istaanbul and Inkaar.</t>
        </is>
      </c>
      <c r="K469" s="19" t="inlineStr">
        <is>
          <t>Urban subject films and thrillers; songs for Madhur Bhandarkar's city dramas.</t>
        </is>
      </c>
      <c r="L469" s="19" t="inlineStr">
        <is>
          <t>A composer from the music-business side of the industry, writing to brief; he has recorded Lata Mangeshkar, Asha Bhosle, Jagjit Singh and Manna Dey.</t>
        </is>
      </c>
      <c r="M469" s="5" t="n"/>
      <c r="N469" s="19" t="inlineStr">
        <is>
          <t>Associated with the 2000s cycle of Hindi films about urban professional life.</t>
        </is>
      </c>
      <c r="O469" s="19" t="inlineStr">
        <is>
          <t>One film: The Body (2019), Jeethu Joseph's thriller, in which Kapoor plays SP Jairaj Rawal, investigating the disappearance of a businesswoman's corpse from the morgue and confining her husband there until it is found. It was released in December 2019, four months before Kapoor's death.</t>
        </is>
      </c>
      <c r="P469" s="17" t="n">
        <v>1</v>
      </c>
      <c r="Q469" s="5" t="inlineStr">
        <is>
          <t>FILM-159</t>
        </is>
      </c>
      <c r="R469" s="5" t="inlineStr">
        <is>
          <t>The Body (2019)</t>
        </is>
      </c>
      <c r="S469" s="5" t="inlineStr">
        <is>
          <t>Shamir Tandon composed the songs for The Body, one of the last two films Rishi Kapoor completed. Tandon came to music from business: cost accountancy, an MBA, merchant banking at Kotak Mahindra and Birla Global, then marketing at Virgin EMI, before debuting as a composer with Stumped in 2003 and finding his place in Madhur Bhandarkar's urban dramas, Page 3, Corporate and Traffic Signal. The Body is a remake of a Spanish thriller, and it hands Kapoor the investigating officer, a part built on patience and insinuation rather than authority. It failed, as several of his last films did, but it belongs to a run of final leads in which he is the one driving the plot, which was not true of the supporting fathers he played a decade earlier.</t>
        </is>
      </c>
      <c r="T469" s="5" t="inlineStr">
        <is>
          <t>SOURCE-151; SOURCE-395</t>
        </is>
      </c>
      <c r="U469" s="5" t="inlineStr">
        <is>
          <t>High</t>
        </is>
      </c>
    </row>
    <row r="470" ht="94" customHeight="1">
      <c r="A470" s="15" t="inlineStr">
        <is>
          <t>PERSON-469</t>
        </is>
      </c>
      <c r="B470" s="5" t="inlineStr">
        <is>
          <t>Shantketan Entertainments</t>
        </is>
      </c>
      <c r="C470" s="5" t="inlineStr">
        <is>
          <t>Production banner</t>
        </is>
      </c>
      <c r="D470" s="18" t="n"/>
      <c r="E470" s="18" t="n"/>
      <c r="F470" s="5" t="n"/>
      <c r="G470" s="5" t="inlineStr">
        <is>
          <t>Hindi cinema</t>
        </is>
      </c>
      <c r="H470" s="5" t="inlineStr">
        <is>
          <t>A production banner credited on one film in this filmography, with no Wikipedia article of its own.</t>
        </is>
      </c>
      <c r="I470" s="5" t="n"/>
      <c r="J470" s="5" t="inlineStr">
        <is>
          <t>With Kapoor: Jhootha Kahin Ka (2019).</t>
        </is>
      </c>
      <c r="K470" s="19" t="inlineStr">
        <is>
          <t>Not documented.</t>
        </is>
      </c>
      <c r="L470" s="19" t="inlineStr">
        <is>
          <t>Not documented.</t>
        </is>
      </c>
      <c r="M470" s="5" t="n"/>
      <c r="N470" s="19" t="inlineStr">
        <is>
          <t>Not independently documented.</t>
        </is>
      </c>
      <c r="O470" s="19" t="inlineStr">
        <is>
          <t>One film: Jhootha Kahin Ka (2019), Smeep Kang's comedy, in which Kapoor plays Yograj Singh, a widowed farmer whose son avoids both work and the farm.</t>
        </is>
      </c>
      <c r="P470" s="17" t="n">
        <v>1</v>
      </c>
      <c r="Q470" s="5" t="inlineStr">
        <is>
          <t>FILM-158</t>
        </is>
      </c>
      <c r="R470" s="5" t="inlineStr">
        <is>
          <t>Jhootha Kahin Ka (2019)</t>
        </is>
      </c>
      <c r="S470" s="5" t="inlineStr">
        <is>
          <t>Shantketan Entertainments is credited on Jhootha Kahin Ka (2019) and has no documented history. The film is one of three releases Kapoor had in 2018 and 2019 after returning from a year of cancer treatment in New York, and the weakest of them. It is a Punjabi-comedy remake carrying a long list of small production entities, none of them documented, which is itself characteristic: his final years mixed well-financed studio work such as 102 Not Out with films assembled from many minor investors. This row is built from the film's credits alone.</t>
        </is>
      </c>
      <c r="T470" s="5" t="inlineStr">
        <is>
          <t>SOURCE-150</t>
        </is>
      </c>
      <c r="U470" s="5" t="inlineStr">
        <is>
          <t>Low</t>
        </is>
      </c>
    </row>
    <row r="471" ht="169" customHeight="1">
      <c r="A471" s="15" t="inlineStr">
        <is>
          <t>PERSON-470</t>
        </is>
      </c>
      <c r="B471" s="5" t="inlineStr">
        <is>
          <t>Shashi Kapoor</t>
        </is>
      </c>
      <c r="C471" s="5" t="inlineStr">
        <is>
          <t>Director; Producer</t>
        </is>
      </c>
      <c r="D471" s="17" t="n">
        <v>1938</v>
      </c>
      <c r="E471" s="17" t="n">
        <v>2017</v>
      </c>
      <c r="F471" s="5" t="inlineStr">
        <is>
          <t>1948–1998</t>
        </is>
      </c>
      <c r="G471" s="5" t="inlineStr">
        <is>
          <t>Hindi cinema; English-language Indian and British co-productions</t>
        </is>
      </c>
      <c r="H471" s="5" t="inlineStr">
        <is>
          <t>Shashi Kapoor, born Balbir Raj Kapoor, was an Indian actor and producer and the youngest son of Prithviraj Kapoor. He began as a child actor in Raj Kapoor's Aag (1948), had his first adult role in Dharmputra (1961) and established himself in 1965 with Waqt and Jab Jab Phool Khile. Through the 1970s and early 1980s he was among the industry's most saleable stars, and he used that position to finance Film-Valas, producing art-cinema titles including Junoon, Kalyug, 36 Chowringhee Lane, Vijeta and Utsav.</t>
        </is>
      </c>
      <c r="I471" s="5" t="inlineStr">
        <is>
          <t>Child actor in Aag (1948); adult debut in Dharmputra (1961); breakthrough with Waqt and Jab Jab Phool Khile (1965).</t>
        </is>
      </c>
      <c r="J471" s="5" t="inlineStr">
        <is>
          <t>With Kapoor: Ajooba (1991), which he directed and produced. Elsewhere, as an actor, Deewaar, Kabhi Kabhie, Trishul, Kaala Patthar, Namak Halaal and Shakespeare-Wallah; as a producer, Junoon and 36 Chowringhee Lane.</t>
        </is>
      </c>
      <c r="K471" s="19" t="inlineStr">
        <is>
          <t>As a producer, the literary and historical subject; as an actor, the urbane counterweight to Amitabh Bachchan's anger.</t>
        </is>
      </c>
      <c r="L471" s="19" t="inlineStr">
        <is>
          <t>Ajooba, his only film as director, is a large-scale Indo-Soviet fantasy, remote from the restrained parallel cinema he had been financing.</t>
        </is>
      </c>
      <c r="M471" s="5" t="inlineStr">
        <is>
          <t>Four National Film Awards and two Filmfare Awards; the Padma Bhushan in 2011 and the Dadasaheb Phalke Award in 2014.</t>
        </is>
      </c>
      <c r="N471" s="19" t="inlineStr">
        <is>
          <t>One of the most important Hindi actors of his generation and, through Film-Valas, one of the few stars to put commercial earnings into art cinema.</t>
        </is>
      </c>
      <c r="O471" s="19" t="inlineStr">
        <is>
          <t>One film: Ajooba (1991), which he directed and produced, and in which his nephew plays Hassan, friend and accomplice to Amitabh Bachchan's masked rider. The two were uncle and nephew within the Kapoor family and had acted together before, notably in Kabhi Kabhie (1976); here the relationship is director and supporting actor on an expensive Indo-Soviet production that failed badly and ended Shashi Kapoor's directing career.</t>
        </is>
      </c>
      <c r="P471" s="17" t="n">
        <v>1</v>
      </c>
      <c r="Q471" s="5" t="inlineStr">
        <is>
          <t>FILM-080</t>
        </is>
      </c>
      <c r="R471" s="5" t="inlineStr">
        <is>
          <t>Ajooba (1991)</t>
        </is>
      </c>
      <c r="S471" s="5" t="inlineStr">
        <is>
          <t>Shashi Kapoor directed and produced Ajooba, the only film in which he directed his nephew. The youngest son of Prithviraj Kapoor, he debuted as a child in Aag in 1948, became a star with Waqt and Jab Jab Phool Khile in 1965 and spent the 1970s as the urbane half of the industry's most successful pairing, with Amitabh Bachchan, in Deewaar, Kabhi Kabhie, Trishul and Namak Halaal. He put those earnings into Film-Valas, financing Junoon, Kalyug, 36 Chowringhee Lane and Utsav, which makes Ajooba a strange final act: an Indo-Soviet fantasy adventure with a huge budget, co-directed with Gennady Vasilyev, that failed and closed his career behind the camera. Rishi Kapoor plays the hero's companion, a role of no consequence. The family connection is the point of the credit: the workbook's subject appears here inside his uncle's most expensive miscalculation.</t>
        </is>
      </c>
      <c r="T471" s="5" t="inlineStr">
        <is>
          <t>SOURCE-075; SOURCE-396</t>
        </is>
      </c>
      <c r="U471" s="5" t="inlineStr">
        <is>
          <t>High</t>
        </is>
      </c>
    </row>
    <row r="472" ht="94" customHeight="1">
      <c r="A472" s="15" t="inlineStr">
        <is>
          <t>PERSON-471</t>
        </is>
      </c>
      <c r="B472" s="5" t="inlineStr">
        <is>
          <t>Shashi Ranjan</t>
        </is>
      </c>
      <c r="C472" s="5" t="inlineStr">
        <is>
          <t>Producer</t>
        </is>
      </c>
      <c r="D472" s="18" t="n"/>
      <c r="E472" s="18" t="n"/>
      <c r="F472" s="5" t="n"/>
      <c r="G472" s="5" t="inlineStr">
        <is>
          <t>Hindi cinema</t>
        </is>
      </c>
      <c r="H472" s="5" t="inlineStr">
        <is>
          <t>A producer credited on one film in this filmography. No Wikipedia article for him could be located, so nothing about his wider career can be recorded here.</t>
        </is>
      </c>
      <c r="I472" s="5" t="n"/>
      <c r="J472" s="5" t="inlineStr">
        <is>
          <t>With Kapoor: Wedding Pullav (2015).</t>
        </is>
      </c>
      <c r="K472" s="19" t="inlineStr">
        <is>
          <t>Not documented.</t>
        </is>
      </c>
      <c r="L472" s="19" t="inlineStr">
        <is>
          <t>Not documented.</t>
        </is>
      </c>
      <c r="M472" s="5" t="n"/>
      <c r="N472" s="19" t="inlineStr">
        <is>
          <t>Not independently documented.</t>
        </is>
      </c>
      <c r="O472" s="19" t="inlineStr">
        <is>
          <t>One film: Wedding Pullav (2015), in which Kapoor is top-billed as Luv Kapoor in what the filmography records as a cameo.</t>
        </is>
      </c>
      <c r="P472" s="17" t="n">
        <v>1</v>
      </c>
      <c r="Q472" s="5" t="inlineStr">
        <is>
          <t>FILM-149</t>
        </is>
      </c>
      <c r="R472" s="5" t="inlineStr">
        <is>
          <t>Wedding Pullav (2015)</t>
        </is>
      </c>
      <c r="S472" s="5" t="inlineStr">
        <is>
          <t>Shashi Ranjan is credited as a producer on Wedding Pullav (2015) and has no locatable Wikipedia article. The film launched two newcomers and used Kapoor's name for recognition, billing him first for a part of a few minutes. The practice was common in his last decade and makes the Films sheet's role-type column necessary: eight entries from 2008 onwards are cameos or self appearances that the posters presented as leading roles, and distinguishing them is the only way the workbook's counts of lead and supporting work mean anything. This row is built from the film's credits alone.</t>
        </is>
      </c>
      <c r="T472" s="5" t="inlineStr">
        <is>
          <t>SOURCE-141</t>
        </is>
      </c>
      <c r="U472" s="5" t="inlineStr">
        <is>
          <t>Low</t>
        </is>
      </c>
    </row>
    <row r="473" ht="124" customHeight="1">
      <c r="A473" s="15" t="inlineStr">
        <is>
          <t>PERSON-472</t>
        </is>
      </c>
      <c r="B473" s="5" t="inlineStr">
        <is>
          <t>Shibani Bathija</t>
        </is>
      </c>
      <c r="C473" s="5" t="inlineStr">
        <is>
          <t>Writer</t>
        </is>
      </c>
      <c r="D473" s="18" t="n"/>
      <c r="E473" s="18" t="n"/>
      <c r="F473" s="5" t="n"/>
      <c r="G473" s="5" t="inlineStr">
        <is>
          <t>Hindi cinema</t>
        </is>
      </c>
      <c r="H473" s="5" t="inlineStr">
        <is>
          <t>Shibani Bathija is an Indian screenwriter. She read English at DePauw University and studied communications at San Francisco State, worked in advertising with Sony, and entered films after showing a script to Karan Johar which Yash Raj Films accepted.</t>
        </is>
      </c>
      <c r="I473" s="5" t="inlineStr">
        <is>
          <t>Her first produced screenplays came through Karan Johar and Yash Raj Films in the mid-2000s.</t>
        </is>
      </c>
      <c r="J473" s="5" t="inlineStr">
        <is>
          <t>With Kapoor: Fanaa (2006). Elsewhere, Kabhi Alvida Naa Kehna (2006), Kidnap (2008) and My Name Is Khan (2010).</t>
        </is>
      </c>
      <c r="K473" s="19" t="inlineStr">
        <is>
          <t>Large emotional reversals inside family and marriage; romance crossed with national and religious conflict.</t>
        </is>
      </c>
      <c r="L473" s="19" t="inlineStr">
        <is>
          <t>Writes for scale and for the star's turning point, in the Dharma and Yash Raj register of the 2000s.</t>
        </is>
      </c>
      <c r="M473" s="5" t="inlineStr">
        <is>
          <t>Filmfare Award nomination for Best Screenplay for Kabhi Alvida Naa Kehna, shared with Karan Johar.</t>
        </is>
      </c>
      <c r="N473" s="19" t="inlineStr">
        <is>
          <t>One of the few women writing top-tier Hindi commercial screenplays in the 2000s.</t>
        </is>
      </c>
      <c r="O473" s="19" t="inlineStr">
        <is>
          <t>One film: Fanaa (2006), Kunal Kohli's romantic thriller, in which Kapoor plays Zulfikar Ali Beg, Zooni's father, who lets his blind daughter travel to Delhi to dance at a Republic Day ceremony and years later nurses the wounded stranger she brings home, presiding over a marriage without knowing who the man is.</t>
        </is>
      </c>
      <c r="P473" s="17" t="n">
        <v>1</v>
      </c>
      <c r="Q473" s="5" t="inlineStr">
        <is>
          <t>FILM-120</t>
        </is>
      </c>
      <c r="R473" s="5" t="inlineStr">
        <is>
          <t>Fanaa (2006)</t>
        </is>
      </c>
      <c r="S473" s="5" t="inlineStr">
        <is>
          <t>Shibani Bathija wrote Fanaa, the second of Rishi Kapoor's four films with Kunal Kohli. She came to screenwriting from DePauw University, San Francisco State and advertising at Sony, broke in by handing a script to Karan Johar, and wrote Kabhi Alvida Naa Kehna, for which she and Johar were nominated for the Filmfare screenplay award, then Kidnap and My Name Is Khan. Fanaa gave Kapoor the Kashmiri father, a part that is pure structure: he grants his daughter the freedom that sets the plot moving and later shelters the terrorist she has married. It is one of the Yash Raj supporting roles, with Hum Tum and Namastey London, that kept him employed respectably through the 2000s while the better late parts were still some years off.</t>
        </is>
      </c>
      <c r="T473" s="5" t="inlineStr">
        <is>
          <t>SOURCE-112; SOURCE-397</t>
        </is>
      </c>
      <c r="U473" s="5" t="inlineStr">
        <is>
          <t>High</t>
        </is>
      </c>
    </row>
    <row r="474" ht="139" customHeight="1">
      <c r="A474" s="15" t="inlineStr">
        <is>
          <t>PERSON-473</t>
        </is>
      </c>
      <c r="B474" s="5" t="inlineStr">
        <is>
          <t>Shoba Chandrasekhar</t>
        </is>
      </c>
      <c r="C474" s="5" t="inlineStr">
        <is>
          <t>Writer</t>
        </is>
      </c>
      <c r="D474" s="17" t="n">
        <v>1948</v>
      </c>
      <c r="E474" s="18" t="n"/>
      <c r="F474" s="5" t="n"/>
      <c r="G474" s="5" t="inlineStr">
        <is>
          <t>Tamil cinema</t>
        </is>
      </c>
      <c r="H474" s="5" t="inlineStr">
        <is>
          <t>Shoba Chandrasekhar is an Indian playback singer, screenwriter, producer and director. She sang in light-music troupes before films, her first film song coming from Iru Malargal, and went on to write stories for more than fifty films, produce ten and direct two, Nanbargal and Innisai Mazhai. She married the director S. A. Chandrasekhar in 1973; their son is the actor and politician Vijay.</t>
        </is>
      </c>
      <c r="I474" s="5" t="inlineStr">
        <is>
          <t>Playback singing from Iru Malargal; screenwriting for her husband's films from the 1970s.</t>
        </is>
      </c>
      <c r="J474" s="5" t="inlineStr">
        <is>
          <t>With Kapoor: Azaad Desh Ke Gulam (1990). Elsewhere, stories for a long run of Tamil films starring Vijayakanth and Vijay.</t>
        </is>
      </c>
      <c r="K474" s="19" t="inlineStr">
        <is>
          <t>Social-issue melodrama written for vigilante heroes.</t>
        </is>
      </c>
      <c r="L474" s="19" t="inlineStr">
        <is>
          <t>A prolific story writer inside a family production unit, working with her husband as director.</t>
        </is>
      </c>
      <c r="M474" s="5" t="n"/>
      <c r="N474" s="19" t="inlineStr">
        <is>
          <t>One of the most productive women story writers in Tamil commercial cinema, and matriarch of a film and political family.</t>
        </is>
      </c>
      <c r="O474" s="19" t="inlineStr">
        <is>
          <t>One film: Azaad Desh Ke Gulam (1990), written by her and directed by her husband, in which Kapoor plays Vijay, the law student who helps his classmate Bharti expose her father's trafficking of children and women.</t>
        </is>
      </c>
      <c r="P474" s="17" t="n">
        <v>1</v>
      </c>
      <c r="Q474" s="5" t="inlineStr">
        <is>
          <t>FILM-076</t>
        </is>
      </c>
      <c r="R474" s="5" t="inlineStr">
        <is>
          <t>Azaad Desh Ke Gulam (1990)</t>
        </is>
      </c>
      <c r="S474" s="5" t="inlineStr">
        <is>
          <t>Shoba Chandrasekhar wrote Azaad Desh Ke Gulam, the Hindi film her husband S. A. Chandrasekhar directed with Rishi Kapoor in 1990. Born in 1948, she began as a light-music and playback singer, married Chandrasekhar in 1973, and became one of Tamil cinema's most prolific story writers, with credits on more than fifty films, ten as producer and two as director; their son Vijay is now chief minister of Tamil Nadu. Her usual material is the vigilante social-issue film, and this one follows the pattern, with a heroine who discovers her father's crimes and a hero who assists her investigation. The result is anomalous in this filmography: Kapoor supports a woman's plot rather than courting her, and the film records the highest female-agency reading of his 1990 work.</t>
        </is>
      </c>
      <c r="T474" s="5" t="inlineStr">
        <is>
          <t>SOURCE-072; SOURCE-398</t>
        </is>
      </c>
      <c r="U474" s="5" t="inlineStr">
        <is>
          <t>High</t>
        </is>
      </c>
    </row>
    <row r="475" ht="109" customHeight="1">
      <c r="A475" s="15" t="inlineStr">
        <is>
          <t>PERSON-474</t>
        </is>
      </c>
      <c r="B475" s="5" t="inlineStr">
        <is>
          <t>Shobha Kapoor</t>
        </is>
      </c>
      <c r="C475" s="5" t="inlineStr">
        <is>
          <t>Producer</t>
        </is>
      </c>
      <c r="D475" s="17" t="n">
        <v>1949</v>
      </c>
      <c r="E475" s="18" t="n"/>
      <c r="F475" s="5" t="n"/>
      <c r="G475" s="5" t="inlineStr">
        <is>
          <t>Hindi cinema and Indian television</t>
        </is>
      </c>
      <c r="H475" s="5" t="inlineStr">
        <is>
          <t>Shobha Kapoor is an Indian television, film and web-series producer and the managing director of Balaji Telefilms, which she runs with her daughter Ekta Kapoor. She worked as an air hostess before marriage, is married to the actor Jeetendra, and handles administration and production across the Balaji group.</t>
        </is>
      </c>
      <c r="I475" s="5" t="inlineStr">
        <is>
          <t>Balaji Telefilms from the 1990s; Balaji Motion Pictures followed in film.</t>
        </is>
      </c>
      <c r="J475" s="5" t="inlineStr">
        <is>
          <t>With Kapoor: Kucch To Hai (2003). Elsewhere, the Balaji television slate and the Balaji Motion Pictures film list.</t>
        </is>
      </c>
      <c r="K475" s="19" t="inlineStr">
        <is>
          <t>Serial melodrama and genre film aimed at the broadest domestic audience.</t>
        </is>
      </c>
      <c r="L475" s="19" t="inlineStr">
        <is>
          <t>An industrial producer of volume content, with her daughter supplying the creative direction.</t>
        </is>
      </c>
      <c r="M475" s="5" t="n"/>
      <c r="N475" s="19" t="inlineStr">
        <is>
          <t>Co-builder of the company that dominated Indian television drama from the late 1990s and then moved into film.</t>
        </is>
      </c>
      <c r="O475" s="19" t="inlineStr">
        <is>
          <t>One film: Kucch To Hai (2003), in which Kapoor plays Professor Bakshi, returning to a college under the rumour that he murdered his wife and hid her body; students who break into his house find a corpse, are chased, and knock him off a cliff.</t>
        </is>
      </c>
      <c r="P475" s="17" t="n">
        <v>1</v>
      </c>
      <c r="Q475" s="5" t="inlineStr">
        <is>
          <t>FILM-115</t>
        </is>
      </c>
      <c r="R475" s="5" t="inlineStr">
        <is>
          <t>Kucch To Hai (2003)</t>
        </is>
      </c>
      <c r="S475" s="5" t="inlineStr">
        <is>
          <t>Shobha Kapoor produced Kucch To Hai, made at the lowest ebb of Rishi Kapoor's career. Born in 1949 and married to Jeetendra, she built Balaji Telefilms with her daughter Ekta into the company that defined Indian television drama from the late 1990s, then extended it into film through Balaji Motion Pictures, where she manages production and administration. Kucch To Hai is a teen horror film in which Kapoor plays a professor suspected of murdering his wife, and it is the kind of work available to him between 1999 and 2004: genre pictures in which an older star supplies a red herring. Five years later the same industrial shift that built Balaji, corporate and studio financing, produced the ensemble films that gave him real parts again.</t>
        </is>
      </c>
      <c r="T475" s="5" t="inlineStr">
        <is>
          <t>SOURCE-107; SOURCE-399</t>
        </is>
      </c>
      <c r="U475" s="5" t="inlineStr">
        <is>
          <t>High</t>
        </is>
      </c>
    </row>
    <row r="476" ht="79" customHeight="1">
      <c r="A476" s="15" t="inlineStr">
        <is>
          <t>PERSON-475</t>
        </is>
      </c>
      <c r="B476" s="5" t="inlineStr">
        <is>
          <t>Shree Shivbhakti Films</t>
        </is>
      </c>
      <c r="C476" s="5" t="inlineStr">
        <is>
          <t>Production banner</t>
        </is>
      </c>
      <c r="D476" s="18" t="n"/>
      <c r="E476" s="18" t="n"/>
      <c r="F476" s="5" t="n"/>
      <c r="G476" s="5" t="inlineStr">
        <is>
          <t>Hindi cinema</t>
        </is>
      </c>
      <c r="H476" s="5" t="inlineStr">
        <is>
          <t>A production banner credited on one film in this filmography, with no Wikipedia article of its own.</t>
        </is>
      </c>
      <c r="I476" s="5" t="n"/>
      <c r="J476" s="5" t="inlineStr">
        <is>
          <t>With Kapoor: Daraar (1996).</t>
        </is>
      </c>
      <c r="K476" s="19" t="inlineStr">
        <is>
          <t>Not documented.</t>
        </is>
      </c>
      <c r="L476" s="19" t="inlineStr">
        <is>
          <t>Not documented.</t>
        </is>
      </c>
      <c r="M476" s="5" t="n"/>
      <c r="N476" s="19" t="inlineStr">
        <is>
          <t>Not independently documented.</t>
        </is>
      </c>
      <c r="O476" s="19" t="inlineStr">
        <is>
          <t>One film: Daraar (1996), Abbas-Mustan's thriller, in which Kapoor plays Raj, who falls in love with Priya in Shimla without knowing she is hiding from a husband who beat her and killed the doctor who treated her.</t>
        </is>
      </c>
      <c r="P476" s="17" t="n">
        <v>1</v>
      </c>
      <c r="Q476" s="5" t="inlineStr">
        <is>
          <t>FILM-108</t>
        </is>
      </c>
      <c r="R476" s="5" t="inlineStr">
        <is>
          <t>Daraar (1996)</t>
        </is>
      </c>
      <c r="S476" s="5" t="inlineStr">
        <is>
          <t>Shree Shivbhakti Films is credited on Daraar (1996) and has no documented history. The film is Kapoor's last romantic lead of consequence and an unusual one: the threat to the couple is a violent husband, played by Arbaaz Khan, and Kapoor is the decent second man rather than the pursuer. By 1996 he was forty-four and the structure of his romances had changed completely from the courtship comedies of the 1970s; within three years the leads stopped. This row is built from the film's credits alone.</t>
        </is>
      </c>
      <c r="T476" s="5" t="inlineStr">
        <is>
          <t>SOURCE-101</t>
        </is>
      </c>
      <c r="U476" s="5" t="inlineStr">
        <is>
          <t>Low</t>
        </is>
      </c>
    </row>
    <row r="477" ht="94" customHeight="1">
      <c r="A477" s="15" t="inlineStr">
        <is>
          <t>PERSON-476</t>
        </is>
      </c>
      <c r="B477" s="5" t="inlineStr">
        <is>
          <t>Shreya Srivastava</t>
        </is>
      </c>
      <c r="C477" s="5" t="inlineStr">
        <is>
          <t>Writer</t>
        </is>
      </c>
      <c r="D477" s="18" t="n"/>
      <c r="E477" s="18" t="n"/>
      <c r="F477" s="5" t="n"/>
      <c r="G477" s="5" t="inlineStr">
        <is>
          <t>Hindi cinema</t>
        </is>
      </c>
      <c r="H477" s="5" t="inlineStr">
        <is>
          <t>A writer credited on one film in this filmography, with no Wikipedia article of her own.</t>
        </is>
      </c>
      <c r="I477" s="5" t="n"/>
      <c r="J477" s="5" t="inlineStr">
        <is>
          <t>With Kapoor: Jhootha Kahin Ka (2019).</t>
        </is>
      </c>
      <c r="K477" s="19" t="inlineStr">
        <is>
          <t>Not documented.</t>
        </is>
      </c>
      <c r="L477" s="19" t="inlineStr">
        <is>
          <t>Not documented.</t>
        </is>
      </c>
      <c r="M477" s="5" t="n"/>
      <c r="N477" s="19" t="inlineStr">
        <is>
          <t>Not independently documented.</t>
        </is>
      </c>
      <c r="O477" s="19" t="inlineStr">
        <is>
          <t>One film: Jhootha Kahin Ka (2019), in which Kapoor plays Yograj Singh, the widowed farmer whose son wants nothing to do with the land.</t>
        </is>
      </c>
      <c r="P477" s="17" t="n">
        <v>1</v>
      </c>
      <c r="Q477" s="5" t="inlineStr">
        <is>
          <t>FILM-158</t>
        </is>
      </c>
      <c r="R477" s="5" t="inlineStr">
        <is>
          <t>Jhootha Kahin Ka (2019)</t>
        </is>
      </c>
      <c r="S477" s="5" t="inlineStr">
        <is>
          <t>Shreya Srivastava is credited as a writer on Jhootha Kahin Ka (2019) and has no documented biography. The film carries an unusually long writing and composing credit list for a modest comedy, which is how several of Kapoor's last productions were assembled. Its interest in this workbook is chronological rather than artistic: released in July 2019, it is the second-last film to reach cinemas in his lifetime, and the part, an exasperated father in a village comedy, is the register his final decade settled into. This row is built from the film's credits alone.</t>
        </is>
      </c>
      <c r="T477" s="5" t="inlineStr">
        <is>
          <t>SOURCE-150</t>
        </is>
      </c>
      <c r="U477" s="5" t="inlineStr">
        <is>
          <t>Low</t>
        </is>
      </c>
    </row>
    <row r="478" ht="79" customHeight="1">
      <c r="A478" s="15" t="inlineStr">
        <is>
          <t>PERSON-477</t>
        </is>
      </c>
      <c r="B478" s="5" t="inlineStr">
        <is>
          <t>Shyam Bajaj</t>
        </is>
      </c>
      <c r="C478" s="5" t="inlineStr">
        <is>
          <t>Producer</t>
        </is>
      </c>
      <c r="D478" s="18" t="n"/>
      <c r="E478" s="18" t="n"/>
      <c r="F478" s="5" t="n"/>
      <c r="G478" s="5" t="inlineStr">
        <is>
          <t>Hindi cinema</t>
        </is>
      </c>
      <c r="H478" s="5" t="inlineStr">
        <is>
          <t>A producer credited on one film in this filmography, with no Wikipedia article of his own.</t>
        </is>
      </c>
      <c r="I478" s="5" t="n"/>
      <c r="J478" s="5" t="inlineStr">
        <is>
          <t>With Kapoor: All Is Well (2015).</t>
        </is>
      </c>
      <c r="K478" s="19" t="inlineStr">
        <is>
          <t>Not documented.</t>
        </is>
      </c>
      <c r="L478" s="19" t="inlineStr">
        <is>
          <t>Not documented.</t>
        </is>
      </c>
      <c r="M478" s="5" t="n"/>
      <c r="N478" s="19" t="inlineStr">
        <is>
          <t>Not independently documented.</t>
        </is>
      </c>
      <c r="O478" s="19" t="inlineStr">
        <is>
          <t>One film: All Is Well (2015), Umesh Shukla's comedy drama, in which Kapoor plays Bhajanlal Bhalla, a baker whose severity towards his son conceals years of debt and a wife with Alzheimer's he has sent to an ashram.</t>
        </is>
      </c>
      <c r="P478" s="17" t="n">
        <v>1</v>
      </c>
      <c r="Q478" s="5" t="inlineStr">
        <is>
          <t>FILM-148</t>
        </is>
      </c>
      <c r="R478" s="5" t="inlineStr">
        <is>
          <t>All Is Well (2015)</t>
        </is>
      </c>
      <c r="S478" s="5" t="inlineStr">
        <is>
          <t>Shyam Bajaj is credited as a producer on All Is Well (2015) and has no documented biography. The film was the first of two Umesh Shukla made with Kapoor and much the weaker; three years later the same director gave him 102 Not Out. Both films are about a father and a son who cannot speak to each other, and the pairing shows how narrow the margin was between a late Kapoor film that worked and one that did not. The material was the same; the execution was not. This row is built from the film's credits alone.</t>
        </is>
      </c>
      <c r="T478" s="5" t="inlineStr">
        <is>
          <t>SOURCE-140</t>
        </is>
      </c>
      <c r="U478" s="5" t="inlineStr">
        <is>
          <t>Low</t>
        </is>
      </c>
    </row>
    <row r="479" ht="109" customHeight="1">
      <c r="A479" s="15" t="inlineStr">
        <is>
          <t>PERSON-478</t>
        </is>
      </c>
      <c r="B479" s="5" t="inlineStr">
        <is>
          <t>Shyam Goel</t>
        </is>
      </c>
      <c r="C479" s="5" t="inlineStr">
        <is>
          <t>Writer</t>
        </is>
      </c>
      <c r="D479" s="18" t="n"/>
      <c r="E479" s="18" t="n"/>
      <c r="F479" s="5" t="n"/>
      <c r="G479" s="5" t="inlineStr">
        <is>
          <t>Hindi cinema</t>
        </is>
      </c>
      <c r="H479" s="5" t="inlineStr">
        <is>
          <t>Shyam K. Goel is an Indian screenwriter. His Wikipedia article is a short stub recording only his nomination for Best Story for Aitraaz at the 2005 IIFA awards.</t>
        </is>
      </c>
      <c r="I479" s="5" t="inlineStr">
        <is>
          <t>Not documented.</t>
        </is>
      </c>
      <c r="J479" s="5" t="inlineStr">
        <is>
          <t>With Kapoor: Kal Kissne Dekha (2009). Elsewhere, Aitraaz (2004).</t>
        </is>
      </c>
      <c r="K479" s="19" t="inlineStr">
        <is>
          <t>Not documented.</t>
        </is>
      </c>
      <c r="L479" s="19" t="inlineStr">
        <is>
          <t>Not documented.</t>
        </is>
      </c>
      <c r="M479" s="5" t="inlineStr">
        <is>
          <t>IIFA nomination for Best Story for Aitraaz, 2005.</t>
        </is>
      </c>
      <c r="N479" s="19" t="inlineStr">
        <is>
          <t>Not independently documented beyond the Aitraaz nomination.</t>
        </is>
      </c>
      <c r="O479" s="19" t="inlineStr">
        <is>
          <t>One film: Kal Kissne Dekha (2009), Vivek Sharma's science-fiction film, in which Kapoor plays Professor Siddharth Verma, the warden charmed by a gifted new student and revealed at the close to be the man behind the bombings the student has been trying to prevent.</t>
        </is>
      </c>
      <c r="P479" s="17" t="n">
        <v>1</v>
      </c>
      <c r="Q479" s="5" t="inlineStr">
        <is>
          <t>FILM-130</t>
        </is>
      </c>
      <c r="R479" s="5" t="inlineStr">
        <is>
          <t>Kal Kissne Dekha (2009)</t>
        </is>
      </c>
      <c r="S479" s="5" t="inlineStr">
        <is>
          <t>Shyam Goel is credited as a writer on Kal Kissne Dekha (2009), with a Wikipedia stub that records nothing but an IIFA story nomination for Aitraaz. The film is worth noting for one reason: it is the first antagonist role in this filmography, three years before Agneepath. Kapoor plays a benevolent college warden who turns out to be the bomber, which uses his likeability as misdirection in exactly the way the better villain parts would later. The film was dismissed and the performance went unnoticed, so the reinvention is usually dated to 2012; on the evidence of the Films sheet it begins here. This row is otherwise built from the film's credits.</t>
        </is>
      </c>
      <c r="T479" s="5" t="inlineStr">
        <is>
          <t>SOURCE-122; SOURCE-400</t>
        </is>
      </c>
      <c r="U479" s="5" t="inlineStr">
        <is>
          <t>Medium</t>
        </is>
      </c>
    </row>
    <row r="480" ht="79" customHeight="1">
      <c r="A480" s="15" t="inlineStr">
        <is>
          <t>PERSON-479</t>
        </is>
      </c>
      <c r="B480" s="5" t="inlineStr">
        <is>
          <t>Shyam-Surender</t>
        </is>
      </c>
      <c r="C480" s="5" t="inlineStr">
        <is>
          <t>Background-score composer</t>
        </is>
      </c>
      <c r="D480" s="18" t="n"/>
      <c r="E480" s="18" t="n"/>
      <c r="F480" s="5" t="n"/>
      <c r="G480" s="5" t="inlineStr">
        <is>
          <t>Hindi cinema</t>
        </is>
      </c>
      <c r="H480" s="5" t="inlineStr">
        <is>
          <t>A composing pair credited on one film in this filmography, with no Wikipedia article located under this name.</t>
        </is>
      </c>
      <c r="I480" s="5" t="n"/>
      <c r="J480" s="5" t="inlineStr">
        <is>
          <t>With Kapoor: Saajan Ka Ghar (1994).</t>
        </is>
      </c>
      <c r="K480" s="19" t="inlineStr">
        <is>
          <t>Not documented.</t>
        </is>
      </c>
      <c r="L480" s="19" t="inlineStr">
        <is>
          <t>Not documented.</t>
        </is>
      </c>
      <c r="M480" s="5" t="n"/>
      <c r="N480" s="19" t="inlineStr">
        <is>
          <t>Not independently documented.</t>
        </is>
      </c>
      <c r="O480" s="19" t="inlineStr">
        <is>
          <t>One film: Saajan Ka Ghar (1994), in which Kapoor plays an army officer married to a woman whose family has mistreated her since birth, and who keeps from her that another pregnancy would kill her.</t>
        </is>
      </c>
      <c r="P480" s="17" t="n">
        <v>1</v>
      </c>
      <c r="Q480" s="5" t="inlineStr">
        <is>
          <t>FILM-100</t>
        </is>
      </c>
      <c r="R480" s="5" t="inlineStr">
        <is>
          <t>Saajan Ka Ghar (1994)</t>
        </is>
      </c>
      <c r="S480" s="5" t="inlineStr">
        <is>
          <t>Shyam-Surender are credited with the background score of Saajan Ka Ghar (1994) and have no locatable article. The film belongs to the mid-1990s group in which Kapoor plays husbands rather than lovers, and in which the plot turns on a secret he keeps for the woman's good. That device, concealment as devotion, recurs across the period and produces the workbook's lowest mutuality scores alongside high relationship-health readings, because the films present the deception as care. This row is built from the film's credits alone.</t>
        </is>
      </c>
      <c r="T480" s="5" t="inlineStr">
        <is>
          <t>SOURCE-092</t>
        </is>
      </c>
      <c r="U480" s="5" t="inlineStr">
        <is>
          <t>Low</t>
        </is>
      </c>
    </row>
    <row r="481" ht="124" customHeight="1">
      <c r="A481" s="15" t="inlineStr">
        <is>
          <t>PERSON-480</t>
        </is>
      </c>
      <c r="B481" s="5" t="inlineStr">
        <is>
          <t>Siddharth Anand</t>
        </is>
      </c>
      <c r="C481" s="5" t="inlineStr">
        <is>
          <t>Writer</t>
        </is>
      </c>
      <c r="D481" s="18" t="n"/>
      <c r="E481" s="18" t="n"/>
      <c r="F481" s="5" t="n"/>
      <c r="G481" s="5" t="inlineStr">
        <is>
          <t>Hindi cinema</t>
        </is>
      </c>
      <c r="H481" s="5" t="inlineStr">
        <is>
          <t>Siddharth Anand is an Indian filmmaker, grandson of the screenwriter Inder Raj Anand and son of Bittu Anand, who produced Shahenshah. He assisted Kunal Kohli on Mujhse Dosti Karoge and was promoted to associate on Hum Tum, where he was also executive producer and co-wrote the screenplay, before directing his own films.</t>
        </is>
      </c>
      <c r="I481" s="5" t="inlineStr">
        <is>
          <t>Directorial debut with Salaam Namaste (2005) for Yash Raj Films.</t>
        </is>
      </c>
      <c r="J481" s="5" t="inlineStr">
        <is>
          <t>With Kapoor: Hum Tum (2004), as co-writer. Elsewhere, Salaam Namaste, Ta Ra Rum Pum, Bachna Ae Haseeno, Anjaana Anjaani, Bang Bang!, War and Pathaan.</t>
        </is>
      </c>
      <c r="K481" s="19" t="inlineStr">
        <is>
          <t>Urban romantic comedy in the 2000s, then large-scale action from the mid-2010s.</t>
        </is>
      </c>
      <c r="L481" s="19" t="inlineStr">
        <is>
          <t>A commercial technician who moved from Yash Raj's romantic register to the action spectacle that replaced it.</t>
        </is>
      </c>
      <c r="M481" s="5" t="n"/>
      <c r="N481" s="19" t="inlineStr">
        <is>
          <t>Director of two of the highest-grossing Hindi films ever made, War and Pathaan, and a central figure in the industry's turn to action franchises.</t>
        </is>
      </c>
      <c r="O481" s="19" t="inlineStr">
        <is>
          <t>One film: Hum Tum (2004), which he co-wrote with Kunal Kohli, and in which Kapoor plays Arjun Kapoor, father to Saif Ali Khan's Karan, appearing in the family scenes that punctuate a romance conducted over nine years and four cities.</t>
        </is>
      </c>
      <c r="P481" s="17" t="n">
        <v>1</v>
      </c>
      <c r="Q481" s="5" t="inlineStr">
        <is>
          <t>FILM-118</t>
        </is>
      </c>
      <c r="R481" s="5" t="inlineStr">
        <is>
          <t>Hum Tum (2004)</t>
        </is>
      </c>
      <c r="S481" s="5" t="inlineStr">
        <is>
          <t>Siddharth Anand co-wrote Hum Tum, which began Rishi Kapoor's run of Yash Raj supporting roles. The grandson of the screenwriter Inder Raj Anand, he assisted Kunal Kohli on Mujhse Dosti Karoge, then served as associate, executive producer and co-writer on Hum Tum, and made his own debut with Salaam Namaste the following year; he has since directed Bang Bang!, War and Pathaan, two of the largest commercial successes in Hindi cinema. Hum Tum is a small part, the father in the domestic interludes of a nine-year romance, but it is the first of four films Kohli made with Kapoor and it put him inside the studio that would employ him repeatedly through the decade. Saif Ali Khan, his on-screen son here, would produce Love Aaj Kal five years later with Kapoor again in the older role.</t>
        </is>
      </c>
      <c r="T481" s="5" t="inlineStr">
        <is>
          <t>SOURCE-110; SOURCE-401</t>
        </is>
      </c>
      <c r="U481" s="5" t="inlineStr">
        <is>
          <t>High</t>
        </is>
      </c>
    </row>
    <row r="482" ht="94" customHeight="1">
      <c r="A482" s="15" t="inlineStr">
        <is>
          <t>PERSON-481</t>
        </is>
      </c>
      <c r="B482" s="5" t="inlineStr">
        <is>
          <t>Sidhant Madhav</t>
        </is>
      </c>
      <c r="C482" s="5" t="inlineStr">
        <is>
          <t>Song composer</t>
        </is>
      </c>
      <c r="D482" s="18" t="n"/>
      <c r="E482" s="18" t="n"/>
      <c r="F482" s="5" t="n"/>
      <c r="G482" s="5" t="inlineStr">
        <is>
          <t>Hindi cinema</t>
        </is>
      </c>
      <c r="H482" s="5" t="inlineStr">
        <is>
          <t>A song composer credited on one film in this filmography, with no Wikipedia article of his own.</t>
        </is>
      </c>
      <c r="I482" s="5" t="n"/>
      <c r="J482" s="5" t="inlineStr">
        <is>
          <t>With Kapoor: Jhootha Kahin Ka (2019).</t>
        </is>
      </c>
      <c r="K482" s="19" t="inlineStr">
        <is>
          <t>Not documented.</t>
        </is>
      </c>
      <c r="L482" s="19" t="inlineStr">
        <is>
          <t>Not documented.</t>
        </is>
      </c>
      <c r="M482" s="5" t="n"/>
      <c r="N482" s="19" t="inlineStr">
        <is>
          <t>Not independently documented.</t>
        </is>
      </c>
      <c r="O482" s="19" t="inlineStr">
        <is>
          <t>One film: Jhootha Kahin Ka (2019), Smeep Kang's village comedy, in which Kapoor plays the widowed father Yograj Singh.</t>
        </is>
      </c>
      <c r="P482" s="17" t="n">
        <v>1</v>
      </c>
      <c r="Q482" s="5" t="inlineStr">
        <is>
          <t>FILM-158</t>
        </is>
      </c>
      <c r="R482" s="5" t="inlineStr">
        <is>
          <t>Jhootha Kahin Ka (2019)</t>
        </is>
      </c>
      <c r="S482" s="5" t="inlineStr">
        <is>
          <t>Sidhant Madhav is credited with a song on Jhootha Kahin Ka (2019) and has no documented biography. He is one of four separately credited composers on the film, a division of labour that became normal in Hindi cinema after the single-composer convention broke down in the 2000s. In Kapoor's own career the contrast is stark: his 1970s films were scored almost entirely by R. D. Burman and Laxmikant-Pyarelal, each supplying a complete soundtrack, while his last films distribute three or four songs among as many composers. This row is built from the film's credits alone.</t>
        </is>
      </c>
      <c r="T482" s="5" t="inlineStr">
        <is>
          <t>SOURCE-150</t>
        </is>
      </c>
      <c r="U482" s="5" t="inlineStr">
        <is>
          <t>Low</t>
        </is>
      </c>
    </row>
    <row r="483" ht="94" customHeight="1">
      <c r="A483" s="15" t="inlineStr">
        <is>
          <t>PERSON-482</t>
        </is>
      </c>
      <c r="B483" s="5" t="inlineStr">
        <is>
          <t>Simaab Sen</t>
        </is>
      </c>
      <c r="C483" s="5" t="inlineStr">
        <is>
          <t>Background-score composer</t>
        </is>
      </c>
      <c r="D483" s="18" t="n"/>
      <c r="E483" s="18" t="n"/>
      <c r="F483" s="5" t="n"/>
      <c r="G483" s="5" t="inlineStr">
        <is>
          <t>Hindi cinema</t>
        </is>
      </c>
      <c r="H483" s="5" t="inlineStr">
        <is>
          <t>A background-score composer credited on one film in this filmography, with no Wikipedia article of his own.</t>
        </is>
      </c>
      <c r="I483" s="5" t="n"/>
      <c r="J483" s="5" t="inlineStr">
        <is>
          <t>With Kapoor: Kaanchi: The Unbreakable (2014).</t>
        </is>
      </c>
      <c r="K483" s="19" t="inlineStr">
        <is>
          <t>Not documented.</t>
        </is>
      </c>
      <c r="L483" s="19" t="inlineStr">
        <is>
          <t>Not documented.</t>
        </is>
      </c>
      <c r="M483" s="5" t="n"/>
      <c r="N483" s="19" t="inlineStr">
        <is>
          <t>Not independently documented.</t>
        </is>
      </c>
      <c r="O483" s="19" t="inlineStr">
        <is>
          <t>One film: Kaanchi: The Unbreakable (2014), Subhash Ghai's revenge drama, in which Kapoor plays Jumar B. Kakda, the member of the family whose household the heroine infiltrates as a servant in the second half of her revenge.</t>
        </is>
      </c>
      <c r="P483" s="17" t="n">
        <v>1</v>
      </c>
      <c r="Q483" s="5" t="inlineStr">
        <is>
          <t>FILM-147</t>
        </is>
      </c>
      <c r="R483" s="5" t="inlineStr">
        <is>
          <t>Kaanchi: The Unbreakable (2014)</t>
        </is>
      </c>
      <c r="S483" s="5" t="inlineStr">
        <is>
          <t>Simaab Sen composed the background score for Kaanchi: The Unbreakable (2014) and has no documented biography. The film was Subhash Ghai's last as director and a failure, and Kapoor's part is one of the second-tier antagonists that followed Agneepath. The 2012 to 2014 run, Agneepath, Aurangzeb, D-Day, Besharam and this film, shows the villain phase being worked hard by producers after the first success, with diminishing returns; what survives from it is Rauf Lala and Goldman. This row is built from the film's credits alone.</t>
        </is>
      </c>
      <c r="T483" s="5" t="inlineStr">
        <is>
          <t>SOURCE-139</t>
        </is>
      </c>
      <c r="U483" s="5" t="inlineStr">
        <is>
          <t>Low</t>
        </is>
      </c>
    </row>
    <row r="484" ht="109" customHeight="1">
      <c r="A484" s="15" t="inlineStr">
        <is>
          <t>PERSON-483</t>
        </is>
      </c>
      <c r="B484" s="5" t="inlineStr">
        <is>
          <t>Sippy Films</t>
        </is>
      </c>
      <c r="C484" s="5" t="inlineStr">
        <is>
          <t>Production banner</t>
        </is>
      </c>
      <c r="D484" s="18" t="n"/>
      <c r="E484" s="18" t="n"/>
      <c r="F484" s="5" t="n"/>
      <c r="G484" s="5" t="inlineStr">
        <is>
          <t>Hindi cinema</t>
        </is>
      </c>
      <c r="H484" s="5" t="inlineStr">
        <is>
          <t>The production banner of the Sippy family, credited on one film in this filmography. No separate Wikipedia article for the banner was located; its principals, G. P. Sippy and Ramesh Sippy, are documented individually.</t>
        </is>
      </c>
      <c r="I484" s="5" t="n"/>
      <c r="J484" s="5" t="inlineStr">
        <is>
          <t>With Kapoor: Saagar (1985).</t>
        </is>
      </c>
      <c r="K484" s="19" t="inlineStr">
        <is>
          <t>Large-scale commercial production; the banner is best known for Sholay (1975).</t>
        </is>
      </c>
      <c r="L484" s="19" t="inlineStr">
        <is>
          <t>Not documented as a banner.</t>
        </is>
      </c>
      <c r="M484" s="5" t="n"/>
      <c r="N484" s="19" t="inlineStr">
        <is>
          <t>One of the most important production houses of 1970s Hindi cinema through Sholay, though this credit is not independently documented.</t>
        </is>
      </c>
      <c r="O484" s="19" t="inlineStr">
        <is>
          <t>One film: Saagar (1985), Ramesh Sippy's musical romantic drama, in which Kapoor plays Ravi, returning from America to Goa and falling in love with Mona, not knowing that his friend Raja has loved her silently for years, with his grandmother opposing the match on grounds of class.</t>
        </is>
      </c>
      <c r="P484" s="17" t="n">
        <v>1</v>
      </c>
      <c r="Q484" s="5" t="inlineStr">
        <is>
          <t>FILM-049</t>
        </is>
      </c>
      <c r="R484" s="5" t="inlineStr">
        <is>
          <t>Saagar (1985)</t>
        </is>
      </c>
      <c r="S484" s="5" t="inlineStr">
        <is>
          <t>Sippy Films produced Saagar, one of the better-regarded films of Rishi Kapoor's mid-1980s. The banner is the Sippy family's, known above all for Sholay, and Saagar was Ramesh Sippy's return to romance after Shakti. The film reunited Kapoor with Dimple Kapadia and gave Kamal Haasan the silently devoted friend, which makes it a triangle in which Kapoor's character is the one who wins without suffering. R. D. Burman's score is among his late best, and Kapoor's own performance drew good notices in a year when most of his films did not. This row is otherwise built from the film's credits, since no documented history of the banner itself could be located.</t>
        </is>
      </c>
      <c r="T484" s="5" t="inlineStr">
        <is>
          <t>SOURCE-049</t>
        </is>
      </c>
      <c r="U484" s="5" t="inlineStr">
        <is>
          <t>Low</t>
        </is>
      </c>
    </row>
    <row r="485" ht="109" customHeight="1">
      <c r="A485" s="15" t="inlineStr">
        <is>
          <t>PERSON-484</t>
        </is>
      </c>
      <c r="B485" s="5" t="inlineStr">
        <is>
          <t>Smeep Kang</t>
        </is>
      </c>
      <c r="C485" s="5" t="inlineStr">
        <is>
          <t>Director</t>
        </is>
      </c>
      <c r="D485" s="17" t="n">
        <v>1973</v>
      </c>
      <c r="E485" s="18" t="n"/>
      <c r="F485" s="5" t="n"/>
      <c r="G485" s="5" t="inlineStr">
        <is>
          <t>Punjabi cinema; Hindi cinema</t>
        </is>
      </c>
      <c r="H485" s="5" t="inlineStr">
        <is>
          <t>Smeep Kang is an Indian director, producer and actor working chiefly in Punjabi cinema. He graduated in chemical engineering from Punjab University and became one of the most commercially successful Punjabi comedy directors of the 2010s.</t>
        </is>
      </c>
      <c r="I485" s="5" t="inlineStr">
        <is>
          <t>Meri Vahuti Da Viyah (2007) and Chak De Phatte (2008); his breakthrough was Carry On Jatta (2012).</t>
        </is>
      </c>
      <c r="J485" s="5" t="inlineStr">
        <is>
          <t>With Kapoor: Jhootha Kahin Ka (2019). Elsewhere, Carry On Jatta (2012), Lucky Di Unlucky Story (2013), Bhaji in Problem and Vaisakhi List (2016).</t>
        </is>
      </c>
      <c r="K485" s="19" t="inlineStr">
        <is>
          <t>Farce built on lies that multiply; family and marriage comedy in Punjabi settings.</t>
        </is>
      </c>
      <c r="L485" s="19" t="inlineStr">
        <is>
          <t>Broad ensemble comedy with rapid plotting, adapted from and into the Punjabi industry's house style.</t>
        </is>
      </c>
      <c r="M485" s="5" t="n"/>
      <c r="N485" s="19" t="inlineStr">
        <is>
          <t>A leading figure in the commercial revival of Punjabi cinema in the 2010s.</t>
        </is>
      </c>
      <c r="O485" s="19" t="inlineStr">
        <is>
          <t>One film: Jhootha Kahin Ka (2019), which he directed, in which Kapoor plays Yograj Singh, a widowed father whose son has no job ten months after finishing his studies and no intention of helping with the farm.</t>
        </is>
      </c>
      <c r="P485" s="17" t="n">
        <v>1</v>
      </c>
      <c r="Q485" s="5" t="inlineStr">
        <is>
          <t>FILM-158</t>
        </is>
      </c>
      <c r="R485" s="5" t="inlineStr">
        <is>
          <t>Jhootha Kahin Ka (2019)</t>
        </is>
      </c>
      <c r="S485" s="5" t="inlineStr">
        <is>
          <t>Smeep Kang directed Jhootha Kahin Ka, the second-last film released in Rishi Kapoor's lifetime. A chemical engineering graduate from Punjab University, Kang became the most reliable comedy director in Punjabi cinema with Chak De Phatte, Carry On Jatta and Lucky Di Unlucky Story, and brought that farce structure into Hindi here. The film is a remake and was poorly received. Its place in the filmography is as evidence of how Kapoor worked after returning from cancer treatment in 2018: he took what came, across registers and budgets, and three of his last four releases were modest comedies in which he plays an exasperated patriarch. The exception, The Body, came six months later.</t>
        </is>
      </c>
      <c r="T485" s="5" t="inlineStr">
        <is>
          <t>SOURCE-150; SOURCE-402</t>
        </is>
      </c>
      <c r="U485" s="5" t="inlineStr">
        <is>
          <t>High</t>
        </is>
      </c>
    </row>
    <row r="486" ht="79" customHeight="1">
      <c r="A486" s="15" t="inlineStr">
        <is>
          <t>PERSON-485</t>
        </is>
      </c>
      <c r="B486" s="5" t="inlineStr">
        <is>
          <t>Sohel Don</t>
        </is>
      </c>
      <c r="C486" s="5" t="inlineStr">
        <is>
          <t>Writer</t>
        </is>
      </c>
      <c r="D486" s="18" t="n"/>
      <c r="E486" s="18" t="n"/>
      <c r="F486" s="5" t="n"/>
      <c r="G486" s="5" t="inlineStr">
        <is>
          <t>Hindi cinema</t>
        </is>
      </c>
      <c r="H486" s="5" t="inlineStr">
        <is>
          <t>A writer credited on one film in this filmography, with no Wikipedia article of his own.</t>
        </is>
      </c>
      <c r="I486" s="5" t="n"/>
      <c r="J486" s="5" t="inlineStr">
        <is>
          <t>With Kapoor: Anmol (1993).</t>
        </is>
      </c>
      <c r="K486" s="19" t="inlineStr">
        <is>
          <t>Not documented.</t>
        </is>
      </c>
      <c r="L486" s="19" t="inlineStr">
        <is>
          <t>Not documented.</t>
        </is>
      </c>
      <c r="M486" s="5" t="n"/>
      <c r="N486" s="19" t="inlineStr">
        <is>
          <t>Not independently documented.</t>
        </is>
      </c>
      <c r="O486" s="19" t="inlineStr">
        <is>
          <t>One film: Anmol (1993), Ketan Desai's loose retelling of Cinderella, in which Kapoor plays Prem opposite Manisha Koirala, with a stepmother, a step-uncle and two stepsisters ranged against the heroine.</t>
        </is>
      </c>
      <c r="P486" s="17" t="n">
        <v>1</v>
      </c>
      <c r="Q486" s="5" t="inlineStr">
        <is>
          <t>FILM-096</t>
        </is>
      </c>
      <c r="R486" s="5" t="inlineStr">
        <is>
          <t>Anmol (1993)</t>
        </is>
      </c>
      <c r="S486" s="5" t="inlineStr">
        <is>
          <t>Sohel Don is credited as a writer on Anmol (1993) and has no documented biography. The film is one of eight in this workbook whose romance is recorded as major but which has no Romances row, because its article supplies a cast list, a soundtrack and nothing about the relationship. It also marks an age gap that had become standard by then: Kapoor was forty-one and Manisha Koirala twenty-three, and the fairy-tale framing does the work of making the pairing legible. This row is built from the film's credits alone.</t>
        </is>
      </c>
      <c r="T486" s="5" t="inlineStr">
        <is>
          <t>SOURCE-089</t>
        </is>
      </c>
      <c r="U486" s="5" t="inlineStr">
        <is>
          <t>Low</t>
        </is>
      </c>
    </row>
    <row r="487" ht="94" customHeight="1">
      <c r="A487" s="15" t="inlineStr">
        <is>
          <t>PERSON-486</t>
        </is>
      </c>
      <c r="B487" s="5" t="inlineStr">
        <is>
          <t>Sonu Film International</t>
        </is>
      </c>
      <c r="C487" s="5" t="inlineStr">
        <is>
          <t>Production banner</t>
        </is>
      </c>
      <c r="D487" s="18" t="n"/>
      <c r="E487" s="18" t="n"/>
      <c r="F487" s="5" t="n"/>
      <c r="G487" s="5" t="inlineStr">
        <is>
          <t>Hindi cinema</t>
        </is>
      </c>
      <c r="H487" s="5" t="inlineStr">
        <is>
          <t>A production banner credited on one film in this filmography, with no Wikipedia article of its own.</t>
        </is>
      </c>
      <c r="I487" s="5" t="n"/>
      <c r="J487" s="5" t="inlineStr">
        <is>
          <t>With Kapoor: Dhartiputra (1993).</t>
        </is>
      </c>
      <c r="K487" s="19" t="inlineStr">
        <is>
          <t>Not documented.</t>
        </is>
      </c>
      <c r="L487" s="19" t="inlineStr">
        <is>
          <t>Not documented.</t>
        </is>
      </c>
      <c r="M487" s="5" t="n"/>
      <c r="N487" s="19" t="inlineStr">
        <is>
          <t>Not independently documented.</t>
        </is>
      </c>
      <c r="O487" s="19" t="inlineStr">
        <is>
          <t>One film: Dhartiputra (1993), Iqbal Durrani's action film, in which Kapoor is credited as Shiva. The article gives the plot in a single sentence about a police officer's fight with corrupt officials and nothing about Kapoor's part.</t>
        </is>
      </c>
      <c r="P487" s="17" t="n">
        <v>1</v>
      </c>
      <c r="Q487" s="5" t="inlineStr">
        <is>
          <t>FILM-090</t>
        </is>
      </c>
      <c r="R487" s="5" t="inlineStr">
        <is>
          <t>Dhartiputra (1993)</t>
        </is>
      </c>
      <c r="S487" s="5" t="inlineStr">
        <is>
          <t>Sonu Film International is credited on Dhartiputra (1993) and has no documented history. The film is one of the cameos scattered through Kapoor's early 1990s, when he was still taking leads but also lending his name to films that needed a known face for a reel. Those appearances are easy to miscount as supporting roles, and the Films sheet separates them: across 1985 to 1993 he made six such appearances, including three as himself, alongside more than twenty leads. This row is built from the film's credits alone.</t>
        </is>
      </c>
      <c r="T487" s="5" t="inlineStr">
        <is>
          <t>SOURCE-088</t>
        </is>
      </c>
      <c r="U487" s="5" t="inlineStr">
        <is>
          <t>Low</t>
        </is>
      </c>
    </row>
    <row r="488" ht="94" customHeight="1">
      <c r="A488" s="15" t="inlineStr">
        <is>
          <t>PERSON-487</t>
        </is>
      </c>
      <c r="B488" s="5" t="inlineStr">
        <is>
          <t>Srinath Productions</t>
        </is>
      </c>
      <c r="C488" s="5" t="inlineStr">
        <is>
          <t>Production banner</t>
        </is>
      </c>
      <c r="D488" s="18" t="n"/>
      <c r="E488" s="18" t="n"/>
      <c r="F488" s="5" t="n"/>
      <c r="G488" s="5" t="inlineStr">
        <is>
          <t>Hindi cinema</t>
        </is>
      </c>
      <c r="H488" s="5" t="inlineStr">
        <is>
          <t>A production banner credited on one film in this filmography, with no Wikipedia article of its own.</t>
        </is>
      </c>
      <c r="I488" s="5" t="n"/>
      <c r="J488" s="5" t="inlineStr">
        <is>
          <t>With Kapoor: Dosti Dushmani (1986).</t>
        </is>
      </c>
      <c r="K488" s="19" t="inlineStr">
        <is>
          <t>Not documented.</t>
        </is>
      </c>
      <c r="L488" s="19" t="inlineStr">
        <is>
          <t>Not documented.</t>
        </is>
      </c>
      <c r="M488" s="5" t="n"/>
      <c r="N488" s="19" t="inlineStr">
        <is>
          <t>Not independently documented.</t>
        </is>
      </c>
      <c r="O488" s="19" t="inlineStr">
        <is>
          <t>One film: Dosti Dushmani (1986), T. Rama Rao's ensemble drama, in which Kapoor plays Prakash, the lawyer among three inseparable friends, defending one when the policeman among them must arrest him, and fabricating a wife to secure the acquittal.</t>
        </is>
      </c>
      <c r="P488" s="17" t="n">
        <v>1</v>
      </c>
      <c r="Q488" s="5" t="inlineStr">
        <is>
          <t>FILM-055</t>
        </is>
      </c>
      <c r="R488" s="5" t="inlineStr">
        <is>
          <t>Dosti Dushmani (1986)</t>
        </is>
      </c>
      <c r="S488" s="5" t="inlineStr">
        <is>
          <t>Srinath Productions is credited on Dosti Dushmani (1986) and has no documented history. The film is one of the multi-star ensembles that absorbed Kapoor through the mid-1980s, when his name alone no longer opened a film and producers combined three or four leads. His part is the lawyer, with the romance reduced to a subplot involving a pickpocket, and the role type in the Films sheet is ensemble lead rather than lead. The shift is measurable across the decade: romance centrality falls while his film count stays high. This row is built from the film's credits alone.</t>
        </is>
      </c>
      <c r="T488" s="5" t="inlineStr">
        <is>
          <t>SOURCE-053</t>
        </is>
      </c>
      <c r="U488" s="5" t="inlineStr">
        <is>
          <t>Low</t>
        </is>
      </c>
    </row>
    <row r="489" ht="94" customHeight="1">
      <c r="A489" s="15" t="inlineStr">
        <is>
          <t>PERSON-488</t>
        </is>
      </c>
      <c r="B489" s="5" t="inlineStr">
        <is>
          <t>Stereo Nation Pictures</t>
        </is>
      </c>
      <c r="C489" s="5" t="inlineStr">
        <is>
          <t>Production banner</t>
        </is>
      </c>
      <c r="D489" s="18" t="n"/>
      <c r="E489" s="18" t="n"/>
      <c r="F489" s="5" t="n"/>
      <c r="G489" s="5" t="inlineStr">
        <is>
          <t>English-language Indian cinema</t>
        </is>
      </c>
      <c r="H489" s="5" t="inlineStr">
        <is>
          <t>A production banner credited on one film in this filmography, with no Wikipedia article of its own.</t>
        </is>
      </c>
      <c r="I489" s="5" t="n"/>
      <c r="J489" s="5" t="inlineStr">
        <is>
          <t>With Kapoor: Don't Stop Dreaming (2007).</t>
        </is>
      </c>
      <c r="K489" s="19" t="inlineStr">
        <is>
          <t>Not documented.</t>
        </is>
      </c>
      <c r="L489" s="19" t="inlineStr">
        <is>
          <t>Not documented.</t>
        </is>
      </c>
      <c r="M489" s="5" t="n"/>
      <c r="N489" s="19" t="inlineStr">
        <is>
          <t>Not independently documented.</t>
        </is>
      </c>
      <c r="O489" s="19" t="inlineStr">
        <is>
          <t>One film: Don't Stop Dreaming (2007), Aditya Raj Kapoor's English-language film set in Birmingham, in which Kapoor plays Groovy alongside Suniel Shetty, the EastEnders actress Michelle Collins and the singer Taz.</t>
        </is>
      </c>
      <c r="P489" s="17" t="n">
        <v>1</v>
      </c>
      <c r="Q489" s="5" t="inlineStr">
        <is>
          <t>FILM-122</t>
        </is>
      </c>
      <c r="R489" s="5" t="inlineStr">
        <is>
          <t>Don't Stop Dreaming (2007)</t>
        </is>
      </c>
      <c r="S489" s="5" t="inlineStr">
        <is>
          <t>Stereo Nation Pictures is credited on Don't Stop Dreaming (2007) and has no documented history. The film is one of two English-language pictures Kapoor made that year, both written and directed by his first cousin Aditya Raj Kapoor, and the pair are the least documented entries in this workbook: no reviews of substance, no commercial figures, and production entities with no record at all. They sit in the same year as Namastey London, which is to say that a Yash Raj supporting role and an undistributed British-Indian film were running in parallel. This row is built from the film's credits alone.</t>
        </is>
      </c>
      <c r="T489" s="5" t="inlineStr">
        <is>
          <t>SOURCE-115</t>
        </is>
      </c>
      <c r="U489" s="5" t="inlineStr">
        <is>
          <t>Low</t>
        </is>
      </c>
    </row>
    <row r="490" ht="94" customHeight="1">
      <c r="A490" s="15" t="inlineStr">
        <is>
          <t>PERSON-489</t>
        </is>
      </c>
      <c r="B490" s="5" t="inlineStr">
        <is>
          <t>Subhash International</t>
        </is>
      </c>
      <c r="C490" s="5" t="inlineStr">
        <is>
          <t>Production banner</t>
        </is>
      </c>
      <c r="D490" s="18" t="n"/>
      <c r="E490" s="18" t="n"/>
      <c r="F490" s="5" t="n"/>
      <c r="G490" s="5" t="inlineStr">
        <is>
          <t>Hindi cinema</t>
        </is>
      </c>
      <c r="H490" s="5" t="inlineStr">
        <is>
          <t>A production banner credited on one film in this filmography, with no Wikipedia article of its own.</t>
        </is>
      </c>
      <c r="I490" s="5" t="n"/>
      <c r="J490" s="5" t="inlineStr">
        <is>
          <t>With Kapoor: Khazana (1987).</t>
        </is>
      </c>
      <c r="K490" s="19" t="inlineStr">
        <is>
          <t>Not documented.</t>
        </is>
      </c>
      <c r="L490" s="19" t="inlineStr">
        <is>
          <t>Not documented.</t>
        </is>
      </c>
      <c r="M490" s="5" t="n"/>
      <c r="N490" s="19" t="inlineStr">
        <is>
          <t>Not independently documented.</t>
        </is>
      </c>
      <c r="O490" s="19" t="inlineStr">
        <is>
          <t>One film: Khazana (1987), Harmesh Malhotra's treasure-hunt adventure, in which Kapoor appears as a singer named Ramnath Shastri in a musical special appearance, alongside a matching guest spot for Jeetendra, in a film led by Randhir Kapoor and Rekha.</t>
        </is>
      </c>
      <c r="P490" s="17" t="n">
        <v>1</v>
      </c>
      <c r="Q490" s="5" t="inlineStr">
        <is>
          <t>FILM-057</t>
        </is>
      </c>
      <c r="R490" s="5" t="inlineStr">
        <is>
          <t>Khazana (1987)</t>
        </is>
      </c>
      <c r="S490" s="5" t="inlineStr">
        <is>
          <t>Subhash International is credited on Khazana (1987) and has no documented history. Kapoor's appearance is an extended musical special appearance rather than a role, in a film starring his elder brother Randhir, and it is one of the clearest examples of the credit type the Films sheet has to separate out. In the same year he carried Pyar Ke Kabil as a lead and appeared briefly in Sindoor as a singer whose partnership with the heroine causes her husband to throw her out. Three very different kinds of work in one year, all nominally billed as Rishi Kapoor films. This row is built from the film's credits alone.</t>
        </is>
      </c>
      <c r="T490" s="5" t="inlineStr">
        <is>
          <t>SOURCE-059</t>
        </is>
      </c>
      <c r="U490" s="5" t="inlineStr">
        <is>
          <t>Low</t>
        </is>
      </c>
    </row>
    <row r="491" ht="94" customHeight="1">
      <c r="A491" s="15" t="inlineStr">
        <is>
          <t>PERSON-490</t>
        </is>
      </c>
      <c r="B491" s="5" t="inlineStr">
        <is>
          <t>Subhash Kapoor</t>
        </is>
      </c>
      <c r="C491" s="5" t="inlineStr">
        <is>
          <t>Producer</t>
        </is>
      </c>
      <c r="D491" s="18" t="n"/>
      <c r="E491" s="18" t="n"/>
      <c r="F491" s="5" t="n"/>
      <c r="G491" s="5" t="inlineStr">
        <is>
          <t>Hindi cinema</t>
        </is>
      </c>
      <c r="H491" s="5" t="inlineStr">
        <is>
          <t>A producer credited on one film in this filmography, with no documented biography. The Wikipedia Subhash Kapoor is the director of Phas Gaye Re Obama and the Jolly LLB films, who began directing in 2007 and is a different person from the producer of this 1987 film.</t>
        </is>
      </c>
      <c r="I491" s="5" t="n"/>
      <c r="J491" s="5" t="inlineStr">
        <is>
          <t>With Kapoor: Khazana (1987).</t>
        </is>
      </c>
      <c r="K491" s="19" t="inlineStr">
        <is>
          <t>Not documented.</t>
        </is>
      </c>
      <c r="L491" s="19" t="inlineStr">
        <is>
          <t>Not documented.</t>
        </is>
      </c>
      <c r="M491" s="5" t="n"/>
      <c r="N491" s="19" t="inlineStr">
        <is>
          <t>Not independently documented.</t>
        </is>
      </c>
      <c r="O491" s="19" t="inlineStr">
        <is>
          <t>One film: Khazana (1987), in which Kapoor takes a musical special appearance as the singer Ramnath Shastri, in an adventure led by his brother Randhir Kapoor and Rekha.</t>
        </is>
      </c>
      <c r="P491" s="17" t="n">
        <v>1</v>
      </c>
      <c r="Q491" s="5" t="inlineStr">
        <is>
          <t>FILM-057</t>
        </is>
      </c>
      <c r="R491" s="5" t="inlineStr">
        <is>
          <t>Khazana (1987)</t>
        </is>
      </c>
      <c r="S491" s="5" t="inlineStr">
        <is>
          <t>Subhash Kapoor is credited as a producer on Khazana (1987) and has no documented biography; the better-known Subhash Kapoor, who directed Jolly LLB, is a different and much later figure, and this row should not be read as describing him. The film is a Randhir Kapoor vehicle in which Rishi Kapoor appears for a song, and it is one of three 1987 credits of entirely different weight. Treasure-hunt adventures of this kind were cheap to assemble around a cast of established names, and the guest appearance was the standard currency. This row is built from the film's credits alone.</t>
        </is>
      </c>
      <c r="T491" s="5" t="inlineStr">
        <is>
          <t>SOURCE-059; SOURCE-403</t>
        </is>
      </c>
      <c r="U491" s="5" t="inlineStr">
        <is>
          <t>Low</t>
        </is>
      </c>
    </row>
    <row r="492" ht="94" customHeight="1">
      <c r="A492" s="15" t="inlineStr">
        <is>
          <t>PERSON-491</t>
        </is>
      </c>
      <c r="B492" s="5" t="inlineStr">
        <is>
          <t>Sudesh Gupta</t>
        </is>
      </c>
      <c r="C492" s="5" t="inlineStr">
        <is>
          <t>Producer</t>
        </is>
      </c>
      <c r="D492" s="18" t="n"/>
      <c r="E492" s="18" t="n"/>
      <c r="F492" s="5" t="n"/>
      <c r="G492" s="5" t="inlineStr">
        <is>
          <t>Hindi cinema</t>
        </is>
      </c>
      <c r="H492" s="5" t="inlineStr">
        <is>
          <t>A producer credited on one film in this filmography, with no Wikipedia article of his own.</t>
        </is>
      </c>
      <c r="I492" s="5" t="n"/>
      <c r="J492" s="5" t="inlineStr">
        <is>
          <t>With Kapoor: Naya Daur (1978).</t>
        </is>
      </c>
      <c r="K492" s="19" t="inlineStr">
        <is>
          <t>Not documented.</t>
        </is>
      </c>
      <c r="L492" s="19" t="inlineStr">
        <is>
          <t>Not documented.</t>
        </is>
      </c>
      <c r="M492" s="5" t="n"/>
      <c r="N492" s="19" t="inlineStr">
        <is>
          <t>Not independently documented.</t>
        </is>
      </c>
      <c r="O492" s="19" t="inlineStr">
        <is>
          <t>One film: Naya Daur (1978), Mahesh Bhatt's drama, in which Kapoor plays Mahesh Chopra opposite Bhavana Bhatt, with Danny Denzongpa and Ranjeet as antagonists. The article has no plot section, so the role cannot be described from it.</t>
        </is>
      </c>
      <c r="P492" s="17" t="n">
        <v>1</v>
      </c>
      <c r="Q492" s="5" t="inlineStr">
        <is>
          <t>FILM-018</t>
        </is>
      </c>
      <c r="R492" s="5" t="inlineStr">
        <is>
          <t>Naya Daur (1978)</t>
        </is>
      </c>
      <c r="S492" s="5" t="inlineStr">
        <is>
          <t>Sudesh Gupta is credited as a producer on Naya Daur (1978) and has no documented biography. The film is one of Mahesh Bhatt's earliest as a director, made when Kapoor was four years into his career as a lead, and it is one of the workbook's documentation gaps: romance recorded as major, no Romances row possible, because no account of the relationship survives in reference sources. 1978 was his busiest year to that point, with six releases, and the lesser ones are precisely those about which least is now recoverable. This row is built from the film's credits alone.</t>
        </is>
      </c>
      <c r="T492" s="5" t="inlineStr">
        <is>
          <t>SOURCE-019</t>
        </is>
      </c>
      <c r="U492" s="5" t="inlineStr">
        <is>
          <t>Low</t>
        </is>
      </c>
    </row>
    <row r="493" ht="94" customHeight="1">
      <c r="A493" s="15" t="inlineStr">
        <is>
          <t>PERSON-492</t>
        </is>
      </c>
      <c r="B493" s="5" t="inlineStr">
        <is>
          <t>Sudesh Issar</t>
        </is>
      </c>
      <c r="C493" s="5" t="inlineStr">
        <is>
          <t>Producer</t>
        </is>
      </c>
      <c r="D493" s="18" t="n"/>
      <c r="E493" s="18" t="n"/>
      <c r="F493" s="5" t="n"/>
      <c r="G493" s="5" t="inlineStr">
        <is>
          <t>Hindi cinema</t>
        </is>
      </c>
      <c r="H493" s="5" t="inlineStr">
        <is>
          <t>A producer credited on one film in this filmography, with no Wikipedia article of his own. Wikipedia's only trace of him is the article on Farebi (1974), which records him as co-director of that film with Suresh Issar.</t>
        </is>
      </c>
      <c r="I493" s="5" t="inlineStr">
        <is>
          <t>Co-direction of Farebi (1974), per that film's article.</t>
        </is>
      </c>
      <c r="J493" s="5" t="inlineStr">
        <is>
          <t>With Kapoor: Do Premee (1980). Elsewhere, Farebi (1974) as co-director.</t>
        </is>
      </c>
      <c r="K493" s="19" t="inlineStr">
        <is>
          <t>Not documented.</t>
        </is>
      </c>
      <c r="L493" s="19" t="inlineStr">
        <is>
          <t>Not documented.</t>
        </is>
      </c>
      <c r="M493" s="5" t="n"/>
      <c r="N493" s="19" t="inlineStr">
        <is>
          <t>Not independently documented.</t>
        </is>
      </c>
      <c r="O493" s="19" t="inlineStr">
        <is>
          <t>One film: Do Premee (1980), Raj Khosla's romance, in which Kapoor plays Chetan, who elopes with Payal after both their fathers refuse the match and is reduced to working as a driver while she works as a maid.</t>
        </is>
      </c>
      <c r="P493" s="17" t="n">
        <v>1</v>
      </c>
      <c r="Q493" s="5" t="inlineStr">
        <is>
          <t>FILM-028</t>
        </is>
      </c>
      <c r="R493" s="5" t="inlineStr">
        <is>
          <t>Do Premee (1980)</t>
        </is>
      </c>
      <c r="S493" s="5" t="inlineStr">
        <is>
          <t>Sudesh Issar is credited as a producer on Do Premee (1980) and has no biography of his own; the single Wikipedia reference to him is as co-director, with Suresh Issar, of Farebi in 1974. Do Premee is a pure statement of the dominant structure in this filmography: the lovers agree, both families refuse, the couple elope and are punished economically rather than emotionally. External opposition carries the entire plot and friction between the pair is almost nil, which is the pattern that separates Kapoor's romances from the quarrelling couples of his contemporaries' films.</t>
        </is>
      </c>
      <c r="T493" s="5" t="inlineStr">
        <is>
          <t>SOURCE-028; SOURCE-404</t>
        </is>
      </c>
      <c r="U493" s="5" t="inlineStr">
        <is>
          <t>Low</t>
        </is>
      </c>
    </row>
    <row r="494" ht="109" customHeight="1">
      <c r="A494" s="15" t="inlineStr">
        <is>
          <t>PERSON-493</t>
        </is>
      </c>
      <c r="B494" s="5" t="inlineStr">
        <is>
          <t>Sudesh Kumar</t>
        </is>
      </c>
      <c r="C494" s="5" t="inlineStr">
        <is>
          <t>Producer</t>
        </is>
      </c>
      <c r="D494" s="18" t="n"/>
      <c r="E494" s="18" t="n"/>
      <c r="F494" s="5" t="n"/>
      <c r="G494" s="5" t="inlineStr">
        <is>
          <t>Hindi cinema</t>
        </is>
      </c>
      <c r="H494" s="5" t="inlineStr">
        <is>
          <t>A producer credited on one film in this filmography, with no Wikipedia article of his own. The documented Sudesh Kumar is an Indian Olympic wrestler and a different person.</t>
        </is>
      </c>
      <c r="I494" s="5" t="n"/>
      <c r="J494" s="5" t="inlineStr">
        <is>
          <t>With Kapoor: Badaltey Rishtey (1978).</t>
        </is>
      </c>
      <c r="K494" s="19" t="inlineStr">
        <is>
          <t>Not documented.</t>
        </is>
      </c>
      <c r="L494" s="19" t="inlineStr">
        <is>
          <t>Not documented.</t>
        </is>
      </c>
      <c r="M494" s="5" t="n"/>
      <c r="N494" s="19" t="inlineStr">
        <is>
          <t>Not independently documented.</t>
        </is>
      </c>
      <c r="O494" s="19" t="inlineStr">
        <is>
          <t>One film: Badaltey Rishtey (1978), in which Kapoor plays Manohar, who falls for the music teacher Savitri at first meeting and courts her by pretending to sell eggs at her door; she is then married off to a wealthy man under a prediction that her husband will die within forty days.</t>
        </is>
      </c>
      <c r="P494" s="17" t="n">
        <v>1</v>
      </c>
      <c r="Q494" s="5" t="inlineStr">
        <is>
          <t>FILM-022</t>
        </is>
      </c>
      <c r="R494" s="5" t="inlineStr">
        <is>
          <t>Badaltey Rishtey (1978)</t>
        </is>
      </c>
      <c r="S494" s="5" t="inlineStr">
        <is>
          <t>Sudesh Kumar is credited as a producer on Badaltey Rishtey (1978) and has no documented biography; the Wikipedia Sudesh Kumar is an Olympic wrestler and unrelated. The film is a good example of the courtship Kapoor was built for in the late 1970s: the man invents a daily pretext to appear at the woman's door, the audience is invited to find the persistence charming, and the obstacle arrives from outside as prophecy and family calculation. Read now, the same courtship registers as pleasant rather than coercive mainly because the film grants the woman her own interest in him.</t>
        </is>
      </c>
      <c r="T494" s="5" t="inlineStr">
        <is>
          <t>SOURCE-020</t>
        </is>
      </c>
      <c r="U494" s="5" t="inlineStr">
        <is>
          <t>Low</t>
        </is>
      </c>
    </row>
    <row r="495" ht="94" customHeight="1">
      <c r="A495" s="15" t="inlineStr">
        <is>
          <t>PERSON-494</t>
        </is>
      </c>
      <c r="B495" s="5" t="inlineStr">
        <is>
          <t>Sudhanshu Dube</t>
        </is>
      </c>
      <c r="C495" s="5" t="inlineStr">
        <is>
          <t>Writer</t>
        </is>
      </c>
      <c r="D495" s="18" t="n"/>
      <c r="E495" s="18" t="n"/>
      <c r="F495" s="5" t="n"/>
      <c r="G495" s="5" t="inlineStr">
        <is>
          <t>Hindi cinema</t>
        </is>
      </c>
      <c r="H495" s="5" t="inlineStr">
        <is>
          <t>A writer credited on one film in this filmography, with no Wikipedia article of his own.</t>
        </is>
      </c>
      <c r="I495" s="5" t="n"/>
      <c r="J495" s="5" t="inlineStr">
        <is>
          <t>With Kapoor: Kal Kissne Dekha (2009).</t>
        </is>
      </c>
      <c r="K495" s="19" t="inlineStr">
        <is>
          <t>Not documented.</t>
        </is>
      </c>
      <c r="L495" s="19" t="inlineStr">
        <is>
          <t>Not documented.</t>
        </is>
      </c>
      <c r="M495" s="5" t="n"/>
      <c r="N495" s="19" t="inlineStr">
        <is>
          <t>Not independently documented.</t>
        </is>
      </c>
      <c r="O495" s="19" t="inlineStr">
        <is>
          <t>One film: Kal Kissne Dekha (2009), in which Kapoor plays Professor Siddharth Verma, the college warden revealed at the end to be the man behind the bombings the hero has been trying to prevent.</t>
        </is>
      </c>
      <c r="P495" s="17" t="n">
        <v>1</v>
      </c>
      <c r="Q495" s="5" t="inlineStr">
        <is>
          <t>FILM-130</t>
        </is>
      </c>
      <c r="R495" s="5" t="inlineStr">
        <is>
          <t>Kal Kissne Dekha (2009)</t>
        </is>
      </c>
      <c r="S495" s="5" t="inlineStr">
        <is>
          <t>Sudhanshu Dube is credited as a writer on Kal Kissne Dekha (2009) and has no documented biography. The film is the earliest antagonist role in this filmography and therefore more interesting than its reputation suggests: Kapoor plays an avuncular warden whose warmth is the disguise, three years before Agneepath made that trick famous. In the same year he appeared in Luck by Chance, Delhi-6 and Love Aaj Kal, so 2009 contains both halves of his late career, the respectable character parts and the genre work nobody watched. This row is built from the film's credits alone.</t>
        </is>
      </c>
      <c r="T495" s="5" t="inlineStr">
        <is>
          <t>SOURCE-122</t>
        </is>
      </c>
      <c r="U495" s="5" t="inlineStr">
        <is>
          <t>Low</t>
        </is>
      </c>
    </row>
    <row r="496" ht="124" customHeight="1">
      <c r="A496" s="15" t="inlineStr">
        <is>
          <t>PERSON-495</t>
        </is>
      </c>
      <c r="B496" s="5" t="inlineStr">
        <is>
          <t>Sudhir Mishra</t>
        </is>
      </c>
      <c r="C496" s="5" t="inlineStr">
        <is>
          <t>Writer</t>
        </is>
      </c>
      <c r="D496" s="17" t="n">
        <v>1959</v>
      </c>
      <c r="E496" s="18" t="n"/>
      <c r="F496" s="5" t="n"/>
      <c r="G496" s="5" t="inlineStr">
        <is>
          <t>Hindi cinema</t>
        </is>
      </c>
      <c r="H496" s="5" t="inlineStr">
        <is>
          <t>The credit on this film is to a Sudhir Mishra; the documented filmmaker of that name, born in Lucknow in 1959, is a director and screenwriter whose association with this comedy is not confirmed, so the identification is uncertain. He came from a family of academics and politicians, apprenticed with Badal Sircar, and began as an assistant on Jaane Bhi Do Yaaron (1983).</t>
        </is>
      </c>
      <c r="I496" s="5" t="inlineStr">
        <is>
          <t>Assistant and co-writer on Jaane Bhi Do Yaaron (1983); directorial debut Yeh Woh Manzil To Nahin (1987), which won a National Film Award.</t>
        </is>
      </c>
      <c r="J496" s="5" t="inlineStr">
        <is>
          <t>With Kapoor: Kuch Khatti Kuch Meethi (2001), if the identification holds. Elsewhere, Dharavi (1992), Hazaaron Khwaishein Aisi (2003), Chameli (2004) and Serious Men (2020).</t>
        </is>
      </c>
      <c r="K496" s="19" t="inlineStr">
        <is>
          <t>Political disillusion, the compromises of the urban middle class, and the afterlife of the 1970s.</t>
        </is>
      </c>
      <c r="L496" s="19" t="inlineStr">
        <is>
          <t>Realist, politically engaged filmmaking in a register remote from the family comedy credited here.</t>
        </is>
      </c>
      <c r="M496" s="5" t="inlineStr">
        <is>
          <t>Three national awards and the French Order of Arts and Letters.</t>
        </is>
      </c>
      <c r="N496" s="19" t="inlineStr">
        <is>
          <t>One of the significant political filmmakers of post-1980s Hindi cinema.</t>
        </is>
      </c>
      <c r="O496" s="19" t="inlineStr">
        <is>
          <t>One film by the credits: Kuch Khatti Kuch Meethi (2001), Rahul Rawail's comedy in which Kapoor plays Raj Khanna, a father separated from his wife by a lie and raising one of their twin daughters alone. Given the gap between that film and the documented Mishra's work, the credit may belong to another writer of the same name.</t>
        </is>
      </c>
      <c r="P496" s="17" t="n">
        <v>1</v>
      </c>
      <c r="Q496" s="5" t="inlineStr">
        <is>
          <t>FILM-113</t>
        </is>
      </c>
      <c r="R496" s="5" t="inlineStr">
        <is>
          <t>Kuch Khatti Kuch Meethi (2001)</t>
        </is>
      </c>
      <c r="S496" s="5" t="inlineStr">
        <is>
          <t>A Sudhir Mishra is credited as a writer on Kuch Khatti Kuch Meethi (2001). The documented filmmaker of that name, born in Lucknow in 1959 into a family that produced a vice-chancellor of Banaras Hindu University and a chief minister of Madhya Pradesh, apprenticed under Badal Sircar, assisted and co-wrote Jaane Bhi Do Yaaron, and directed Dharavi, Hazaaron Khwaishein Aisi, Chameli and Serious Men, winning three national awards and the French Order of Arts and Letters. That body of work has nothing in common with a Parent Trap remake, so this row flags the identification as unresolved rather than asserting it. The film itself is one of the undistinguished family comedies that filled the years between Kapoor's leading career and his revival after 2008.</t>
        </is>
      </c>
      <c r="T496" s="5" t="inlineStr">
        <is>
          <t>SOURCE-105; SOURCE-405</t>
        </is>
      </c>
      <c r="U496" s="5" t="inlineStr">
        <is>
          <t>Low</t>
        </is>
      </c>
    </row>
    <row r="497" ht="109" customHeight="1">
      <c r="A497" s="15" t="inlineStr">
        <is>
          <t>PERSON-496</t>
        </is>
      </c>
      <c r="B497" s="5" t="inlineStr">
        <is>
          <t>Sujit Kumar</t>
        </is>
      </c>
      <c r="C497" s="5" t="inlineStr">
        <is>
          <t>Producer</t>
        </is>
      </c>
      <c r="D497" s="17" t="n">
        <v>1934</v>
      </c>
      <c r="E497" s="17" t="n">
        <v>2010</v>
      </c>
      <c r="F497" s="5" t="n"/>
      <c r="G497" s="5" t="inlineStr">
        <is>
          <t>Hindi and Bhojpuri cinema</t>
        </is>
      </c>
      <c r="H497" s="5" t="inlineStr">
        <is>
          <t>Sujit Kumar was an Indian actor and producer who appeared in more than 150 Hindi films from the 1960s to the 1990s and in at least twenty Bhojpuri films, in which he was often the lead. In Hindi cinema he played villains and character parts; from the late 1980s he worked mainly as a producer.</t>
        </is>
      </c>
      <c r="I497" s="5" t="inlineStr">
        <is>
          <t>Acting from the 1960s; his best-remembered appearance is in Aradhana (1969), playing the mouth organ in the jeep while Rajesh Khanna serenades Sharmila Tagore.</t>
        </is>
      </c>
      <c r="J497" s="5" t="inlineStr">
        <is>
          <t>With Kapoor: Daraar (1996), as producer. Elsewhere, a long acting career in Hindi and Bhojpuri films and production work from the late 1980s.</t>
        </is>
      </c>
      <c r="K497" s="19" t="inlineStr">
        <is>
          <t>Commercial Hindi and Bhojpuri cinema; thrillers as a producer.</t>
        </is>
      </c>
      <c r="L497" s="19" t="inlineStr">
        <is>
          <t>An actor-turned-producer working within established commercial formulas.</t>
        </is>
      </c>
      <c r="M497" s="5" t="n"/>
      <c r="N497" s="19" t="inlineStr">
        <is>
          <t>A major figure in early Bhojpuri cinema and a long-serving Hindi character actor.</t>
        </is>
      </c>
      <c r="O497" s="19" t="inlineStr">
        <is>
          <t>One film: Daraar (1996), Abbas-Mustan's thriller, which he produced, and in which Kapoor plays Raj, who falls in love with a woman hiding from a violent husband. The Kapoor family attended Kumar's condolence meeting in 2010.</t>
        </is>
      </c>
      <c r="P497" s="17" t="n">
        <v>1</v>
      </c>
      <c r="Q497" s="5" t="inlineStr">
        <is>
          <t>FILM-108</t>
        </is>
      </c>
      <c r="R497" s="5" t="inlineStr">
        <is>
          <t>Daraar (1996)</t>
        </is>
      </c>
      <c r="S497" s="5" t="inlineStr">
        <is>
          <t>Sujit Kumar produced Daraar, Rishi Kapoor's last substantial romantic lead. Born in 1934, Kumar appeared in more than 150 Hindi films and at least twenty Bhojpuri ones, leading in the latter and playing villains and character roles in the former; he is best remembered on screen for the mouth organ in Aradhana. From the late 1980s he produced, and Daraar was among his successes, an Abbas-Mustan thriller in which the obstacle to the romance is Arbaaz Khan's violent husband rather than a disapproving family. Kapoor was forty-four and, in this configuration, no longer the pursuer but the decent alternative. Kumar died of cancer in 2010; members of the Kapoor family were at his condolence meeting.</t>
        </is>
      </c>
      <c r="T497" s="5" t="inlineStr">
        <is>
          <t>SOURCE-101; SOURCE-406</t>
        </is>
      </c>
      <c r="U497" s="5" t="inlineStr">
        <is>
          <t>High</t>
        </is>
      </c>
    </row>
    <row r="498" ht="109" customHeight="1">
      <c r="A498" s="15" t="inlineStr">
        <is>
          <t>PERSON-497</t>
        </is>
      </c>
      <c r="B498" s="5" t="inlineStr">
        <is>
          <t>Sukhwant Dhadda</t>
        </is>
      </c>
      <c r="C498" s="5" t="inlineStr">
        <is>
          <t>Director</t>
        </is>
      </c>
      <c r="D498" s="18" t="n"/>
      <c r="E498" s="18" t="n"/>
      <c r="F498" s="5" t="n"/>
      <c r="G498" s="5" t="inlineStr">
        <is>
          <t>Hindi cinema</t>
        </is>
      </c>
      <c r="H498" s="5" t="inlineStr">
        <is>
          <t>A director credited on one film in this filmography, with no Wikipedia article of his own.</t>
        </is>
      </c>
      <c r="I498" s="5" t="n"/>
      <c r="J498" s="5" t="inlineStr">
        <is>
          <t>With Kapoor: Ek Chadar Maili Si (1986).</t>
        </is>
      </c>
      <c r="K498" s="19" t="inlineStr">
        <is>
          <t>Not documented.</t>
        </is>
      </c>
      <c r="L498" s="19" t="inlineStr">
        <is>
          <t>Not documented.</t>
        </is>
      </c>
      <c r="M498" s="5" t="n"/>
      <c r="N498" s="19" t="inlineStr">
        <is>
          <t>Not independently documented.</t>
        </is>
      </c>
      <c r="O498" s="19" t="inlineStr">
        <is>
          <t>One film: Ek Chadar Maili Si (1986), in which Kapoor plays Mangal, the one member of the household who shields his sister-in-law Rano from her drunken husband, and who is compelled by custom to marry her when the husband is murdered, though he is ten years her junior and until then her protector.</t>
        </is>
      </c>
      <c r="P498" s="17" t="n">
        <v>1</v>
      </c>
      <c r="Q498" s="5" t="inlineStr">
        <is>
          <t>FILM-054</t>
        </is>
      </c>
      <c r="R498" s="5" t="inlineStr">
        <is>
          <t>Ek Chadar Maili Si (1986)</t>
        </is>
      </c>
      <c r="S498" s="5" t="inlineStr">
        <is>
          <t>Sukhwant Dhadda directed Ek Chadar Maili Si (1986) and has no documented biography. The film, adapted from Rajinder Singh Bedi's novel, gives Kapoor the most unusual relationship in this filmography: a marriage he does not want, to a woman he has protected as a brother would, imposed by custom after her husband's murder. Nothing in it is courtship, and the pairing with Hema Malini reverses the usual age arrangement of his films, since the character is explicitly the younger party. It is one of very few entries where romance is present, central and entirely without desire. This row is otherwise built from the film's credits.</t>
        </is>
      </c>
      <c r="T498" s="5" t="inlineStr">
        <is>
          <t>SOURCE-052</t>
        </is>
      </c>
      <c r="U498" s="5" t="inlineStr">
        <is>
          <t>Low</t>
        </is>
      </c>
    </row>
    <row r="499" ht="109" customHeight="1">
      <c r="A499" s="15" t="inlineStr">
        <is>
          <t>PERSON-498</t>
        </is>
      </c>
      <c r="B499" s="5" t="inlineStr">
        <is>
          <t>Sumit Arora</t>
        </is>
      </c>
      <c r="C499" s="5" t="inlineStr">
        <is>
          <t>Writer</t>
        </is>
      </c>
      <c r="D499" s="18" t="n"/>
      <c r="E499" s="18" t="n"/>
      <c r="F499" s="5" t="n"/>
      <c r="G499" s="5" t="inlineStr">
        <is>
          <t>Hindi cinema; Indian television and streaming</t>
        </is>
      </c>
      <c r="H499" s="5" t="inlineStr">
        <is>
          <t>Sumit Arora is an Indian writer and screenwriter working in Hindi films, television and web series. He began in television with dialogue for Chhoona Hai Aasmaan and Dill Mill Gayye, then wrote for streaming series and features.</t>
        </is>
      </c>
      <c r="I499" s="5" t="inlineStr">
        <is>
          <t>Television dialogue writing, then features from the mid-2010s.</t>
        </is>
      </c>
      <c r="J499" s="5" t="inlineStr">
        <is>
          <t>With Kapoor: All Is Well (2015). Elsewhere, Stree, Ginny Weds Sunny, 83 and Jawan; the series The Family Man, Dahaad and Guns &amp; Gulaabs.</t>
        </is>
      </c>
      <c r="K499" s="19" t="inlineStr">
        <is>
          <t>Comic dialogue in genre settings: horror comedy, crime and sport.</t>
        </is>
      </c>
      <c r="L499" s="19" t="inlineStr">
        <is>
          <t>A dialogue specialist whose lines are built for performance rhythm; among the most-used writers of the streaming era.</t>
        </is>
      </c>
      <c r="M499" s="5" t="inlineStr">
        <is>
          <t>Star Screen and Zee Cine awards for Best Dialogue for Stree.</t>
        </is>
      </c>
      <c r="N499" s="19" t="inlineStr">
        <is>
          <t>One of the writers whose careers were made by the Indian streaming expansion of the late 2010s.</t>
        </is>
      </c>
      <c r="O499" s="19" t="inlineStr">
        <is>
          <t>One film: All Is Well (2015), Umesh Shukla's comedy drama, in which Kapoor plays Bhajanlal Bhalla, a Punjabi baker who throws his son out of the house and is revealed to be ruined by debt, with a wife suffering from Alzheimer's whom he has sent away.</t>
        </is>
      </c>
      <c r="P499" s="17" t="n">
        <v>1</v>
      </c>
      <c r="Q499" s="5" t="inlineStr">
        <is>
          <t>FILM-148</t>
        </is>
      </c>
      <c r="R499" s="5" t="inlineStr">
        <is>
          <t>All Is Well (2015)</t>
        </is>
      </c>
      <c r="S499" s="5" t="inlineStr">
        <is>
          <t>Sumit Arora wrote for All Is Well, early in a career that the streaming boom then accelerated. He began with television dialogue on Chhoona Hai Aasmaan and Dill Mill Gayye, won Star Screen and Zee Cine awards for the dialogue of Stree, and has since written 83, Jawan and the series The Family Man, Dahaad and Guns &amp; Gulaabs. All Is Well failed, but Kapoor's part in it is characteristic of his late work and of the relationship the industry had settled on for him: the difficult father whose severity turns out to be shame. Umesh Shukla would rework the same father-and-son material far more successfully three years later in 102 Not Out, with Kapoor moved from the parent's chair to the child's.</t>
        </is>
      </c>
      <c r="T499" s="5" t="inlineStr">
        <is>
          <t>SOURCE-140; SOURCE-407</t>
        </is>
      </c>
      <c r="U499" s="5" t="inlineStr">
        <is>
          <t>High</t>
        </is>
      </c>
    </row>
    <row r="500" ht="94" customHeight="1">
      <c r="A500" s="15" t="inlineStr">
        <is>
          <t>PERSON-499</t>
        </is>
      </c>
      <c r="B500" s="5" t="inlineStr">
        <is>
          <t>Sunir Kheterpal</t>
        </is>
      </c>
      <c r="C500" s="5" t="inlineStr">
        <is>
          <t>Producer</t>
        </is>
      </c>
      <c r="D500" s="18" t="n"/>
      <c r="E500" s="18" t="n"/>
      <c r="F500" s="5" t="n"/>
      <c r="G500" s="5" t="inlineStr">
        <is>
          <t>Hindi cinema</t>
        </is>
      </c>
      <c r="H500" s="5" t="inlineStr">
        <is>
          <t>A producer credited on one film in this filmography, with no Wikipedia article of his own.</t>
        </is>
      </c>
      <c r="I500" s="5" t="n"/>
      <c r="J500" s="5" t="inlineStr">
        <is>
          <t>With Kapoor: The Body (2019).</t>
        </is>
      </c>
      <c r="K500" s="19" t="inlineStr">
        <is>
          <t>Not documented.</t>
        </is>
      </c>
      <c r="L500" s="19" t="inlineStr">
        <is>
          <t>Not documented.</t>
        </is>
      </c>
      <c r="M500" s="5" t="n"/>
      <c r="N500" s="19" t="inlineStr">
        <is>
          <t>Not independently documented.</t>
        </is>
      </c>
      <c r="O500" s="19" t="inlineStr">
        <is>
          <t>One film: The Body (2019), Jeethu Joseph's thriller, in which Kapoor plays SP Jairaj Rawal, investigating the disappearance of a businesswoman's corpse from the morgue and confining her husband there until it is found.</t>
        </is>
      </c>
      <c r="P500" s="17" t="n">
        <v>1</v>
      </c>
      <c r="Q500" s="5" t="inlineStr">
        <is>
          <t>FILM-159</t>
        </is>
      </c>
      <c r="R500" s="5" t="inlineStr">
        <is>
          <t>The Body (2019)</t>
        </is>
      </c>
      <c r="S500" s="5" t="inlineStr">
        <is>
          <t>Sunir Kheterpal is credited as a producer on The Body (2019) and has no documented biography. The film was released in December 2019 and is the last Rishi Kapoor film to reach cinemas in his lifetime; Sharmaji Namkeen followed posthumously in 2022. It is a remake of a Spanish thriller and gives him the investigating officer, a role of patience and insinuation rather than authority, which is the register his last leads worked in. This row is built from the film's credits alone.</t>
        </is>
      </c>
      <c r="T500" s="5" t="inlineStr">
        <is>
          <t>SOURCE-151</t>
        </is>
      </c>
      <c r="U500" s="5" t="inlineStr">
        <is>
          <t>Low</t>
        </is>
      </c>
    </row>
    <row r="501" ht="94" customHeight="1">
      <c r="A501" s="15" t="inlineStr">
        <is>
          <t>PERSON-500</t>
        </is>
      </c>
      <c r="B501" s="5" t="inlineStr">
        <is>
          <t>Sunrise Pictures Pvt. Ltd.</t>
        </is>
      </c>
      <c r="C501" s="5" t="inlineStr">
        <is>
          <t>Production banner</t>
        </is>
      </c>
      <c r="D501" s="18" t="n"/>
      <c r="E501" s="18" t="n"/>
      <c r="F501" s="5" t="n"/>
      <c r="G501" s="5" t="inlineStr">
        <is>
          <t>Hindi cinema</t>
        </is>
      </c>
      <c r="H501" s="5" t="inlineStr">
        <is>
          <t>A production banner credited on one film in this filmography, with no Wikipedia article of its own.</t>
        </is>
      </c>
      <c r="I501" s="5" t="n"/>
      <c r="J501" s="5" t="inlineStr">
        <is>
          <t>With Kapoor: Halla Bol (2008).</t>
        </is>
      </c>
      <c r="K501" s="19" t="inlineStr">
        <is>
          <t>Not documented.</t>
        </is>
      </c>
      <c r="L501" s="19" t="inlineStr">
        <is>
          <t>Not documented.</t>
        </is>
      </c>
      <c r="M501" s="5" t="n"/>
      <c r="N501" s="19" t="inlineStr">
        <is>
          <t>Not independently documented.</t>
        </is>
      </c>
      <c r="O501" s="19" t="inlineStr">
        <is>
          <t>One film: Halla Bol (2008), Rajkumar Santoshi's drama about a street-theatre actor who becomes a superstar and loses himself, in which Kapoor appears as himself, one of several film-industry figures who appear under their own names.</t>
        </is>
      </c>
      <c r="P501" s="17" t="n">
        <v>1</v>
      </c>
      <c r="Q501" s="5" t="inlineStr">
        <is>
          <t>FILM-126</t>
        </is>
      </c>
      <c r="R501" s="5" t="inlineStr">
        <is>
          <t>Halla Bol (2008)</t>
        </is>
      </c>
      <c r="S501" s="5" t="inlineStr">
        <is>
          <t>Sunrise Pictures is credited on Halla Bol (2008) and has no documented history. Kapoor's appearance is as himself, the fourth such credit in his filmography after Chala Murari Hero Banne, Ram Tere Kitne Nam and Akarshan. The pattern is worth noting: across thirty years, films about the film industry kept using him as a shorthand for its respectable face, and the appearances are concentrated in productions about stardom and its costs. Santoshi had directed him fifteen years earlier in Damini. This row is built from the film's credits alone.</t>
        </is>
      </c>
      <c r="T501" s="5" t="inlineStr">
        <is>
          <t>SOURCE-119</t>
        </is>
      </c>
      <c r="U501" s="5" t="inlineStr">
        <is>
          <t>Low</t>
        </is>
      </c>
    </row>
    <row r="502" ht="109" customHeight="1">
      <c r="A502" s="15" t="inlineStr">
        <is>
          <t>PERSON-501</t>
        </is>
      </c>
      <c r="B502" s="5" t="inlineStr">
        <is>
          <t>Supratik Sen</t>
        </is>
      </c>
      <c r="C502" s="5" t="inlineStr">
        <is>
          <t>Writer</t>
        </is>
      </c>
      <c r="D502" s="18" t="n"/>
      <c r="E502" s="18" t="n"/>
      <c r="F502" s="5" t="n"/>
      <c r="G502" s="5" t="inlineStr">
        <is>
          <t>Hindi cinema</t>
        </is>
      </c>
      <c r="H502" s="5" t="inlineStr">
        <is>
          <t>A writer credited on one film in this filmography, with no Wikipedia article of his own.</t>
        </is>
      </c>
      <c r="I502" s="5" t="n"/>
      <c r="J502" s="5" t="inlineStr">
        <is>
          <t>With Kapoor: Sharmaji Namkeen (2022).</t>
        </is>
      </c>
      <c r="K502" s="19" t="inlineStr">
        <is>
          <t>Not documented.</t>
        </is>
      </c>
      <c r="L502" s="19" t="inlineStr">
        <is>
          <t>Not documented.</t>
        </is>
      </c>
      <c r="M502" s="5" t="n"/>
      <c r="N502" s="19" t="inlineStr">
        <is>
          <t>Not independently documented.</t>
        </is>
      </c>
      <c r="O502" s="19" t="inlineStr">
        <is>
          <t>One film: Sharmaji Namkeen (2022), Hitesh Bhatia's comedy drama, in which Kapoor plays a man retired at fifty-eight against his will who finds a vocation cooking for kitty parties. It was released two years after his death, with Paresh Rawal completing the unfinished portions of the role.</t>
        </is>
      </c>
      <c r="P502" s="17" t="n">
        <v>1</v>
      </c>
      <c r="Q502" s="5" t="inlineStr">
        <is>
          <t>FILM-160</t>
        </is>
      </c>
      <c r="R502" s="5" t="inlineStr">
        <is>
          <t>Sharmaji Namkeen (2022)</t>
        </is>
      </c>
      <c r="S502" s="5" t="inlineStr">
        <is>
          <t>Supratik Sen is credited as a writer on Sharmaji Namkeen (2022) and has no documented biography. The film is the last entry in this workbook and a singular one: Kapoor died in April 2020 with the shoot incomplete, and Paresh Rawal played the remaining portions of the same character, both performances appearing in the released film. The part itself is a summary of his final decade, a man told he is finished who declines to be, and the only romance in it is implied rather than enacted. This row is built from the film's credits alone.</t>
        </is>
      </c>
      <c r="T502" s="5" t="inlineStr">
        <is>
          <t>SOURCE-152</t>
        </is>
      </c>
      <c r="U502" s="5" t="inlineStr">
        <is>
          <t>Low</t>
        </is>
      </c>
    </row>
    <row r="503" ht="94" customHeight="1">
      <c r="A503" s="15" t="inlineStr">
        <is>
          <t>PERSON-502</t>
        </is>
      </c>
      <c r="B503" s="5" t="inlineStr">
        <is>
          <t>Surani Pictures</t>
        </is>
      </c>
      <c r="C503" s="5" t="inlineStr">
        <is>
          <t>Production banner</t>
        </is>
      </c>
      <c r="D503" s="18" t="n"/>
      <c r="E503" s="18" t="n"/>
      <c r="F503" s="5" t="n"/>
      <c r="G503" s="5" t="inlineStr">
        <is>
          <t>Hindi cinema</t>
        </is>
      </c>
      <c r="H503" s="5" t="inlineStr">
        <is>
          <t>A production banner credited on one film in this filmography, with no Wikipedia article of its own.</t>
        </is>
      </c>
      <c r="I503" s="5" t="n"/>
      <c r="J503" s="5" t="inlineStr">
        <is>
          <t>With Kapoor: Chalk N Duster (2016).</t>
        </is>
      </c>
      <c r="K503" s="19" t="inlineStr">
        <is>
          <t>Not documented.</t>
        </is>
      </c>
      <c r="L503" s="19" t="inlineStr">
        <is>
          <t>Not documented.</t>
        </is>
      </c>
      <c r="M503" s="5" t="n"/>
      <c r="N503" s="19" t="inlineStr">
        <is>
          <t>Not independently documented.</t>
        </is>
      </c>
      <c r="O503" s="19" t="inlineStr">
        <is>
          <t>One film: Chalk N Duster (2016), Jayant Gilatar's social drama, in which Kapoor appears as the host of the televised quiz that forms the climax, where two dismissed teachers stake their careers against five crore rupees.</t>
        </is>
      </c>
      <c r="P503" s="17" t="n">
        <v>1</v>
      </c>
      <c r="Q503" s="5" t="inlineStr">
        <is>
          <t>FILM-150</t>
        </is>
      </c>
      <c r="R503" s="5" t="inlineStr">
        <is>
          <t>Chalk N Duster (2016)</t>
        </is>
      </c>
      <c r="S503" s="5" t="inlineStr">
        <is>
          <t>Surani Pictures is credited on Chalk N Duster (2016) and has no documented history. The film came in the same year as Kapoor &amp; Sons, and the contrast measures his range of employment at sixty-three: a prosthetic-heavy ensemble lead that drew the best reviews of his career, and a single-sequence quiz-host cameo in an issue film about private schooling. He accepted both, and the Films sheet has to separate them by role type for the workbook's counts to mean anything. This row is built from the film's credits alone.</t>
        </is>
      </c>
      <c r="T503" s="5" t="inlineStr">
        <is>
          <t>SOURCE-142</t>
        </is>
      </c>
      <c r="U503" s="5" t="inlineStr">
        <is>
          <t>Low</t>
        </is>
      </c>
    </row>
    <row r="504" ht="109" customHeight="1">
      <c r="A504" s="15" t="inlineStr">
        <is>
          <t>PERSON-503</t>
        </is>
      </c>
      <c r="B504" s="5" t="inlineStr">
        <is>
          <t>Surendra Bohra</t>
        </is>
      </c>
      <c r="C504" s="5" t="inlineStr">
        <is>
          <t>Director; Producer</t>
        </is>
      </c>
      <c r="D504" s="18" t="n"/>
      <c r="E504" s="18" t="n"/>
      <c r="F504" s="5" t="n"/>
      <c r="G504" s="5" t="inlineStr">
        <is>
          <t>Hindi cinema</t>
        </is>
      </c>
      <c r="H504" s="5" t="inlineStr">
        <is>
          <t>A director and producer credited on one film in this filmography, with no Wikipedia article of his own.</t>
        </is>
      </c>
      <c r="I504" s="5" t="n"/>
      <c r="J504" s="5" t="inlineStr">
        <is>
          <t>With Kapoor: Saajan Ka Ghar (1994).</t>
        </is>
      </c>
      <c r="K504" s="19" t="inlineStr">
        <is>
          <t>Not documented.</t>
        </is>
      </c>
      <c r="L504" s="19" t="inlineStr">
        <is>
          <t>Not documented.</t>
        </is>
      </c>
      <c r="M504" s="5" t="n"/>
      <c r="N504" s="19" t="inlineStr">
        <is>
          <t>Not independently documented.</t>
        </is>
      </c>
      <c r="O504" s="19" t="inlineStr">
        <is>
          <t>One film: Saajan Ka Ghar (1994), which he directed and produced, in which Kapoor plays an army officer married to Laxmi by the father and stepmother who have mistreated her since birth, and who decides to tell nobody, including her, that another pregnancy would kill her.</t>
        </is>
      </c>
      <c r="P504" s="17" t="n">
        <v>1</v>
      </c>
      <c r="Q504" s="5" t="inlineStr">
        <is>
          <t>FILM-100</t>
        </is>
      </c>
      <c r="R504" s="5" t="inlineStr">
        <is>
          <t>Saajan Ka Ghar (1994)</t>
        </is>
      </c>
      <c r="S504" s="5" t="inlineStr">
        <is>
          <t>Surendra Bohra directed and produced Saajan Ka Ghar (1994) and has no documented biography. The film is a clear case of the mid-1990s pattern in this filmography: the marriage is settled at the start, the wife is the family's victim, and the husband's romantic function is reduced to protective concealment. Kapoor was forty-two, past the courtship roles, and the films of these years consistently score high on romance centrality and low on lover-boy, which is the divergence the workbook's two scales are designed to catch. This row is built from the film's credits alone.</t>
        </is>
      </c>
      <c r="T504" s="5" t="inlineStr">
        <is>
          <t>SOURCE-092</t>
        </is>
      </c>
      <c r="U504" s="5" t="inlineStr">
        <is>
          <t>Low</t>
        </is>
      </c>
    </row>
    <row r="505" ht="79" customHeight="1">
      <c r="A505" s="15" t="inlineStr">
        <is>
          <t>PERSON-504</t>
        </is>
      </c>
      <c r="B505" s="5" t="inlineStr">
        <is>
          <t>Suresh Bhagat</t>
        </is>
      </c>
      <c r="C505" s="5" t="inlineStr">
        <is>
          <t>Producer</t>
        </is>
      </c>
      <c r="D505" s="18" t="n"/>
      <c r="E505" s="18" t="n"/>
      <c r="F505" s="5" t="n"/>
      <c r="G505" s="5" t="inlineStr">
        <is>
          <t>Hindi cinema</t>
        </is>
      </c>
      <c r="H505" s="5" t="inlineStr">
        <is>
          <t>A producer credited on one film in this filmography, with no Wikipedia article of his own.</t>
        </is>
      </c>
      <c r="I505" s="5" t="n"/>
      <c r="J505" s="5" t="inlineStr">
        <is>
          <t>With Kapoor: Azaad Desh Ke Gulam (1990).</t>
        </is>
      </c>
      <c r="K505" s="19" t="inlineStr">
        <is>
          <t>Not documented.</t>
        </is>
      </c>
      <c r="L505" s="19" t="inlineStr">
        <is>
          <t>Not documented.</t>
        </is>
      </c>
      <c r="M505" s="5" t="n"/>
      <c r="N505" s="19" t="inlineStr">
        <is>
          <t>Not independently documented.</t>
        </is>
      </c>
      <c r="O505" s="19" t="inlineStr">
        <is>
          <t>One film: Azaad Desh Ke Gulam (1990), S. A. Chandrasekhar's drama, in which Kapoor plays Vijay, the law student who helps his classmate Bharti expose her wealthy father's trafficking of children and women.</t>
        </is>
      </c>
      <c r="P505" s="17" t="n">
        <v>1</v>
      </c>
      <c r="Q505" s="5" t="inlineStr">
        <is>
          <t>FILM-076</t>
        </is>
      </c>
      <c r="R505" s="5" t="inlineStr">
        <is>
          <t>Azaad Desh Ke Gulam (1990)</t>
        </is>
      </c>
      <c r="S505" s="5" t="inlineStr">
        <is>
          <t>Suresh Bhagat is credited as a producer on Azaad Desh Ke Gulam (1990) and has no documented biography. The film is one of the few in this filmography where Kapoor's character assists a woman's investigation instead of courting her, and it was made by a Tamil director and his screenwriter wife working in Hindi. Its structure gives the heroine the discovery, the documents and the decision, which produces the highest female-agency reading of his 1990 work in an otherwise unremarkable film. This row is built from the film's credits alone.</t>
        </is>
      </c>
      <c r="T505" s="5" t="inlineStr">
        <is>
          <t>SOURCE-072</t>
        </is>
      </c>
      <c r="U505" s="5" t="inlineStr">
        <is>
          <t>Low</t>
        </is>
      </c>
    </row>
    <row r="506" ht="94" customHeight="1">
      <c r="A506" s="15" t="inlineStr">
        <is>
          <t>PERSON-505</t>
        </is>
      </c>
      <c r="B506" s="5" t="inlineStr">
        <is>
          <t>Suresh K Grover</t>
        </is>
      </c>
      <c r="C506" s="5" t="inlineStr">
        <is>
          <t>Producer</t>
        </is>
      </c>
      <c r="D506" s="18" t="n"/>
      <c r="E506" s="18" t="n"/>
      <c r="F506" s="5" t="n"/>
      <c r="G506" s="5" t="inlineStr">
        <is>
          <t>Hindi cinema</t>
        </is>
      </c>
      <c r="H506" s="5" t="inlineStr">
        <is>
          <t>A producer credited on one film in this filmography, with no Wikipedia article of his own.</t>
        </is>
      </c>
      <c r="I506" s="5" t="n"/>
      <c r="J506" s="5" t="inlineStr">
        <is>
          <t>With Kapoor: Pyar Ke Kabil (1987).</t>
        </is>
      </c>
      <c r="K506" s="19" t="inlineStr">
        <is>
          <t>Not documented.</t>
        </is>
      </c>
      <c r="L506" s="19" t="inlineStr">
        <is>
          <t>Not documented.</t>
        </is>
      </c>
      <c r="M506" s="5" t="n"/>
      <c r="N506" s="19" t="inlineStr">
        <is>
          <t>Not independently documented.</t>
        </is>
      </c>
      <c r="O506" s="19" t="inlineStr">
        <is>
          <t>One film: Pyar Ke Kabil (1987), Anil Ganguly's drama, in which Kapoor plays Amar Kapoor opposite Padmini Kolhapure, with Bindu, Utpal Dutt and Deven Verma in support. The article has no plot section, so the role cannot be described from it.</t>
        </is>
      </c>
      <c r="P506" s="17" t="n">
        <v>1</v>
      </c>
      <c r="Q506" s="5" t="inlineStr">
        <is>
          <t>FILM-058</t>
        </is>
      </c>
      <c r="R506" s="5" t="inlineStr">
        <is>
          <t>Pyar Ke Kabil (1987)</t>
        </is>
      </c>
      <c r="S506" s="5" t="inlineStr">
        <is>
          <t>Suresh K Grover is credited as a producer on Pyar Ke Kabil (1987) and has no documented biography. The film is one of eight in this workbook recorded as having a major romance but no Romances row, because the surviving documentation is an infobox, a cast list and a soundtrack. Padmini Kolhapure was among his more frequent co-stars of the period, after Prem Rog and Yeh Vaada Raha, and the absence of any account of this pairing is characteristic of his late-1980s films rather than exceptional. This row is built from the film's credits alone.</t>
        </is>
      </c>
      <c r="T506" s="5" t="inlineStr">
        <is>
          <t>SOURCE-056</t>
        </is>
      </c>
      <c r="U506" s="5" t="inlineStr">
        <is>
          <t>Low</t>
        </is>
      </c>
    </row>
    <row r="507" ht="154" customHeight="1">
      <c r="A507" s="15" t="inlineStr">
        <is>
          <t>PERSON-506</t>
        </is>
      </c>
      <c r="B507" s="5" t="inlineStr">
        <is>
          <t>Surinder Kapoor</t>
        </is>
      </c>
      <c r="C507" s="5" t="inlineStr">
        <is>
          <t>Producer</t>
        </is>
      </c>
      <c r="D507" s="17" t="n">
        <v>1925</v>
      </c>
      <c r="E507" s="17" t="n">
        <v>2011</v>
      </c>
      <c r="F507" s="5" t="n"/>
      <c r="G507" s="5" t="inlineStr">
        <is>
          <t>Hindi cinema</t>
        </is>
      </c>
      <c r="H507" s="5" t="inlineStr">
        <is>
          <t>Surinder Kapoor was an Indian film producer. Born in Peshawar in 1925 into a Punjabi Hindu family raised on Arya Samaj teachings, he left for Meerut after the 1947 partition and was then invited to Bombay by his cousin Prithviraj Kapoor to join the film industry. He founded S. K. International Films and served as president of the Film &amp; Television Producers Guild of India from 1995 to 2001.</t>
        </is>
      </c>
      <c r="I507" s="5" t="inlineStr">
        <is>
          <t>His first successful Hindi production was Shehzada (1972), starring Rajesh Khanna.</t>
        </is>
      </c>
      <c r="J507" s="5" t="inlineStr">
        <is>
          <t>With Kapoor: Phool Khile Hain Gulshan Gulshan (1978). Elsewhere, Shehzada (1972) and the S. K. International Films slate.</t>
        </is>
      </c>
      <c r="K507" s="19" t="inlineStr">
        <is>
          <t>Star-led commercial production; later, launching his own sons.</t>
        </is>
      </c>
      <c r="L507" s="19" t="inlineStr">
        <is>
          <t>A proprietor-producer of the old kind, running a family banner on relationships rather than on a studio structure.</t>
        </is>
      </c>
      <c r="M507" s="5" t="n"/>
      <c r="N507" s="19" t="inlineStr">
        <is>
          <t>Patriarch of the second Kapoor film family: his sons are Boney, Anil and Sanjay Kapoor, and Sridevi was his daughter-in-law.</t>
        </is>
      </c>
      <c r="O507" s="19" t="inlineStr">
        <is>
          <t>One film: Phool Khile Hain Gulshan Gulshan (1978), in which Kapoor plays Vishal Rai opposite Moushumi Chatterjee, second-billed to Ashok Kumar, with Mithun Chakraborty among his friends and Amjad Khan and Ranjeet as the antagonists. The two men were distant relatives: Surinder Kapoor was Prithviraj Kapoor's cousin, which makes this a collaboration between the two branches of the industry's Kapoor families.</t>
        </is>
      </c>
      <c r="P507" s="17" t="n">
        <v>1</v>
      </c>
      <c r="Q507" s="5" t="inlineStr">
        <is>
          <t>FILM-021</t>
        </is>
      </c>
      <c r="R507" s="5" t="inlineStr">
        <is>
          <t>Phool Khile Hain Gulshan Gulshan (1978)</t>
        </is>
      </c>
      <c r="S507" s="5" t="inlineStr">
        <is>
          <t>Surinder Kapoor produced Phool Khile Hain Gulshan Gulshan, the one film in this workbook that connects the two Kapoor dynasties. Born in Peshawar in 1925, he reached Bombay after partition at the invitation of his cousin Prithviraj Kapoor, worked his way up and founded S. K. International Films, whose first substantial success was Shehzada with Rajesh Khanna in 1972; he led the Producers Guild from 1995 to 2001 and died in 2011. His sons Boney, Anil and Sanjay became producers and an actor, and Sridevi, who never worked with Rishi Kapoor as a lead, married Boney. The film itself is minor, a 1978 drama in which Kapoor is billed below Ashok Kumar, but the credit records a family relationship that the industry's two Kapoor lines rarely put on screen together.</t>
        </is>
      </c>
      <c r="T507" s="5" t="inlineStr">
        <is>
          <t>SOURCE-023; SOURCE-408</t>
        </is>
      </c>
      <c r="U507" s="5" t="inlineStr">
        <is>
          <t>High</t>
        </is>
      </c>
    </row>
    <row r="508" ht="94" customHeight="1">
      <c r="A508" s="15" t="inlineStr">
        <is>
          <t>PERSON-507</t>
        </is>
      </c>
      <c r="B508" s="5" t="inlineStr">
        <is>
          <t>Surinder Kumar Sharma</t>
        </is>
      </c>
      <c r="C508" s="5" t="inlineStr">
        <is>
          <t>Producer</t>
        </is>
      </c>
      <c r="D508" s="18" t="n"/>
      <c r="E508" s="18" t="n"/>
      <c r="F508" s="5" t="n"/>
      <c r="G508" s="5" t="inlineStr">
        <is>
          <t>Hindi cinema</t>
        </is>
      </c>
      <c r="H508" s="5" t="inlineStr">
        <is>
          <t>A producer credited on one film in this filmography, with no Wikipedia article of his own.</t>
        </is>
      </c>
      <c r="I508" s="5" t="n"/>
      <c r="J508" s="5" t="inlineStr">
        <is>
          <t>With Kapoor: Chala Murari Hero Banne (1977).</t>
        </is>
      </c>
      <c r="K508" s="19" t="inlineStr">
        <is>
          <t>Not documented.</t>
        </is>
      </c>
      <c r="L508" s="19" t="inlineStr">
        <is>
          <t>Not documented.</t>
        </is>
      </c>
      <c r="M508" s="5" t="n"/>
      <c r="N508" s="19" t="inlineStr">
        <is>
          <t>Not independently documented.</t>
        </is>
      </c>
      <c r="O508" s="19" t="inlineStr">
        <is>
          <t>One film: Chala Murari Hero Banne (1977), Asrani's satire about a cloth merchant's son who runs away to Bombay to become an actor, in which Kapoor appears as himself alongside Neetu Singh, Dharmendra, Hema Malini, Amitabh Bachchan and Ashok Kumar.</t>
        </is>
      </c>
      <c r="P508" s="17" t="n">
        <v>1</v>
      </c>
      <c r="Q508" s="5" t="inlineStr">
        <is>
          <t>FILM-017</t>
        </is>
      </c>
      <c r="R508" s="5" t="inlineStr">
        <is>
          <t>Chala Murari Hero Banne (1977)</t>
        </is>
      </c>
      <c r="S508" s="5" t="inlineStr">
        <is>
          <t>Surinder Kumar Sharma is credited as a producer on Chala Murari Hero Banne (1977) and has no documented biography. The film is the first of four in which Kapoor appears as himself, and the earliest evidence that his public persona was established enough by his fourth year as a lead to be used as a cameo. Asrani directed it and cast most of the industry's leading names in walk-ons; Kapoor appears with Neetu Singh, three years before they married. This row is built from the film's credits alone.</t>
        </is>
      </c>
      <c r="T508" s="5" t="inlineStr">
        <is>
          <t>SOURCE-018</t>
        </is>
      </c>
      <c r="U508" s="5" t="inlineStr">
        <is>
          <t>Low</t>
        </is>
      </c>
    </row>
    <row r="509" ht="199" customHeight="1">
      <c r="A509" s="15" t="inlineStr">
        <is>
          <t>PERSON-508</t>
        </is>
      </c>
      <c r="B509" s="5" t="inlineStr">
        <is>
          <t>Surinder Sodhi</t>
        </is>
      </c>
      <c r="C509" s="5" t="inlineStr">
        <is>
          <t>Background-score composer</t>
        </is>
      </c>
      <c r="D509" s="18" t="n"/>
      <c r="E509" s="18" t="n"/>
      <c r="F509" s="5" t="n"/>
      <c r="G509" s="5" t="inlineStr">
        <is>
          <t>Hindi cinema</t>
        </is>
      </c>
      <c r="H509" s="5" t="inlineStr">
        <is>
          <t>Surender Sodhi, often credited as Surendra Sodhi, is an Indian film score composer. He has worked almost entirely on background music rather than songs, across a long run of commercial Hindi films from the early 1990s onwards.</t>
        </is>
      </c>
      <c r="I509" s="5" t="inlineStr">
        <is>
          <t>Background scores from the early 1990s; an early credit on Vijeta (1996) appears under the name Surender Singh.</t>
        </is>
      </c>
      <c r="J509" s="5" t="inlineStr">
        <is>
          <t>With Kapoor: Karobaar (2000). His article also credits him with the background score of Deewana (1992), which is FILM-087 in this filmography. Elsewhere, Raja Hindustani, Soldier, Baadshah, Hera Pheri and Special 26.</t>
        </is>
      </c>
      <c r="K509" s="19" t="inlineStr">
        <is>
          <t>Score for mainstream romance, action and comedy.</t>
        </is>
      </c>
      <c r="L509" s="19" t="inlineStr">
        <is>
          <t>A specialist background-score composer working alongside separately credited song composers, as became standard in Hindi cinema from the 1990s.</t>
        </is>
      </c>
      <c r="M509" s="5" t="n"/>
      <c r="N509" s="19" t="inlineStr">
        <is>
          <t>One of the busiest background-score composers of the 1990s and 2000s, a craft credit that reference sources record poorly.</t>
        </is>
      </c>
      <c r="O509" s="19" t="inlineStr">
        <is>
          <t>One film by the frozen roster, probably two in fact. Karobaar (2000), Rakesh Roshan's drama, in which Kapoor plays Amar, who marries Seema after his wealthy friend invents a pretext to stop him and later learns the pretext was a device. His own article also credits him with the background score of Deewana (1992), the Shah Rukh Khan debut in which Kapoor plays the first husband who returns; the Films sheet leaves that film's background-score field empty, so the second collaboration is recorded here in prose only.</t>
        </is>
      </c>
      <c r="P509" s="17" t="n">
        <v>1</v>
      </c>
      <c r="Q509" s="5" t="inlineStr">
        <is>
          <t>FILM-111</t>
        </is>
      </c>
      <c r="R509" s="5" t="inlineStr">
        <is>
          <t>Deewana (1992), if his article's credit is correct; otherwise Karobaar (2000)</t>
        </is>
      </c>
      <c r="S509" s="5" t="inlineStr">
        <is>
          <t>Surinder Sodhi scored Karobaar, and by his own article also Deewana, which would make him a collaborator on one of the most commercially important films in Rishi Kapoor's career. Sodhi has built a long career in background music alone, from the early 1990s through Raja Hindustani, Soldier, Baadshah, Hera Pheri and Special 26, a craft that Hindi film reference sources document far less reliably than song composition. Deewana (1992) is the pivot of Kapoor's middle period: he plays the first husband presumed dead who returns to find his widow remarried to Shah Rukh Khan's character, and the film both succeeded hugely and signalled that the new generation had arrived. The background-score credit for it is missing from this workbook's Films sheet, so the connection is noted rather than counted.</t>
        </is>
      </c>
      <c r="T509" s="5" t="inlineStr">
        <is>
          <t>SOURCE-103; SOURCE-409</t>
        </is>
      </c>
      <c r="U509" s="5" t="inlineStr">
        <is>
          <t>Medium</t>
        </is>
      </c>
    </row>
    <row r="510" ht="169" customHeight="1">
      <c r="A510" s="15" t="inlineStr">
        <is>
          <t>PERSON-509</t>
        </is>
      </c>
      <c r="B510" s="5" t="inlineStr">
        <is>
          <t>Sushma Ahuja</t>
        </is>
      </c>
      <c r="C510" s="5" t="inlineStr">
        <is>
          <t>Writer</t>
        </is>
      </c>
      <c r="D510" s="18" t="n"/>
      <c r="E510" s="18" t="n"/>
      <c r="F510" s="5" t="n"/>
      <c r="G510" s="5" t="inlineStr">
        <is>
          <t>Hindi, English and Tamil cinema; Indian theatre</t>
        </is>
      </c>
      <c r="H510" s="5" t="inlineStr">
        <is>
          <t>Sushma Ahuja is an Indian director, writer and actor who has worked in Hindi, English and Tamil films and plays. She began as a singer with All India Radio and as a dancer in her teens, worked in the Hindi theatre circuit on Hindi, Urdu and Punjabi productions, and moved to Madras in 1977, where she joined the Abhudhay theatre group and was encouraged into film direction by Singeetham Srinivasa Rao and L. V. Prasad. She apprenticed under Balu Mahendra, T. Rama Rao and Yash Chopra.</t>
        </is>
      </c>
      <c r="I510" s="5" t="inlineStr">
        <is>
          <t>Theatre and radio first; then film work as actress, writer and director.</t>
        </is>
      </c>
      <c r="J510" s="5" t="inlineStr">
        <is>
          <t>With Kapoor: Pyaar Mein Twist (2005).</t>
        </is>
      </c>
      <c r="K510" s="19" t="inlineStr">
        <is>
          <t>Domestic relationships across generations, written from a theatre background.</t>
        </is>
      </c>
      <c r="L510" s="19" t="inlineStr">
        <is>
          <t>A writer who came to film through the stage and through apprenticeship rather than the industry's family networks.</t>
        </is>
      </c>
      <c r="M510" s="5" t="n"/>
      <c r="N510" s="19" t="inlineStr">
        <is>
          <t>Not widely documented; notable as a woman writing and directing across three language industries.</t>
        </is>
      </c>
      <c r="O510" s="19" t="inlineStr">
        <is>
          <t>One film: Pyaar Mein Twist (2005), Hriday Shetty's romantic comedy, in which Kapoor plays Yash Khurana, a widower handing his company to an insecure son and beginning an unplanned retirement, who meets Sheetal when he berates her in the street after she nearly runs him down. It is the most important film of his middle period in this workbook's terms: a central romance in which the lovers are in their fifties and the opposition comes from their adult children.</t>
        </is>
      </c>
      <c r="P510" s="17" t="n">
        <v>1</v>
      </c>
      <c r="Q510" s="5" t="inlineStr">
        <is>
          <t>FILM-119</t>
        </is>
      </c>
      <c r="R510" s="5" t="inlineStr">
        <is>
          <t>Pyaar Mein Twist (2005)</t>
        </is>
      </c>
      <c r="S510" s="5" t="inlineStr">
        <is>
          <t>Sushma Ahuja wrote Pyaar Mein Twist, which is the single most analytically interesting film in Rishi Kapoor's later career. Ahuja came to cinema from All India Radio, dance and the Hindi theatre circuit, moved to Madras in 1977, worked with the Abhudhay group and apprenticed under Balu Mahendra, T. Rama Rao and Yash Chopra before writing and directing across Hindi, English and Tamil. Her screenplay reproduces the exact structure of Bobby, the film that made Kapoor a star in 1973, with one substitution: the lovers are a widower and a widow, and the people forbidding the match are their own children rather than their parents. Kapoor plays the courtship straight, with a lover-boy score in the fifties register the 1970s films used, which is why the film anchors this workbook's argument that his romantic persona never actually declined, only changed its obstacles.</t>
        </is>
      </c>
      <c r="T510" s="5" t="inlineStr">
        <is>
          <t>SOURCE-111; SOURCE-410</t>
        </is>
      </c>
      <c r="U510" s="5" t="inlineStr">
        <is>
          <t>High</t>
        </is>
      </c>
    </row>
    <row r="511" ht="124" customHeight="1">
      <c r="A511" s="15" t="inlineStr">
        <is>
          <t>PERSON-510</t>
        </is>
      </c>
      <c r="B511" s="5" t="inlineStr">
        <is>
          <t>Sutanu Gupta</t>
        </is>
      </c>
      <c r="C511" s="5" t="inlineStr">
        <is>
          <t>Writer</t>
        </is>
      </c>
      <c r="D511" s="18" t="n"/>
      <c r="E511" s="18" t="n"/>
      <c r="F511" s="5" t="n"/>
      <c r="G511" s="5" t="inlineStr">
        <is>
          <t>Hindi cinema</t>
        </is>
      </c>
      <c r="H511" s="5" t="inlineStr">
        <is>
          <t>A writer credited on one film in this filmography, with no Wikipedia article of his own.</t>
        </is>
      </c>
      <c r="I511" s="5" t="n"/>
      <c r="J511" s="5" t="inlineStr">
        <is>
          <t>With Kapoor: Damini (1993).</t>
        </is>
      </c>
      <c r="K511" s="19" t="inlineStr">
        <is>
          <t>Not documented.</t>
        </is>
      </c>
      <c r="L511" s="19" t="inlineStr">
        <is>
          <t>Not documented.</t>
        </is>
      </c>
      <c r="M511" s="5" t="n"/>
      <c r="N511" s="19" t="inlineStr">
        <is>
          <t>Not independently documented.</t>
        </is>
      </c>
      <c r="O511" s="19" t="inlineStr">
        <is>
          <t>One film: Damini (1993), Rajkumar Santoshi's legal drama, in which Kapoor plays Shekhar, who marries Damini across a sharp class divide and then fails her: when she witnesses his younger brother and his friends raping the family's maid, he runs to stop it, arrives too late, and sides with his family's cover-up before changing course.</t>
        </is>
      </c>
      <c r="P511" s="17" t="n">
        <v>1</v>
      </c>
      <c r="Q511" s="5" t="inlineStr">
        <is>
          <t>FILM-093</t>
        </is>
      </c>
      <c r="R511" s="5" t="inlineStr">
        <is>
          <t>Damini (1993)</t>
        </is>
      </c>
      <c r="S511" s="5" t="inlineStr">
        <is>
          <t>Sutanu Gupta is credited as a writer on Damini (1993) and has no documented biography. The film is among the most important in this filmography and the most unusual in its treatment of marriage: the husband is weak rather than villainous, and the plot consists of his wife's refusal to accept his family's silence. Kapoor's role is to be insufficient, which no other film of his demands so directly, and the picture belongs to Meenakshi Seshadri and Sunny Deol. It won major awards and stands as the clearest instance of a Kapoor romance examined from the wife's point of view. This row is built from the film's credits alone.</t>
        </is>
      </c>
      <c r="T511" s="5" t="inlineStr">
        <is>
          <t>SOURCE-086</t>
        </is>
      </c>
      <c r="U511" s="5" t="inlineStr">
        <is>
          <t>Low</t>
        </is>
      </c>
    </row>
    <row r="512" ht="94" customHeight="1">
      <c r="A512" s="15" t="inlineStr">
        <is>
          <t>PERSON-511</t>
        </is>
      </c>
      <c r="B512" s="5" t="inlineStr">
        <is>
          <t>Syed Ayub</t>
        </is>
      </c>
      <c r="C512" s="5" t="inlineStr">
        <is>
          <t>Producer</t>
        </is>
      </c>
      <c r="D512" s="18" t="n"/>
      <c r="E512" s="18" t="n"/>
      <c r="F512" s="5" t="n"/>
      <c r="G512" s="5" t="inlineStr">
        <is>
          <t>Hindi cinema</t>
        </is>
      </c>
      <c r="H512" s="5" t="inlineStr">
        <is>
          <t>A producer credited on one film in this filmography, with no Wikipedia article of his own.</t>
        </is>
      </c>
      <c r="I512" s="5" t="n"/>
      <c r="J512" s="5" t="inlineStr">
        <is>
          <t>With Kapoor: Sheshnaag (1990).</t>
        </is>
      </c>
      <c r="K512" s="19" t="inlineStr">
        <is>
          <t>Not documented.</t>
        </is>
      </c>
      <c r="L512" s="19" t="inlineStr">
        <is>
          <t>Not documented.</t>
        </is>
      </c>
      <c r="M512" s="5" t="n"/>
      <c r="N512" s="19" t="inlineStr">
        <is>
          <t>Not independently documented.</t>
        </is>
      </c>
      <c r="O512" s="19" t="inlineStr">
        <is>
          <t>One film: Sheshnaag (1990), K. R. Reddy's fantasy, in which Kapoor plays Bhola, who rescues a wounded shape-shifting serpent and is repaid for the rest of the film, including by her taking his sister's form after the sister is gambled away.</t>
        </is>
      </c>
      <c r="P512" s="17" t="n">
        <v>1</v>
      </c>
      <c r="Q512" s="5" t="inlineStr">
        <is>
          <t>FILM-077</t>
        </is>
      </c>
      <c r="R512" s="5" t="inlineStr">
        <is>
          <t>Sheshnaag (1990)</t>
        </is>
      </c>
      <c r="S512" s="5" t="inlineStr">
        <is>
          <t>Syed Ayub is credited as a producer on Sheshnaag (1990) and has no documented biography. The film is Kapoor's only mythological fantasy of this kind, made in the cycle of snake films that followed Nagina, and it pairs him with Rekha in a relationship that is protective and supernatural rather than romantic. It belongs to the 1990 and 1991 run, with Amiri Garibi, Azaad Desh Ke Gulam, Ghar Parivar and Ranbhoomi, in which his leads were absorbed into whatever genre was selling. This row is built from the film's credits alone.</t>
        </is>
      </c>
      <c r="T512" s="5" t="inlineStr">
        <is>
          <t>SOURCE-074</t>
        </is>
      </c>
      <c r="U512" s="5" t="inlineStr">
        <is>
          <t>Low</t>
        </is>
      </c>
    </row>
    <row r="513" ht="124" customHeight="1">
      <c r="A513" s="15" t="inlineStr">
        <is>
          <t>PERSON-512</t>
        </is>
      </c>
      <c r="B513" s="5" t="inlineStr">
        <is>
          <t>T-Series</t>
        </is>
      </c>
      <c r="C513" s="5" t="inlineStr">
        <is>
          <t>Production banner</t>
        </is>
      </c>
      <c r="D513" s="18" t="n"/>
      <c r="E513" s="18" t="n"/>
      <c r="F513" s="5" t="n"/>
      <c r="G513" s="5" t="inlineStr">
        <is>
          <t>Hindi cinema; Indian music publishing</t>
        </is>
      </c>
      <c r="H513" s="5" t="inlineStr">
        <is>
          <t>T-Series is the trade name of Super Cassettes Industries Private Limited, an Indian record label and film studio founded by Gulshan Kumar on 11 July 1983, the T standing for the trishula. It is chaired and managed by Bhushan Kumar, with Krishan Kumar and Neeraj Kalyan among its principals, and is the largest music record label in India, known primarily for Hindi film soundtracks.</t>
        </is>
      </c>
      <c r="I513" s="5" t="inlineStr">
        <is>
          <t>Founded in 1983 as a cassette label; later a film producer in its own right.</t>
        </is>
      </c>
      <c r="J513" s="5" t="inlineStr">
        <is>
          <t>With Kapoor: All Is Well (2015). Elsewhere, a very large catalogue of Hindi film soundtracks and, from the 2000s, film production.</t>
        </is>
      </c>
      <c r="K513" s="19" t="inlineStr">
        <is>
          <t>Music rights first and film production second: the company's films are built around their soundtracks.</t>
        </is>
      </c>
      <c r="L513" s="19" t="inlineStr">
        <is>
          <t>An industrial operation in which the label's distribution power drives the production slate.</t>
        </is>
      </c>
      <c r="M513" s="5" t="n"/>
      <c r="N513" s="19" t="inlineStr">
        <is>
          <t>The dominant force in Indian recorded music for four decades, and one of the companies that changed how Hindi film music is financed, marketed and owned.</t>
        </is>
      </c>
      <c r="O513" s="19" t="inlineStr">
        <is>
          <t>One film: All Is Well (2015), Umesh Shukla's comedy drama, in which Kapoor plays Bhajanlal Bhalla, a baker who throws out his son and is revealed to be ruined by debt, with a wife suffering from Alzheimer's whom he has sent to an ashram.</t>
        </is>
      </c>
      <c r="P513" s="17" t="n">
        <v>1</v>
      </c>
      <c r="Q513" s="5" t="inlineStr">
        <is>
          <t>FILM-148</t>
        </is>
      </c>
      <c r="R513" s="5" t="inlineStr">
        <is>
          <t>All Is Well (2015)</t>
        </is>
      </c>
      <c r="S513" s="5" t="inlineStr">
        <is>
          <t>T-Series co-produced All Is Well, one of Rishi Kapoor's late supporting roles. Founded by Gulshan Kumar in July 1983 as Super Cassettes Industries, the label built itself on cheap cassettes and aggressive cover versions, became the largest record company in India, and under Bhushan Kumar moved into film production on the strength of its music rights. The chronology is pointed: T-Series arrived just as Kapoor's leading years were ending, and the soundtrack-driven economics it helped create belonged to the generation of stars who replaced him. His own hits of the 1970s had been built on R. D. Burman and Laxmikant-Pyarelal scores sold through the older gramophone trade. By the time the company produced a film he appeared in, he was the father in a failed comedy.</t>
        </is>
      </c>
      <c r="T513" s="5" t="inlineStr">
        <is>
          <t>SOURCE-140; SOURCE-411</t>
        </is>
      </c>
      <c r="U513" s="5" t="inlineStr">
        <is>
          <t>High</t>
        </is>
      </c>
    </row>
    <row r="514" ht="139" customHeight="1">
      <c r="A514" s="15" t="inlineStr">
        <is>
          <t>PERSON-513</t>
        </is>
      </c>
      <c r="B514" s="5" t="inlineStr">
        <is>
          <t>T. R. Subba Rao</t>
        </is>
      </c>
      <c r="C514" s="5" t="inlineStr">
        <is>
          <t>Writer</t>
        </is>
      </c>
      <c r="D514" s="17" t="n">
        <v>1920</v>
      </c>
      <c r="E514" s="17" t="n">
        <v>1984</v>
      </c>
      <c r="F514" s="5" t="n"/>
      <c r="G514" s="5" t="inlineStr">
        <is>
          <t>Kannada literature</t>
        </is>
      </c>
      <c r="H514" s="5" t="inlineStr">
        <is>
          <t>Talukina Ramaswamayya Subba Rao, known as TaRaSu, was an Indian novelist and scholar of Kannada. Born in Chitradurga district in 1920 to a lawyer father, he joined the Indian freedom movement at seventeen, touring villages singing patriotic songs, and became a prolific novelist regarded as a harbinger of the Navya movement in Kannada literature.</t>
        </is>
      </c>
      <c r="I514" s="5" t="inlineStr">
        <is>
          <t>His first story, Puttana Chendu, was written to win a bet against his uncle.</t>
        </is>
      </c>
      <c r="J514" s="5" t="inlineStr">
        <is>
          <t>With Kapoor: Zehreela Insaan (1974), adapted from his novel. Elsewhere, Durgashtamana and a large body of Kannada fiction.</t>
        </is>
      </c>
      <c r="K514" s="19" t="inlineStr">
        <is>
          <t>Historical and social Kannada fiction; rural life and the individual against convention.</t>
        </is>
      </c>
      <c r="L514" s="19" t="inlineStr">
        <is>
          <t>A novelist of social realism and historical reconstruction whose work was adapted repeatedly for Kannada cinema.</t>
        </is>
      </c>
      <c r="M514" s="5" t="inlineStr">
        <is>
          <t>Sahitya Akademi Award in 1985, posthumously, for Durgashtamana.</t>
        </is>
      </c>
      <c r="N514" s="19" t="inlineStr">
        <is>
          <t>One of the significant Kannada novelists of the twentieth century; his autobiography was left unfinished at his death and completed by his wife.</t>
        </is>
      </c>
      <c r="O514" s="19" t="inlineStr">
        <is>
          <t>One film: Zehreela Insaan (1974), the Hindi version of Puttanna Kanagal's Kannada film Nagarahavu, adapted from his novel, in which Kapoor plays Arjun, an ill-tempered, soft-hearted young man the village reads as a bad character, obedient only to the schoolmaster who sees his qualities. It was Kapoor's first film after Bobby and his only work with a south Indian art-cinema director.</t>
        </is>
      </c>
      <c r="P514" s="17" t="n">
        <v>1</v>
      </c>
      <c r="Q514" s="5" t="inlineStr">
        <is>
          <t>FILM-004</t>
        </is>
      </c>
      <c r="R514" s="5" t="inlineStr">
        <is>
          <t>Zehreela Insaan (1974)</t>
        </is>
      </c>
      <c r="S514" s="5" t="inlineStr">
        <is>
          <t>T. R. Subba Rao wrote the novel behind Zehreela Insaan, the film Rishi Kapoor made immediately after Bobby. Known as TaRaSu, he was born in Chitradurga district in 1920, joined the freedom movement at seventeen, and became one of the most substantial Kannada novelists of his century, winning a posthumous Sahitya Akademi Award in 1985 for Durgashtamana. Puttanna Kanagal had filmed his novel in Kannada as Nagarahavu in 1972 and directed this Hindi version two years later. The result is the only literary adaptation of its kind in the filmography: Arjun loses one woman to a forced marriage and finds a second in his Christian classmate, and the film treats his temper as a social misreading rather than a flaw. It failed commercially, and Kapoor returned to romantic comedy.</t>
        </is>
      </c>
      <c r="T514" s="5" t="inlineStr">
        <is>
          <t>SOURCE-005; SOURCE-412</t>
        </is>
      </c>
      <c r="U514" s="5" t="inlineStr">
        <is>
          <t>High</t>
        </is>
      </c>
    </row>
    <row r="515" ht="94" customHeight="1">
      <c r="A515" s="15" t="inlineStr">
        <is>
          <t>PERSON-514</t>
        </is>
      </c>
      <c r="B515" s="5" t="inlineStr">
        <is>
          <t>TUTU Films</t>
        </is>
      </c>
      <c r="C515" s="5" t="inlineStr">
        <is>
          <t>Production banner</t>
        </is>
      </c>
      <c r="D515" s="18" t="n"/>
      <c r="E515" s="18" t="n"/>
      <c r="F515" s="5" t="n"/>
      <c r="G515" s="5" t="inlineStr">
        <is>
          <t>Hindi cinema</t>
        </is>
      </c>
      <c r="H515" s="5" t="inlineStr">
        <is>
          <t>A production banner credited on one film in this filmography, with no Wikipedia article of its own.</t>
        </is>
      </c>
      <c r="I515" s="5" t="n"/>
      <c r="J515" s="5" t="inlineStr">
        <is>
          <t>With Kapoor: Amiri Garibi (1990).</t>
        </is>
      </c>
      <c r="K515" s="19" t="inlineStr">
        <is>
          <t>Not documented.</t>
        </is>
      </c>
      <c r="L515" s="19" t="inlineStr">
        <is>
          <t>Not documented.</t>
        </is>
      </c>
      <c r="M515" s="5" t="n"/>
      <c r="N515" s="19" t="inlineStr">
        <is>
          <t>Not independently documented.</t>
        </is>
      </c>
      <c r="O515" s="19" t="inlineStr">
        <is>
          <t>One film: Amiri Garibi (1990), Harmesh Malhotra's drama, in which Kapoor plays Deepak Bhardwaj, who arrives to claim the wife he was married to in childhood and moves into her family's house to their general disgust.</t>
        </is>
      </c>
      <c r="P515" s="17" t="n">
        <v>1</v>
      </c>
      <c r="Q515" s="5" t="inlineStr">
        <is>
          <t>FILM-075</t>
        </is>
      </c>
      <c r="R515" s="5" t="inlineStr">
        <is>
          <t>Amiri Garibi (1990)</t>
        </is>
      </c>
      <c r="S515" s="5" t="inlineStr">
        <is>
          <t>TUTU Films is credited on Amiri Garibi (1990) and has no documented history. The film gives Kapoor a supporting part in a Jeetendra vehicle, three years after Malhotra had used him for a musical guest appearance in Khazana. The arrangement is typical of 1990: he was taking leads in minor films and support in larger ones, and the role types in the Films sheet change several times a year through this period. The childhood-marriage premise also recurs, since arranged obligation rather than attraction drives most of his romances of these years. This row is built from the film's credits alone.</t>
        </is>
      </c>
      <c r="T515" s="5" t="inlineStr">
        <is>
          <t>SOURCE-071</t>
        </is>
      </c>
      <c r="U515" s="5" t="inlineStr">
        <is>
          <t>Low</t>
        </is>
      </c>
    </row>
    <row r="516" ht="94" customHeight="1">
      <c r="A516" s="15" t="inlineStr">
        <is>
          <t>PERSON-515</t>
        </is>
      </c>
      <c r="B516" s="5" t="inlineStr">
        <is>
          <t>TVM International</t>
        </is>
      </c>
      <c r="C516" s="5" t="inlineStr">
        <is>
          <t>Production banner</t>
        </is>
      </c>
      <c r="D516" s="18" t="n"/>
      <c r="E516" s="18" t="n"/>
      <c r="F516" s="5" t="n"/>
      <c r="G516" s="5" t="inlineStr">
        <is>
          <t>Hindi cinema</t>
        </is>
      </c>
      <c r="H516" s="5" t="inlineStr">
        <is>
          <t>A production banner credited on one film in this filmography, with no Wikipedia article of its own.</t>
        </is>
      </c>
      <c r="I516" s="5" t="n"/>
      <c r="J516" s="5" t="inlineStr">
        <is>
          <t>With Kapoor: Karobaar (2000).</t>
        </is>
      </c>
      <c r="K516" s="19" t="inlineStr">
        <is>
          <t>Not documented.</t>
        </is>
      </c>
      <c r="L516" s="19" t="inlineStr">
        <is>
          <t>Not documented.</t>
        </is>
      </c>
      <c r="M516" s="5" t="n"/>
      <c r="N516" s="19" t="inlineStr">
        <is>
          <t>Not independently documented.</t>
        </is>
      </c>
      <c r="O516" s="19" t="inlineStr">
        <is>
          <t>One film: Karobaar (2000), Rakesh Roshan's drama, in which Kapoor plays Amar, whose wealthy friend invents a pretext to stop him marrying Seema and who later discovers the pretext was a device to secure her for the friend.</t>
        </is>
      </c>
      <c r="P516" s="17" t="n">
        <v>1</v>
      </c>
      <c r="Q516" s="5" t="inlineStr">
        <is>
          <t>FILM-111</t>
        </is>
      </c>
      <c r="R516" s="5" t="inlineStr">
        <is>
          <t>Karobaar (2000)</t>
        </is>
      </c>
      <c r="S516" s="5" t="inlineStr">
        <is>
          <t>TVM International is credited on Karobaar (2000) and has no documented history. The film was shot years before it was released, which is why it reaches cinemas in the same year as Raju Chacha with Kapoor in two quite different registers, a betrayed husband and a distracted father. Delayed releases of this kind cluster at the end of his leading career and complicate the chronology: production year and release year diverge, and the workbook follows theatrical release throughout, with the discrepancies kept in research notes. This row is built from the film's credits alone.</t>
        </is>
      </c>
      <c r="T516" s="5" t="inlineStr">
        <is>
          <t>SOURCE-103</t>
        </is>
      </c>
      <c r="U516" s="5" t="inlineStr">
        <is>
          <t>Low</t>
        </is>
      </c>
    </row>
    <row r="517" ht="94" customHeight="1">
      <c r="A517" s="15" t="inlineStr">
        <is>
          <t>PERSON-516</t>
        </is>
      </c>
      <c r="B517" s="5" t="inlineStr">
        <is>
          <t>Tanvir Ahmed</t>
        </is>
      </c>
      <c r="C517" s="5" t="inlineStr">
        <is>
          <t>Director</t>
        </is>
      </c>
      <c r="D517" s="18" t="n"/>
      <c r="E517" s="18" t="n"/>
      <c r="F517" s="5" t="n"/>
      <c r="G517" s="5" t="inlineStr">
        <is>
          <t>Hindi cinema</t>
        </is>
      </c>
      <c r="H517" s="5" t="inlineStr">
        <is>
          <t>A director credited on one film in this filmography, with no Wikipedia article of his own. The documented Tanvir Ahmed is a Pakistani cricketer and a different person.</t>
        </is>
      </c>
      <c r="I517" s="5" t="n"/>
      <c r="J517" s="5" t="inlineStr">
        <is>
          <t>With Kapoor: Akarshan (1988).</t>
        </is>
      </c>
      <c r="K517" s="19" t="inlineStr">
        <is>
          <t>Not documented.</t>
        </is>
      </c>
      <c r="L517" s="19" t="inlineStr">
        <is>
          <t>Not documented.</t>
        </is>
      </c>
      <c r="M517" s="5" t="n"/>
      <c r="N517" s="19" t="inlineStr">
        <is>
          <t>Not independently documented.</t>
        </is>
      </c>
      <c r="O517" s="19" t="inlineStr">
        <is>
          <t>One film: Akarshan (1988), a romance about an actress who falls for the co-star who saves her during a stunt and then nurses him after he is paralysed, in which Kapoor appears as himself alongside Amitabh Bachchan and other industry figures.</t>
        </is>
      </c>
      <c r="P517" s="17" t="n">
        <v>1</v>
      </c>
      <c r="Q517" s="5" t="inlineStr">
        <is>
          <t>FILM-066</t>
        </is>
      </c>
      <c r="R517" s="5" t="inlineStr">
        <is>
          <t>Akarshan (1988)</t>
        </is>
      </c>
      <c r="S517" s="5" t="inlineStr">
        <is>
          <t>Tanvir Ahmed directed Akarshan (1988) and has no locatable Wikipedia article; the cricketer of that name is unrelated. The film is the third of four in which Kapoor appears as himself, and the pattern they form is consistent: all four are films about the film industry, and all four use him as a recognisable fixture of it rather than as a character. In 1988 he was thirty-six, still leading films such as Ghar Ghar Ki Kahani, and already a figure the industry could cast as its own furniture. This row is built from the film's credits alone.</t>
        </is>
      </c>
      <c r="T517" s="5" t="inlineStr">
        <is>
          <t>SOURCE-063</t>
        </is>
      </c>
      <c r="U517" s="5" t="inlineStr">
        <is>
          <t>Low</t>
        </is>
      </c>
    </row>
    <row r="518" ht="94" customHeight="1">
      <c r="A518" s="15" t="inlineStr">
        <is>
          <t>PERSON-517</t>
        </is>
      </c>
      <c r="B518" s="5" t="inlineStr">
        <is>
          <t>Thara</t>
        </is>
      </c>
      <c r="C518" s="5" t="inlineStr">
        <is>
          <t>Song composer</t>
        </is>
      </c>
      <c r="D518" s="18" t="n"/>
      <c r="E518" s="18" t="n"/>
      <c r="F518" s="5" t="n"/>
      <c r="G518" s="5" t="inlineStr">
        <is>
          <t>English-language Indian cinema</t>
        </is>
      </c>
      <c r="H518" s="5" t="inlineStr">
        <is>
          <t>A song composer credited on one film in this filmography. No Wikipedia article exists under this name; the base title is a disambiguation page listing unrelated subjects.</t>
        </is>
      </c>
      <c r="I518" s="5" t="n"/>
      <c r="J518" s="5" t="inlineStr">
        <is>
          <t>With Kapoor: Sambar Salsa (2007).</t>
        </is>
      </c>
      <c r="K518" s="19" t="inlineStr">
        <is>
          <t>Not documented.</t>
        </is>
      </c>
      <c r="L518" s="19" t="inlineStr">
        <is>
          <t>Not documented.</t>
        </is>
      </c>
      <c r="M518" s="5" t="n"/>
      <c r="N518" s="19" t="inlineStr">
        <is>
          <t>Not independently documented.</t>
        </is>
      </c>
      <c r="O518" s="19" t="inlineStr">
        <is>
          <t>One film: Sambar Salsa (2007), Aditya Raj Kapoor's English-language film, in which Kapoor plays Om Suri, the father who disapproves of his son's love for a Spanish woman, having himself married in defiance of his own elders.</t>
        </is>
      </c>
      <c r="P518" s="17" t="n">
        <v>1</v>
      </c>
      <c r="Q518" s="5" t="inlineStr">
        <is>
          <t>FILM-124</t>
        </is>
      </c>
      <c r="R518" s="5" t="inlineStr">
        <is>
          <t>Sambar Salsa (2007)</t>
        </is>
      </c>
      <c r="S518" s="5" t="inlineStr">
        <is>
          <t>Thara is credited with the songs of Sambar Salsa (2007) and has no documented biography. The film is one of two English-language pictures Kapoor made that year for his first cousin Aditya Raj Kapoor, and the pair are the least documented entries in this workbook: no reviews of substance, no commercial data, and credits that cannot be traced to any documented person or company. The irony the film itself notes, a father forbidding the cross-cultural marriage he once made himself, is the only thing about it the sources support. This row is built from the film's credits alone.</t>
        </is>
      </c>
      <c r="T518" s="5" t="inlineStr">
        <is>
          <t>SOURCE-117</t>
        </is>
      </c>
      <c r="U518" s="5" t="inlineStr">
        <is>
          <t>Low</t>
        </is>
      </c>
    </row>
    <row r="519" ht="94" customHeight="1">
      <c r="A519" s="15" t="inlineStr">
        <is>
          <t>PERSON-518</t>
        </is>
      </c>
      <c r="B519" s="5" t="inlineStr">
        <is>
          <t>Tina Films International</t>
        </is>
      </c>
      <c r="C519" s="5" t="inlineStr">
        <is>
          <t>Production banner</t>
        </is>
      </c>
      <c r="D519" s="18" t="n"/>
      <c r="E519" s="18" t="n"/>
      <c r="F519" s="5" t="n"/>
      <c r="G519" s="5" t="inlineStr">
        <is>
          <t>Hindi cinema</t>
        </is>
      </c>
      <c r="H519" s="5" t="inlineStr">
        <is>
          <t>A production banner credited on one film in this filmography, with no Wikipedia article of its own.</t>
        </is>
      </c>
      <c r="I519" s="5" t="n"/>
      <c r="J519" s="5" t="inlineStr">
        <is>
          <t>With Kapoor: Gharana (1989).</t>
        </is>
      </c>
      <c r="K519" s="19" t="inlineStr">
        <is>
          <t>Not documented.</t>
        </is>
      </c>
      <c r="L519" s="19" t="inlineStr">
        <is>
          <t>Not documented.</t>
        </is>
      </c>
      <c r="M519" s="5" t="n"/>
      <c r="N519" s="19" t="inlineStr">
        <is>
          <t>Not independently documented.</t>
        </is>
      </c>
      <c r="O519" s="19" t="inlineStr">
        <is>
          <t>One film: Gharana (1989), K. Ravi Shankar's drama, in which Kapoor plays Vijay, who takes work as a reporter after his father is framed and paralysed, and abandons Radha, the colleague he loves, because he cannot raise his sister's dowry.</t>
        </is>
      </c>
      <c r="P519" s="17" t="n">
        <v>1</v>
      </c>
      <c r="Q519" s="5" t="inlineStr">
        <is>
          <t>FILM-068</t>
        </is>
      </c>
      <c r="R519" s="5" t="inlineStr">
        <is>
          <t>Gharana (1989)</t>
        </is>
      </c>
      <c r="S519" s="5" t="inlineStr">
        <is>
          <t>Tina Films International is credited on Gharana (1989) and has no documented history. The film is a good example of the economic plotting of Kapoor's late-1980s romances: the obstacle is a dowry he cannot pay, and he renounces the woman rather than being parted from her by a villain. Across the whole filmography the opposition is external in this way far more often than it is interpersonal, and in these years it is specifically financial, which is a measurable shift from the family-honour plots of the early 1980s. This row is built from the film's credits alone.</t>
        </is>
      </c>
      <c r="T519" s="5" t="inlineStr">
        <is>
          <t>SOURCE-069</t>
        </is>
      </c>
      <c r="U519" s="5" t="inlineStr">
        <is>
          <t>Low</t>
        </is>
      </c>
    </row>
    <row r="520" ht="109" customHeight="1">
      <c r="A520" s="15" t="inlineStr">
        <is>
          <t>PERSON-519</t>
        </is>
      </c>
      <c r="B520" s="5" t="inlineStr">
        <is>
          <t>Tinu International Films</t>
        </is>
      </c>
      <c r="C520" s="5" t="inlineStr">
        <is>
          <t>Production banner</t>
        </is>
      </c>
      <c r="D520" s="18" t="n"/>
      <c r="E520" s="18" t="n"/>
      <c r="F520" s="5" t="n"/>
      <c r="G520" s="5" t="inlineStr">
        <is>
          <t>Hindi cinema</t>
        </is>
      </c>
      <c r="H520" s="5" t="inlineStr">
        <is>
          <t>A production banner credited on one film in this filmography, with no Wikipedia article of its own.</t>
        </is>
      </c>
      <c r="I520" s="5" t="n"/>
      <c r="J520" s="5" t="inlineStr">
        <is>
          <t>With Kapoor: Sindoor (1987).</t>
        </is>
      </c>
      <c r="K520" s="19" t="inlineStr">
        <is>
          <t>Not documented.</t>
        </is>
      </c>
      <c r="L520" s="19" t="inlineStr">
        <is>
          <t>Not documented.</t>
        </is>
      </c>
      <c r="M520" s="5" t="n"/>
      <c r="N520" s="19" t="inlineStr">
        <is>
          <t>Not independently documented.</t>
        </is>
      </c>
      <c r="O520" s="19" t="inlineStr">
        <is>
          <t>One film: Sindoor (1987), K. Ravi Shankar's drama, in which Kapoor plays Kumar, the singer whose celebrated performing partnership with Laxmi gives rise to the misconception that makes her husband drive her from the house. He is the suspected lover rather than an actual one.</t>
        </is>
      </c>
      <c r="P520" s="17" t="n">
        <v>1</v>
      </c>
      <c r="Q520" s="5" t="inlineStr">
        <is>
          <t>FILM-061</t>
        </is>
      </c>
      <c r="R520" s="5" t="inlineStr">
        <is>
          <t>Sindoor (1987)</t>
        </is>
      </c>
      <c r="S520" s="5" t="inlineStr">
        <is>
          <t>Tinu International Films is credited on Sindoor (1987) and has no documented history. Kapoor's part is a cameo with an unusual function: he is the imagined rival, the man whose innocent partnership with the heroine supplies her husband's jealousy. In a filmography where he is almost always the romantic subject, being cast as the suspicion itself is a rarity, and the Films sheet records the film's romance presence as none for him while the plot turns entirely on the appearance of one. This row is built from the film's credits alone.</t>
        </is>
      </c>
      <c r="T520" s="5" t="inlineStr">
        <is>
          <t>SOURCE-060</t>
        </is>
      </c>
      <c r="U520" s="5" t="inlineStr">
        <is>
          <t>Low</t>
        </is>
      </c>
    </row>
    <row r="521" ht="109" customHeight="1">
      <c r="A521" s="15" t="inlineStr">
        <is>
          <t>PERSON-520</t>
        </is>
      </c>
      <c r="B521" s="5" t="inlineStr">
        <is>
          <t>Tirupati Pictures Enterprises</t>
        </is>
      </c>
      <c r="C521" s="5" t="inlineStr">
        <is>
          <t>Production banner</t>
        </is>
      </c>
      <c r="D521" s="18" t="n"/>
      <c r="E521" s="18" t="n"/>
      <c r="F521" s="5" t="n"/>
      <c r="G521" s="5" t="inlineStr">
        <is>
          <t>Hindi cinema</t>
        </is>
      </c>
      <c r="H521" s="5" t="inlineStr">
        <is>
          <t>A production banner credited on one film in this filmography, with no Wikipedia article of its own.</t>
        </is>
      </c>
      <c r="I521" s="5" t="n"/>
      <c r="J521" s="5" t="inlineStr">
        <is>
          <t>With Kapoor: Deedar-E-Yaar (1982).</t>
        </is>
      </c>
      <c r="K521" s="19" t="inlineStr">
        <is>
          <t>Not documented.</t>
        </is>
      </c>
      <c r="L521" s="19" t="inlineStr">
        <is>
          <t>Not documented.</t>
        </is>
      </c>
      <c r="M521" s="5" t="n"/>
      <c r="N521" s="19" t="inlineStr">
        <is>
          <t>Not independently documented.</t>
        </is>
      </c>
      <c r="O521" s="19" t="inlineStr">
        <is>
          <t>One film: Deedar-E-Yaar (1982), H. S. Rawail's romance, in which Kapoor plays Javed, who enters Firdous's house disguised as a servant to win her and is told by her father that his family makes the marriage impossible, after which his friend Akhtar intervenes.</t>
        </is>
      </c>
      <c r="P521" s="17" t="n">
        <v>1</v>
      </c>
      <c r="Q521" s="5" t="inlineStr">
        <is>
          <t>FILM-038</t>
        </is>
      </c>
      <c r="R521" s="5" t="inlineStr">
        <is>
          <t>Deedar-E-Yaar (1982)</t>
        </is>
      </c>
      <c r="S521" s="5" t="inlineStr">
        <is>
          <t>Tirupati Pictures Enterprises is credited on Deedar-E-Yaar (1982) and has no documented history. The film was an expensive failure and the second of Rawail's two with Kapoor, repeating the Laila Majnu formula of absolute love broken by lineage. 1982 is the year of his widest spread: Prem Rog for his father, Deedar-E-Yaar for Rawail, Yeh Vaada Raha for Kapil Kapoor, and the first of the films in which the romantic hero was already being written as a victim of his family rather than a suitor. This row is built from the film's credits alone.</t>
        </is>
      </c>
      <c r="T521" s="5" t="inlineStr">
        <is>
          <t>SOURCE-038</t>
        </is>
      </c>
      <c r="U521" s="5" t="inlineStr">
        <is>
          <t>Low</t>
        </is>
      </c>
    </row>
    <row r="522" ht="79" customHeight="1">
      <c r="A522" s="15" t="inlineStr">
        <is>
          <t>PERSON-521</t>
        </is>
      </c>
      <c r="B522" s="5" t="inlineStr">
        <is>
          <t>Treetop Entertainment</t>
        </is>
      </c>
      <c r="C522" s="5" t="inlineStr">
        <is>
          <t>Production banner</t>
        </is>
      </c>
      <c r="D522" s="18" t="n"/>
      <c r="E522" s="18" t="n"/>
      <c r="F522" s="5" t="n"/>
      <c r="G522" s="5" t="inlineStr">
        <is>
          <t>Hindi cinema</t>
        </is>
      </c>
      <c r="H522" s="5" t="inlineStr">
        <is>
          <t>A production banner credited on one film in this filmography, with no Wikipedia article of its own.</t>
        </is>
      </c>
      <c r="I522" s="5" t="n"/>
      <c r="J522" s="5" t="inlineStr">
        <is>
          <t>With Kapoor: 102 Not Out (2018).</t>
        </is>
      </c>
      <c r="K522" s="19" t="inlineStr">
        <is>
          <t>Not documented.</t>
        </is>
      </c>
      <c r="L522" s="19" t="inlineStr">
        <is>
          <t>Not documented.</t>
        </is>
      </c>
      <c r="M522" s="5" t="n"/>
      <c r="N522" s="19" t="inlineStr">
        <is>
          <t>Not independently documented.</t>
        </is>
      </c>
      <c r="O522" s="19" t="inlineStr">
        <is>
          <t>One film: 102 Not Out (2018), Umesh Shukla's comedy drama, in which Kapoor plays Babulal, a man of seventy-five convinced he is too frail for anything, opposed by his 102-year-old father.</t>
        </is>
      </c>
      <c r="P522" s="17" t="n">
        <v>1</v>
      </c>
      <c r="Q522" s="5" t="inlineStr">
        <is>
          <t>FILM-154</t>
        </is>
      </c>
      <c r="R522" s="5" t="inlineStr">
        <is>
          <t>102 Not Out (2018)</t>
        </is>
      </c>
      <c r="S522" s="5" t="inlineStr">
        <is>
          <t>Treetop Entertainment is credited on 102 Not Out (2018) and has no documented history. The film is Kapoor's last completed lead and his final appearance with Amitabh Bachchan, a partnership that began with Kabhi Kabhie in 1976 and ran through Amar Akbar Anthony, Naseeb and Ajooba. The two had always played contemporaries; here they play father and son, with Bachchan the parent, and the film's comedy depends on the audience knowing how long they have been on screen together. This row is built from the film's credits alone.</t>
        </is>
      </c>
      <c r="T522" s="5" t="inlineStr">
        <is>
          <t>SOURCE-146</t>
        </is>
      </c>
      <c r="U522" s="5" t="inlineStr">
        <is>
          <t>Low</t>
        </is>
      </c>
    </row>
    <row r="523" ht="124" customHeight="1">
      <c r="A523" s="15" t="inlineStr">
        <is>
          <t>PERSON-522</t>
        </is>
      </c>
      <c r="B523" s="5" t="inlineStr">
        <is>
          <t>Tushar Hiranandani</t>
        </is>
      </c>
      <c r="C523" s="5" t="inlineStr">
        <is>
          <t>Writer</t>
        </is>
      </c>
      <c r="D523" s="17" t="n">
        <v>1975</v>
      </c>
      <c r="E523" s="18" t="n"/>
      <c r="F523" s="5" t="n"/>
      <c r="G523" s="5" t="inlineStr">
        <is>
          <t>Hindi cinema; Indian streaming</t>
        </is>
      </c>
      <c r="H523" s="5" t="inlineStr">
        <is>
          <t>Tushar Hiranandani is an Indian screenwriter and director, born in Mumbai in 1975 into a film distribution family: his grandfather Hiranand and father Ashok Hiranandani ran the Black and White distribution company. He began as a clapper boy on Mann (1999), wrote comedies with Milap Zaveri, and is head of content development at Balaji Motion Pictures.</t>
        </is>
      </c>
      <c r="I523" s="5" t="inlineStr">
        <is>
          <t>His first film as writer was Masti (2004), directed by Indra Kumar; his directorial debut was Saand Ki Aankh (2019).</t>
        </is>
      </c>
      <c r="J523" s="5" t="inlineStr">
        <is>
          <t>With Kapoor: Housefull 2 (2012). Elsewhere, Masti, Atithi Tum Kab Jaoge?, ABCD, Ek Villain, Main Tera Hero, Dishoom, Half Girlfriend, and as director Saand Ki Aankh, Scam 2003 and Srikanth.</t>
        </is>
      </c>
      <c r="K523" s="19" t="inlineStr">
        <is>
          <t>Broad comedy and multi-star farce as a writer; biographical underdog stories as a director.</t>
        </is>
      </c>
      <c r="L523" s="19" t="inlineStr">
        <is>
          <t>A franchise writer who moved into directing socially minded biopics, a sharp change of register.</t>
        </is>
      </c>
      <c r="M523" s="5" t="n"/>
      <c r="N523" s="19" t="inlineStr">
        <is>
          <t>A principal writer of the 2000s and 2010s mainstream comedy cycle.</t>
        </is>
      </c>
      <c r="O523" s="19" t="inlineStr">
        <is>
          <t>One film: Housefull 2 (2012), in which Kapoor plays Chintu Kapoor, one of two feuding half-brothers each trying to marry a daughter to money. Hiranandani is one of four credited writing entities on the film.</t>
        </is>
      </c>
      <c r="P523" s="17" t="n">
        <v>1</v>
      </c>
      <c r="Q523" s="5" t="inlineStr">
        <is>
          <t>FILM-138</t>
        </is>
      </c>
      <c r="R523" s="5" t="inlineStr">
        <is>
          <t>Housefull 2 (2012)</t>
        </is>
      </c>
      <c r="S523" s="5" t="inlineStr">
        <is>
          <t>Tushar Hiranandani co-wrote Housefull 2, Rishi Kapoor's broadest late comedy. Born in Mumbai in 1975 into a distribution family, he started as a clapper boy on Mann, broke through with Masti in 2004 and became one of the most-used comedy writers of his generation, on ABCD, Ek Villain, Main Tera Hero and Half Girlfriend, while heading content development at Balaji Motion Pictures. He later directed Saand Ki Aankh and Srikanth, which have nothing in common with the farces that made him. Housefull 2 required Kapoor to play a cartoon of a patriarch, with Randhir Kapoor among the other fathers, in a film whose plot is a machine for mistaken parentage. He did it in the same year as Agneepath, and the juxtaposition is the most accurate single picture of how he worked after 2008.</t>
        </is>
      </c>
      <c r="T523" s="5" t="inlineStr">
        <is>
          <t>SOURCE-130; SOURCE-413</t>
        </is>
      </c>
      <c r="U523" s="5" t="inlineStr">
        <is>
          <t>High</t>
        </is>
      </c>
    </row>
    <row r="524" ht="169" customHeight="1">
      <c r="A524" s="15" t="inlineStr">
        <is>
          <t>PERSON-523</t>
        </is>
      </c>
      <c r="B524" s="5" t="inlineStr">
        <is>
          <t>Twinkle Khanna</t>
        </is>
      </c>
      <c r="C524" s="5" t="inlineStr">
        <is>
          <t>Producer</t>
        </is>
      </c>
      <c r="D524" s="17" t="n">
        <v>1973</v>
      </c>
      <c r="E524" s="18" t="n"/>
      <c r="F524" s="5" t="n"/>
      <c r="G524" s="5" t="inlineStr">
        <is>
          <t>Hindi cinema; Indian publishing</t>
        </is>
      </c>
      <c r="H524" s="5" t="inlineStr">
        <is>
          <t>Twinkle Khanna is an Indian author, columnist and former actress, the daughter of the actors Dimple Kapadia and Rajesh Khanna. She acted in Hindi films from 1995 to 2001, then worked as an interior designer and newspaper columnist, published five books from Mrs Funnybones (2015) onwards, founded the digital platform Tweak India in 2019 and took a master's in fiction writing from Goldsmiths. She is married to Akshay Kumar.</t>
        </is>
      </c>
      <c r="I524" s="5" t="inlineStr">
        <is>
          <t>Acting debut in Barsaat (1995), which won her the Filmfare Award for Best Female Debut.</t>
        </is>
      </c>
      <c r="J524" s="5" t="inlineStr">
        <is>
          <t>With Kapoor: Patiala House (2011), as producer. Elsewhere, as an actress, Jab Pyaar Kisise Hota Hai, Baadshah and Love Ke Liye Kuch Bhi Karega; as a writer, Mrs Funnybones and Pyjamas Are Forgiving.</t>
        </is>
      </c>
      <c r="K524" s="19" t="inlineStr">
        <is>
          <t>As an author, domestic comedy and women's lives; as a producer, vehicles for her husband.</t>
        </is>
      </c>
      <c r="L524" s="19" t="inlineStr">
        <is>
          <t>A producer by family arrangement rather than by craft background, whose own reputation now rests on writing.</t>
        </is>
      </c>
      <c r="M524" s="5" t="inlineStr">
        <is>
          <t>Filmfare Award for Best Female Debut for Barsaat (1995).</t>
        </is>
      </c>
      <c r="N524" s="19" t="inlineStr">
        <is>
          <t>Less a film figure than a writer and columnist, and a connecting point between three film families.</t>
        </is>
      </c>
      <c r="O524" s="19" t="inlineStr">
        <is>
          <t>One film: Patiala House (2011), which she produced, in which Kapoor plays Gurtej Singh Kahlon, called Bauji, a Southall patriarch who forbade his gifted son from bowling for England and once threatened suicide to stop him. The family link runs deeper than the credit: her mother Dimple Kapadia made her debut opposite Kapoor in Bobby (1973) and returned to play his lover in Saagar (1985), and her father Rajesh Khanna was billed above him in Zamana and Ghar Parivar.</t>
        </is>
      </c>
      <c r="P524" s="17" t="n">
        <v>1</v>
      </c>
      <c r="Q524" s="5" t="inlineStr">
        <is>
          <t>FILM-135</t>
        </is>
      </c>
      <c r="R524" s="5" t="inlineStr">
        <is>
          <t>Patiala House (2011)</t>
        </is>
      </c>
      <c r="S524" s="5" t="inlineStr">
        <is>
          <t>Twinkle Khanna produced Patiala House, in which Rishi Kapoor plays the father who destroyed his son's cricket career. Born in 1973 to Dimple Kapadia and Rajesh Khanna, she won the Filmfare debut award for Barsaat in 1995, left acting in 2001, and built a second career as a columnist and author of five books, founding Tweak India in 2019. The credit sits inside a dense family history: her mother was the sixteen-year-old opposite Kapoor in Bobby, the film that made them both, and returned twelve years later in Saagar; her father spent the mid-1980s billed above him. Here her production company gives him one of the best written parts of his late career, a man whose authority has been exercised as damage, in the same year as the disposable Tell Me O Kkhuda.</t>
        </is>
      </c>
      <c r="T524" s="5" t="inlineStr">
        <is>
          <t>SOURCE-127; SOURCE-414</t>
        </is>
      </c>
      <c r="U524" s="5" t="inlineStr">
        <is>
          <t>High</t>
        </is>
      </c>
    </row>
    <row r="525" ht="94" customHeight="1">
      <c r="A525" s="15" t="inlineStr">
        <is>
          <t>PERSON-524</t>
        </is>
      </c>
      <c r="B525" s="5" t="inlineStr">
        <is>
          <t>Ulka Puri</t>
        </is>
      </c>
      <c r="C525" s="5" t="inlineStr">
        <is>
          <t>Writer</t>
        </is>
      </c>
      <c r="D525" s="18" t="n"/>
      <c r="E525" s="18" t="n"/>
      <c r="F525" s="5" t="n"/>
      <c r="G525" s="5" t="inlineStr">
        <is>
          <t>Hindi cinema</t>
        </is>
      </c>
      <c r="H525" s="5" t="inlineStr">
        <is>
          <t>A writer credited on one film in this filmography, with no Wikipedia article of her own.</t>
        </is>
      </c>
      <c r="I525" s="5" t="n"/>
      <c r="J525" s="5" t="inlineStr">
        <is>
          <t>With Kapoor: Tell Me O Kkhuda (2011).</t>
        </is>
      </c>
      <c r="K525" s="19" t="inlineStr">
        <is>
          <t>Not documented.</t>
        </is>
      </c>
      <c r="L525" s="19" t="inlineStr">
        <is>
          <t>Not documented.</t>
        </is>
      </c>
      <c r="M525" s="5" t="n"/>
      <c r="N525" s="19" t="inlineStr">
        <is>
          <t>Not independently documented.</t>
        </is>
      </c>
      <c r="O525" s="19" t="inlineStr">
        <is>
          <t>One film: Tell Me O Kkhuda (2011), Hema Malini's film, in which Kapoor plays Altaf Zardari, the second of the men a young woman visits while searching for her biological father, living peacefully in Turkey with a wife who has no memory of losing a child.</t>
        </is>
      </c>
      <c r="P525" s="17" t="n">
        <v>1</v>
      </c>
      <c r="Q525" s="5" t="inlineStr">
        <is>
          <t>FILM-136</t>
        </is>
      </c>
      <c r="R525" s="5" t="inlineStr">
        <is>
          <t>Tell Me O Kkhuda (2011)</t>
        </is>
      </c>
      <c r="S525" s="5" t="inlineStr">
        <is>
          <t>Ulka Puri is credited as a writer on Tell Me O Kkhuda (2011) and has no documented biography. The film was Hema Malini's third as director, built around her daughter Esha Deol, and it failed completely. Kapoor's part is one of three candidate fathers, a plot station rather than a character, and it came in the same year as Patiala House, where the patriarch is written with real force. The pairing is a reminder that his late revival supplied better opportunities without displacing the routine ones. This row is built from the film's credits alone.</t>
        </is>
      </c>
      <c r="T525" s="5" t="inlineStr">
        <is>
          <t>SOURCE-128</t>
        </is>
      </c>
      <c r="U525" s="5" t="inlineStr">
        <is>
          <t>Low</t>
        </is>
      </c>
    </row>
    <row r="526" ht="124" customHeight="1">
      <c r="A526" s="15" t="inlineStr">
        <is>
          <t>PERSON-525</t>
        </is>
      </c>
      <c r="B526" s="5" t="inlineStr">
        <is>
          <t>Umesh Kalbagh</t>
        </is>
      </c>
      <c r="C526" s="5" t="inlineStr">
        <is>
          <t>Writer</t>
        </is>
      </c>
      <c r="D526" s="18" t="n"/>
      <c r="E526" s="18" t="n"/>
      <c r="F526" s="5" t="n"/>
      <c r="G526" s="5" t="inlineStr">
        <is>
          <t>Hindi cinema</t>
        </is>
      </c>
      <c r="H526" s="5" t="inlineStr">
        <is>
          <t>A writer credited on one film in this filmography, with no Wikipedia article of his own.</t>
        </is>
      </c>
      <c r="I526" s="5" t="n"/>
      <c r="J526" s="5" t="inlineStr">
        <is>
          <t>With Kapoor: Chandni (1989).</t>
        </is>
      </c>
      <c r="K526" s="19" t="inlineStr">
        <is>
          <t>Not documented.</t>
        </is>
      </c>
      <c r="L526" s="19" t="inlineStr">
        <is>
          <t>Not documented.</t>
        </is>
      </c>
      <c r="M526" s="5" t="n"/>
      <c r="N526" s="19" t="inlineStr">
        <is>
          <t>Not independently documented.</t>
        </is>
      </c>
      <c r="O526" s="19" t="inlineStr">
        <is>
          <t>One film, and one of the most important in the filmography: Chandni (1989), Yash Chopra's musical romance, in which Kapoor plays Rohit, who courts Chandni until she accepts him, is paralysed down one side after crashing a helicopter while showering her with rose petals, and then releases her as his family turns on her.</t>
        </is>
      </c>
      <c r="P526" s="17" t="n">
        <v>1</v>
      </c>
      <c r="Q526" s="5" t="inlineStr">
        <is>
          <t>FILM-074</t>
        </is>
      </c>
      <c r="R526" s="5" t="inlineStr">
        <is>
          <t>Chandni (1989)</t>
        </is>
      </c>
      <c r="S526" s="5" t="inlineStr">
        <is>
          <t>Umesh Kalbagh is credited as a writer on Chandni (1989) and has no documented biography, which is a notable gap given the film's standing. Chandni was Yash Chopra's return to romance after a decade of action, revived the Hindi musical romance for the 1990s, and gave Kapoor his last great romantic role at thirty-seven. Its structure is the filmography's signature taken to an extreme: the lovers never quarrel, and everything that happens to them, the accident, the family's cruelty, the separation, comes from outside. The helicopter sequence that cripples Rohit is the literal image of that pattern, courtship itself becoming the catastrophe. This row is built from the film's credits alone.</t>
        </is>
      </c>
      <c r="T526" s="5" t="inlineStr">
        <is>
          <t>SOURCE-067</t>
        </is>
      </c>
      <c r="U526" s="5" t="inlineStr">
        <is>
          <t>Low</t>
        </is>
      </c>
    </row>
    <row r="527" ht="124" customHeight="1">
      <c r="A527" s="15" t="inlineStr">
        <is>
          <t>PERSON-526</t>
        </is>
      </c>
      <c r="B527" s="5" t="inlineStr">
        <is>
          <t>Usha Khanna</t>
        </is>
      </c>
      <c r="C527" s="5" t="inlineStr">
        <is>
          <t>Song composer</t>
        </is>
      </c>
      <c r="D527" s="17" t="n">
        <v>1941</v>
      </c>
      <c r="E527" s="18" t="n"/>
      <c r="F527" s="5" t="inlineStr">
        <is>
          <t>1959–1990s</t>
        </is>
      </c>
      <c r="G527" s="5" t="inlineStr">
        <is>
          <t>Hindi cinema</t>
        </is>
      </c>
      <c r="H527" s="5" t="inlineStr">
        <is>
          <t>Usha Khanna is an Indian music director in Hindi cinema and the third woman to work as one, after Jaddan Bai and Saraswati Devi. Born in Gwalior in 1941 to the lyricist and singer Manohar Khanna, she debuted at eighteen and remained active for more than three decades, among the commercially most successful composers in a field almost entirely male.</t>
        </is>
      </c>
      <c r="I527" s="5" t="inlineStr">
        <is>
          <t>Dil Deke Dekho (1959), at the age of eighteen.</t>
        </is>
      </c>
      <c r="J527" s="5" t="inlineStr">
        <is>
          <t>With Kapoor: Zamana (1985). Elsewhere, Shabnam, Hum Hindustani, Souten (1983) and Aap To Aise Na The.</t>
        </is>
      </c>
      <c r="K527" s="19" t="inlineStr">
        <is>
          <t>Melodic romantic songs in the mainstream idiom of the 1960s to 1980s.</t>
        </is>
      </c>
      <c r="L527" s="19" t="inlineStr">
        <is>
          <t>A conventional melodist of her period, writing for the playback voices of successive generations.</t>
        </is>
      </c>
      <c r="M527" s="5" t="inlineStr">
        <is>
          <t>Filmfare Best Music Director nomination for Souten (1983).</t>
        </is>
      </c>
      <c r="N527" s="19" t="inlineStr">
        <is>
          <t>The only woman to sustain a long career as a Hindi film music director, across more than thirty years.</t>
        </is>
      </c>
      <c r="O527" s="19" t="inlineStr">
        <is>
          <t>One film: Zamana (1985), Ramesh Talwar's drama written by Salim Khan and Javed Akhtar, in which Kapoor plays Ravi, the criminal brother to Rajesh Khanna's police inspector, with both men in love with the same woman.</t>
        </is>
      </c>
      <c r="P527" s="17" t="n">
        <v>1</v>
      </c>
      <c r="Q527" s="5" t="inlineStr">
        <is>
          <t>FILM-046</t>
        </is>
      </c>
      <c r="R527" s="5" t="inlineStr">
        <is>
          <t>Zamana (1985)</t>
        </is>
      </c>
      <c r="S527" s="5" t="inlineStr">
        <is>
          <t>Usha Khanna composed the songs for Zamana (1985), her only film in this workbook. Born in Gwalior in 1941 to the lyricist Manohar Khanna, she became the third woman music director in Hindi cinema at eighteen with Dil Deke Dekho and sustained the longest such career by far, through Shabnam, Aap To Aise Na The and Souten, for which she was nominated for the Filmfare award in 1983. The scarcity is the point: of the hundreds of composer credits across Rishi Kapoor's 160 films, one belongs to a woman. His career was scored overwhelmingly by R. D. Burman and Laxmikant-Pyarelal, and the structures of the industry that produced that concentration are the same ones that left Khanna, by some distance the most successful woman in her field, with a single appearance here.</t>
        </is>
      </c>
      <c r="T527" s="5" t="inlineStr">
        <is>
          <t>SOURCE-045; SOURCE-415</t>
        </is>
      </c>
      <c r="U527" s="5" t="inlineStr">
        <is>
          <t>High</t>
        </is>
      </c>
    </row>
    <row r="528" ht="109" customHeight="1">
      <c r="A528" s="15" t="inlineStr">
        <is>
          <t>PERSON-527</t>
        </is>
      </c>
      <c r="B528" s="5" t="inlineStr">
        <is>
          <t>Uttank Vora</t>
        </is>
      </c>
      <c r="C528" s="5" t="inlineStr">
        <is>
          <t>Song composer</t>
        </is>
      </c>
      <c r="D528" s="17" t="n">
        <v>1968</v>
      </c>
      <c r="E528" s="18" t="n"/>
      <c r="F528" s="5" t="n"/>
      <c r="G528" s="5" t="inlineStr">
        <is>
          <t>Hindi and Gujarati film, television and theatre</t>
        </is>
      </c>
      <c r="H528" s="5" t="inlineStr">
        <is>
          <t>Uttank Vora is an Indian music director and composer for film, television and theatre, born in Mumbai in 1968 into a Gujarati musical family as the youngest son of Pt. Vinayakrai Vora, the classical musician who popularised the tar-shehnai as a solo instrument. He began in Gujarati musical theatre.</t>
        </is>
      </c>
      <c r="I528" s="5" t="inlineStr">
        <is>
          <t>His cinema career began with Ashutosh Gowariker's Pehla Nasha (1993).</t>
        </is>
      </c>
      <c r="J528" s="5" t="inlineStr">
        <is>
          <t>With Kapoor: Patel Ki Punjabi Shaadi (2017). Elsewhere, the television serials Meerabai (1997), Khichdi (2002), Sarabhai vs Sarabhai (2004) and Baa Bahoo Aur Baby (2005).</t>
        </is>
      </c>
      <c r="K528" s="19" t="inlineStr">
        <is>
          <t>Comic television scoring and Gujarati theatre music.</t>
        </is>
      </c>
      <c r="L528" s="19" t="inlineStr">
        <is>
          <t>A composer formed by classical training and the demands of weekly television; he scored Sarabhai vs Sarabhai Take 2 with his son.</t>
        </is>
      </c>
      <c r="M528" s="5" t="n"/>
      <c r="N528" s="19" t="inlineStr">
        <is>
          <t>Composer of the themes of several of the best-known Indian television comedies.</t>
        </is>
      </c>
      <c r="O528" s="19" t="inlineStr">
        <is>
          <t>One film: Patel Ki Punjabi Shaadi (2017), Sanjay Chhel's comedy, in which Kapoor plays Guggi Tandon, the Punjabi father facing a Gujarati one over their children's marriage.</t>
        </is>
      </c>
      <c r="P528" s="17" t="n">
        <v>1</v>
      </c>
      <c r="Q528" s="5" t="inlineStr">
        <is>
          <t>FILM-153</t>
        </is>
      </c>
      <c r="R528" s="5" t="inlineStr">
        <is>
          <t>Patel Ki Punjabi Shaadi (2017)</t>
        </is>
      </c>
      <c r="S528" s="5" t="inlineStr">
        <is>
          <t>Uttank Vora composed the songs for Patel Ki Punjabi Shaadi, one of Rishi Kapoor's last leads. Born in Mumbai in 1968 to the classical musician Pt. Vinayakrai Vora, he worked in Gujarati musical theatre, entered cinema with Ashutosh Gowariker's Pehla Nasha in 1993, and became best known for television, scoring Khichdi, Sarabhai vs Sarabhai and Baa Bahoo Aur Baby. His presence fits the film, a Punjabi-Gujarati community comedy written by a Gujarati playwright and scored by a Gujarati television composer. Kapoor is top-billed in a part built entirely on fatherhood, with the romance given to the younger cast, which is how his final leads are consistently constructed. The film did not succeed.</t>
        </is>
      </c>
      <c r="T528" s="5" t="inlineStr">
        <is>
          <t>SOURCE-145; SOURCE-416</t>
        </is>
      </c>
      <c r="U528" s="5" t="inlineStr">
        <is>
          <t>High</t>
        </is>
      </c>
    </row>
    <row r="529" ht="139" customHeight="1">
      <c r="A529" s="15" t="inlineStr">
        <is>
          <t>PERSON-528</t>
        </is>
      </c>
      <c r="B529" s="5" t="inlineStr">
        <is>
          <t>V. D. Kalra</t>
        </is>
      </c>
      <c r="C529" s="5" t="inlineStr">
        <is>
          <t>Producer</t>
        </is>
      </c>
      <c r="D529" s="17" t="n">
        <v>1936</v>
      </c>
      <c r="E529" s="18" t="n"/>
      <c r="F529" s="5" t="inlineStr">
        <is>
          <t>1962–1981</t>
        </is>
      </c>
      <c r="G529" s="5" t="inlineStr">
        <is>
          <t>Hindi cinema</t>
        </is>
      </c>
      <c r="H529" s="5" t="inlineStr">
        <is>
          <t>V. D. Kalra, also known as Vasudev Lal Kalra, was an Indian film producer. Born in Dera Ismail Khan in 1936, he came to Amritsar with his family during the 1947 partition, and he and his four brothers ran a transport goods company in Kanpur. A manager approached him in 1962 and he invested in his first film, Rut Rangili Aayi; he later left the industry and returned to the transport business.</t>
        </is>
      </c>
      <c r="I529" s="5" t="inlineStr">
        <is>
          <t>Rut Rangili Aayi, his first production, entered after a chance approach in 1962.</t>
        </is>
      </c>
      <c r="J529" s="5" t="inlineStr">
        <is>
          <t>With Kapoor: Salaam Memsaab (1979). Elsewhere, Rut Rangili Aayi.</t>
        </is>
      </c>
      <c r="K529" s="19" t="inlineStr">
        <is>
          <t>Not documented.</t>
        </is>
      </c>
      <c r="L529" s="19" t="inlineStr">
        <is>
          <t>Not documented; an outside investor rather than a career producer.</t>
        </is>
      </c>
      <c r="M529" s="5" t="n"/>
      <c r="N529" s="19" t="inlineStr">
        <is>
          <t>Not independently documented. His article is unreferenced, tagged for notability, and contradicts itself on his dates.</t>
        </is>
      </c>
      <c r="O529" s="19" t="inlineStr">
        <is>
          <t>One film: Salaam Memsaab (1979), Asrani's comedy drama about two street singers outside the Taj Mahal hotel, in which Kapoor makes a guest appearance alongside Sunil Dutt, with no character of consequence recorded in the cast list.</t>
        </is>
      </c>
      <c r="P529" s="17" t="n">
        <v>1</v>
      </c>
      <c r="Q529" s="5" t="inlineStr">
        <is>
          <t>FILM-024</t>
        </is>
      </c>
      <c r="R529" s="5" t="inlineStr">
        <is>
          <t>Salaam Memsaab (1979)</t>
        </is>
      </c>
      <c r="S529" s="5" t="inlineStr">
        <is>
          <t>V. D. Kalra produced Salaam Memsaab (1979), in which Rishi Kapoor makes a guest appearance. Born in Dera Ismail Khan in 1936 and displaced to Amritsar in 1947, Kalra ran a transport goods business in Kanpur with his brothers and entered film production in 1962 after a manager approached him, financing Rut Rangili Aayi; he later returned to the transport trade. His Wikipedia article is unreferenced, tagged for notability and internally inconsistent about when he died, giving 1981, 1995 and 1996 in different places, so the dates recorded here are deliberately partial. His one appearance in this filmography is a small film for Asrani, who had directed Kapoor's self-appearance in Chala Murari Hero Banne two years earlier.</t>
        </is>
      </c>
      <c r="T529" s="5" t="inlineStr">
        <is>
          <t>SOURCE-027; SOURCE-417</t>
        </is>
      </c>
      <c r="U529" s="5" t="inlineStr">
        <is>
          <t>Low</t>
        </is>
      </c>
    </row>
    <row r="530" ht="94" customHeight="1">
      <c r="A530" s="15" t="inlineStr">
        <is>
          <t>PERSON-529</t>
        </is>
      </c>
      <c r="B530" s="5" t="inlineStr">
        <is>
          <t>V.K.S. Films</t>
        </is>
      </c>
      <c r="C530" s="5" t="inlineStr">
        <is>
          <t>Production banner</t>
        </is>
      </c>
      <c r="D530" s="18" t="n"/>
      <c r="E530" s="18" t="n"/>
      <c r="F530" s="5" t="n"/>
      <c r="G530" s="5" t="inlineStr">
        <is>
          <t>Hindi cinema</t>
        </is>
      </c>
      <c r="H530" s="5" t="inlineStr">
        <is>
          <t>A production banner credited on one film in this filmography, with no Wikipedia article of its own.</t>
        </is>
      </c>
      <c r="I530" s="5" t="n"/>
      <c r="J530" s="5" t="inlineStr">
        <is>
          <t>With Kapoor: Ranbhoomi (1991).</t>
        </is>
      </c>
      <c r="K530" s="19" t="inlineStr">
        <is>
          <t>Not documented.</t>
        </is>
      </c>
      <c r="L530" s="19" t="inlineStr">
        <is>
          <t>Not documented.</t>
        </is>
      </c>
      <c r="M530" s="5" t="n"/>
      <c r="N530" s="19" t="inlineStr">
        <is>
          <t>Not independently documented.</t>
        </is>
      </c>
      <c r="O530" s="19" t="inlineStr">
        <is>
          <t>One film: Ranbhoomi (1991), Deepak Sareen's action film, in which Kapoor plays Bholanath, who comes to the city with five hundred rupees, leaves the money with a prostitute for safekeeping, and attaches himself to the gangster Roopa as a housekeeper.</t>
        </is>
      </c>
      <c r="P530" s="17" t="n">
        <v>1</v>
      </c>
      <c r="Q530" s="5" t="inlineStr">
        <is>
          <t>FILM-082</t>
        </is>
      </c>
      <c r="R530" s="5" t="inlineStr">
        <is>
          <t>Ranbhoomi (1991)</t>
        </is>
      </c>
      <c r="S530" s="5" t="inlineStr">
        <is>
          <t>V.K.S. Films is credited on Ranbhoomi (1991) and has no documented history. The film places Kapoor second to Jackie Shroff's gangster in a role with almost no romantic content, which is where his co-lead parts had arrived by 1991. He had five releases that year, including Ajooba and Ghar Parivar, and in most of them he is support or half of a pair. The lover-boy readings for this period drop to their lowest point before the brief recovery of Bol Radha Bol and Deewana the following year. This row is built from the film's credits alone.</t>
        </is>
      </c>
      <c r="T530" s="5" t="inlineStr">
        <is>
          <t>SOURCE-077</t>
        </is>
      </c>
      <c r="U530" s="5" t="inlineStr">
        <is>
          <t>Low</t>
        </is>
      </c>
    </row>
    <row r="531" ht="94" customHeight="1">
      <c r="A531" s="15" t="inlineStr">
        <is>
          <t>PERSON-530</t>
        </is>
      </c>
      <c r="B531" s="5" t="inlineStr">
        <is>
          <t>Vaibhav Suman</t>
        </is>
      </c>
      <c r="C531" s="5" t="inlineStr">
        <is>
          <t>Writer</t>
        </is>
      </c>
      <c r="D531" s="18" t="n"/>
      <c r="E531" s="18" t="n"/>
      <c r="F531" s="5" t="n"/>
      <c r="G531" s="5" t="inlineStr">
        <is>
          <t>Hindi cinema</t>
        </is>
      </c>
      <c r="H531" s="5" t="inlineStr">
        <is>
          <t>A writer credited on one film in this filmography, with no Wikipedia article of his own.</t>
        </is>
      </c>
      <c r="I531" s="5" t="n"/>
      <c r="J531" s="5" t="inlineStr">
        <is>
          <t>With Kapoor: Jhootha Kahin Ka (2019).</t>
        </is>
      </c>
      <c r="K531" s="19" t="inlineStr">
        <is>
          <t>Not documented.</t>
        </is>
      </c>
      <c r="L531" s="19" t="inlineStr">
        <is>
          <t>Not documented.</t>
        </is>
      </c>
      <c r="M531" s="5" t="n"/>
      <c r="N531" s="19" t="inlineStr">
        <is>
          <t>Not independently documented.</t>
        </is>
      </c>
      <c r="O531" s="19" t="inlineStr">
        <is>
          <t>One film: Jhootha Kahin Ka (2019), Smeep Kang's comedy, in which Kapoor plays Yograj Singh, a widowed father whose son has no job and no interest in the family farm.</t>
        </is>
      </c>
      <c r="P531" s="17" t="n">
        <v>1</v>
      </c>
      <c r="Q531" s="5" t="inlineStr">
        <is>
          <t>FILM-158</t>
        </is>
      </c>
      <c r="R531" s="5" t="inlineStr">
        <is>
          <t>Jhootha Kahin Ka (2019)</t>
        </is>
      </c>
      <c r="S531" s="5" t="inlineStr">
        <is>
          <t>Vaibhav Suman is credited as a writer on Jhootha Kahin Ka (2019) and has no documented biography. He is one of several writers on a film with an unusually crowded credit list, and the production is the least documented of Kapoor's final releases. Its interest here is chronological: released in July 2019, between his return from cancer treatment and The Body in December, it is part of the deliberate burst of work in his last two years, when he took four films after an eighteen-month absence. This row is built from the film's credits alone.</t>
        </is>
      </c>
      <c r="T531" s="5" t="inlineStr">
        <is>
          <t>SOURCE-150</t>
        </is>
      </c>
      <c r="U531" s="5" t="inlineStr">
        <is>
          <t>Low</t>
        </is>
      </c>
    </row>
    <row r="532" ht="124" customHeight="1">
      <c r="A532" s="15" t="inlineStr">
        <is>
          <t>PERSON-531</t>
        </is>
      </c>
      <c r="B532" s="5" t="inlineStr">
        <is>
          <t>Valentin Ezhov</t>
        </is>
      </c>
      <c r="C532" s="5" t="inlineStr">
        <is>
          <t>Writer</t>
        </is>
      </c>
      <c r="D532" s="17" t="n">
        <v>1921</v>
      </c>
      <c r="E532" s="17" t="n">
        <v>2004</v>
      </c>
      <c r="F532" s="5" t="n"/>
      <c r="G532" s="5" t="inlineStr">
        <is>
          <t>Soviet and Russian cinema</t>
        </is>
      </c>
      <c r="H532" s="5" t="inlineStr">
        <is>
          <t>Valentin Ivanovich Yezhov, credited on this film as Valentin Ezhov, was a Soviet and Russian screenwriter, playwright and professor at VGIK. He began working in cinema in 1953 and became one of the most prolific screenwriters in the Soviet Union, writing or co-writing more than fifty screenplays across almost every genre, including documentaries.</t>
        </is>
      </c>
      <c r="I532" s="5" t="inlineStr">
        <is>
          <t>Film work from 1953; international recognition with Ballad of a Soldier (1959).</t>
        </is>
      </c>
      <c r="J532" s="5" t="inlineStr">
        <is>
          <t>With Kapoor: Ajooba (1991). Elsewhere, Ballad of a Soldier (1959), co-written with Grigory Chukhray.</t>
        </is>
      </c>
      <c r="K532" s="19" t="inlineStr">
        <is>
          <t>War and its human cost, written from the experience of a veteran.</t>
        </is>
      </c>
      <c r="L532" s="19" t="inlineStr">
        <is>
          <t>A classically trained Soviet screenwriter and teacher, working in a tradition of structured literary scripting.</t>
        </is>
      </c>
      <c r="M532" s="5" t="inlineStr">
        <is>
          <t>For Ballad of a Soldier: the special jury prize at Cannes in 1960, the BAFTA Award for Best Film and the Bodil Award in 1961, and an Academy Award nomination.</t>
        </is>
      </c>
      <c r="N532" s="19" t="inlineStr">
        <is>
          <t>One of the central screenwriters of post-war Soviet cinema and a teacher of several generations at VGIK.</t>
        </is>
      </c>
      <c r="O532" s="19" t="inlineStr">
        <is>
          <t>One film: Ajooba (1991), the Indo-Soviet fantasy adventure directed by Shashi Kapoor with Gennady Vasilyev, in which Kapoor plays Hassan, friend and accomplice to Amitabh Bachchan's masked rider. Yezhov is one of two Soviet writers credited on the film, with Yu Avetikov.</t>
        </is>
      </c>
      <c r="P532" s="17" t="n">
        <v>1</v>
      </c>
      <c r="Q532" s="5" t="inlineStr">
        <is>
          <t>FILM-080</t>
        </is>
      </c>
      <c r="R532" s="5" t="inlineStr">
        <is>
          <t>Ajooba (1991)</t>
        </is>
      </c>
      <c r="S532" s="5" t="inlineStr">
        <is>
          <t>Valentin Yezhov co-wrote Ajooba, the Indo-Soviet co-production his uncle Shashi Kapoor directed. Born in 1921 and a veteran of the war, Yezhov entered cinema in 1953 and wrote more than fifty screenplays, the most celebrated being Ballad of a Soldier with Grigory Chukhray, which took the special jury prize at Cannes in 1960, the BAFTA for Best Film in 1961 and an Academy Award nomination; he taught for decades at VGIK. His presence on Ajooba is the most unexpected credit in this filmography, a serious Soviet screenwriter attached to an Arabian-nights adventure with flying carpets. The co-production was expensive, long-delayed and a comprehensive failure in India, and Rishi Kapoor's part in it is the hero's companion, with no romantic function at all.</t>
        </is>
      </c>
      <c r="T532" s="5" t="inlineStr">
        <is>
          <t>SOURCE-075; SOURCE-418</t>
        </is>
      </c>
      <c r="U532" s="5" t="inlineStr">
        <is>
          <t>High</t>
        </is>
      </c>
    </row>
    <row r="533" ht="79" customHeight="1">
      <c r="A533" s="15" t="inlineStr">
        <is>
          <t>PERSON-532</t>
        </is>
      </c>
      <c r="B533" s="5" t="inlineStr">
        <is>
          <t>Varun Bajaj</t>
        </is>
      </c>
      <c r="C533" s="5" t="inlineStr">
        <is>
          <t>Producer</t>
        </is>
      </c>
      <c r="D533" s="18" t="n"/>
      <c r="E533" s="18" t="n"/>
      <c r="F533" s="5" t="n"/>
      <c r="G533" s="5" t="inlineStr">
        <is>
          <t>Hindi cinema</t>
        </is>
      </c>
      <c r="H533" s="5" t="inlineStr">
        <is>
          <t>A producer credited on one film in this filmography, with no Wikipedia article of his own.</t>
        </is>
      </c>
      <c r="I533" s="5" t="n"/>
      <c r="J533" s="5" t="inlineStr">
        <is>
          <t>With Kapoor: All Is Well (2015).</t>
        </is>
      </c>
      <c r="K533" s="19" t="inlineStr">
        <is>
          <t>Not documented.</t>
        </is>
      </c>
      <c r="L533" s="19" t="inlineStr">
        <is>
          <t>Not documented.</t>
        </is>
      </c>
      <c r="M533" s="5" t="n"/>
      <c r="N533" s="19" t="inlineStr">
        <is>
          <t>Not independently documented.</t>
        </is>
      </c>
      <c r="O533" s="19" t="inlineStr">
        <is>
          <t>One film: All Is Well (2015), Umesh Shukla's comedy drama, in which Kapoor plays Bhajanlal Bhalla, a baker whose harshness towards his son conceals years of debt and a wife with Alzheimer's he has sent away.</t>
        </is>
      </c>
      <c r="P533" s="17" t="n">
        <v>1</v>
      </c>
      <c r="Q533" s="5" t="inlineStr">
        <is>
          <t>FILM-148</t>
        </is>
      </c>
      <c r="R533" s="5" t="inlineStr">
        <is>
          <t>All Is Well (2015)</t>
        </is>
      </c>
      <c r="S533" s="5" t="inlineStr">
        <is>
          <t>Varun Bajaj is credited as a producer on All Is Well (2015) and has no documented biography. The film was assembled from several production entities, including T-Series, and it failed. Its place in this workbook is as the first of Umesh Shukla's two films with Kapoor: the same father-and-son material, badly handled here and handled very well three years later in 102 Not Out, where Kapoor moves from the parent's position to the child's. This row is built from the film's credits alone.</t>
        </is>
      </c>
      <c r="T533" s="5" t="inlineStr">
        <is>
          <t>SOURCE-140</t>
        </is>
      </c>
      <c r="U533" s="5" t="inlineStr">
        <is>
          <t>Low</t>
        </is>
      </c>
    </row>
    <row r="534" ht="109" customHeight="1">
      <c r="A534" s="15" t="inlineStr">
        <is>
          <t>PERSON-533</t>
        </is>
      </c>
      <c r="B534" s="5" t="inlineStr">
        <is>
          <t>Vasant Doshi</t>
        </is>
      </c>
      <c r="C534" s="5" t="inlineStr">
        <is>
          <t>Producer</t>
        </is>
      </c>
      <c r="D534" s="18" t="n"/>
      <c r="E534" s="18" t="n"/>
      <c r="F534" s="5" t="n"/>
      <c r="G534" s="5" t="inlineStr">
        <is>
          <t>Hindi cinema</t>
        </is>
      </c>
      <c r="H534" s="5" t="inlineStr">
        <is>
          <t>A producer credited on one film in this filmography, with no Wikipedia article of his own.</t>
        </is>
      </c>
      <c r="I534" s="5" t="n"/>
      <c r="J534" s="5" t="inlineStr">
        <is>
          <t>With Kapoor: Ghar Ghar Ki Kahani (1988).</t>
        </is>
      </c>
      <c r="K534" s="19" t="inlineStr">
        <is>
          <t>Not documented.</t>
        </is>
      </c>
      <c r="L534" s="19" t="inlineStr">
        <is>
          <t>Not documented.</t>
        </is>
      </c>
      <c r="M534" s="5" t="n"/>
      <c r="N534" s="19" t="inlineStr">
        <is>
          <t>Not independently documented.</t>
        </is>
      </c>
      <c r="O534" s="19" t="inlineStr">
        <is>
          <t>One film: Ghar Ghar Ki Kahani (1988), Kalpataru's drama, in which Kapoor plays Ram, the second son of the house, whose sister suggests that his wife Sita and his younger brother are having an affair, and who believes it, spies on them and keeps the suspicion alive.</t>
        </is>
      </c>
      <c r="P534" s="17" t="n">
        <v>1</v>
      </c>
      <c r="Q534" s="5" t="inlineStr">
        <is>
          <t>FILM-064</t>
        </is>
      </c>
      <c r="R534" s="5" t="inlineStr">
        <is>
          <t>Ghar Ghar Ki Kahani (1988)</t>
        </is>
      </c>
      <c r="S534" s="5" t="inlineStr">
        <is>
          <t>Vasant Doshi is credited as a producer on Ghar Ghar Ki Kahani (1988) and has no documented biography. The film is the most unusual of Kapoor's three with Kalpataru because the damage is internal: his own jealousy, planted by a sister, ruins a marriage that faces no outside threat at all. In a filmography where pair friction averages far below external opposition, this is one of the few entries that reverses the ratio, and it does so by making the husband the antagonist of his own relationship. This row is built from the film's credits alone.</t>
        </is>
      </c>
      <c r="T534" s="5" t="inlineStr">
        <is>
          <t>SOURCE-061</t>
        </is>
      </c>
      <c r="U534" s="5" t="inlineStr">
        <is>
          <t>Low</t>
        </is>
      </c>
    </row>
    <row r="535" ht="124" customHeight="1">
      <c r="A535" s="15" t="inlineStr">
        <is>
          <t>PERSON-534</t>
        </is>
      </c>
      <c r="B535" s="5" t="inlineStr">
        <is>
          <t>Vashu Bhagnani</t>
        </is>
      </c>
      <c r="C535" s="5" t="inlineStr">
        <is>
          <t>Producer</t>
        </is>
      </c>
      <c r="D535" s="17" t="n">
        <v>1961</v>
      </c>
      <c r="E535" s="18" t="n"/>
      <c r="F535" s="5" t="n"/>
      <c r="G535" s="5" t="inlineStr">
        <is>
          <t>Hindi cinema</t>
        </is>
      </c>
      <c r="H535" s="5" t="inlineStr">
        <is>
          <t>Vashu Bhagnani is an Indian film producer from Mumbai, of Sindhi descent, born in Calcutta in 1961. He left school in the sixth standard for financial reasons, sold clothes in several cities, moved to Mumbai in 1989 and worked in manufacturing before founding Puja Entertainment India in 1995.</t>
        </is>
      </c>
      <c r="I535" s="5" t="inlineStr">
        <is>
          <t>Coolie No. 1 (1995), the first film under Puja Entertainment.</t>
        </is>
      </c>
      <c r="J535" s="5" t="inlineStr">
        <is>
          <t>With Kapoor: Kal Kissne Dekha (2009). Elsewhere, Coolie No. 1, Hero No. 1, Bade Miyan Chote Miyan, Rehnaa Hai Terre Dil Mein and Mission Raniganj.</t>
        </is>
      </c>
      <c r="K535" s="19" t="inlineStr">
        <is>
          <t>Star comedies and launches for family members; broad commercial entertainment.</t>
        </is>
      </c>
      <c r="L535" s="19" t="inlineStr">
        <is>
          <t>A proprietor-producer building vehicles around established comic stars and, later, around his son Jackky.</t>
        </is>
      </c>
      <c r="M535" s="5" t="n"/>
      <c r="N535" s="19" t="inlineStr">
        <is>
          <t>A durable commercial producer across three decades, notable for the Coolie No. 1 and Hero No. 1 cycle with Govinda and David Dhawan.</t>
        </is>
      </c>
      <c r="O535" s="19" t="inlineStr">
        <is>
          <t>One film: Kal Kissne Dekha (2009), in which Kapoor plays Professor Siddharth Verma, the college warden charmed by a gifted new student and revealed at the close as the man behind the bombings the student has been trying to prevent. The film was a launch vehicle for the producer's son.</t>
        </is>
      </c>
      <c r="P535" s="17" t="n">
        <v>1</v>
      </c>
      <c r="Q535" s="5" t="inlineStr">
        <is>
          <t>FILM-130</t>
        </is>
      </c>
      <c r="R535" s="5" t="inlineStr">
        <is>
          <t>Kal Kissne Dekha (2009)</t>
        </is>
      </c>
      <c r="S535" s="5" t="inlineStr">
        <is>
          <t>Vashu Bhagnani produced Kal Kissne Dekha, which contains the first antagonist role in Rishi Kapoor's filmography. Born in Calcutta in 1961, Bhagnani left school early, sold clothes for a living, reached Mumbai in 1989 and founded Puja Entertainment in 1995, where Coolie No. 1 and Hero No. 1 made him one of the industry's reliable comedy producers; the film was built to launch his son Jackky. Its interest here is entirely in Kapoor's part: the warm, trusted warden who turns out to be the bomber, which uses his likeability as misdirection three years before Agneepath did the same thing to acclaim. The film was dismissed and the performance went unremarked, so his villain phase is usually dated to 2012. On the evidence of the Films sheet it starts here.</t>
        </is>
      </c>
      <c r="T535" s="5" t="inlineStr">
        <is>
          <t>SOURCE-122; SOURCE-419</t>
        </is>
      </c>
      <c r="U535" s="5" t="inlineStr">
        <is>
          <t>High</t>
        </is>
      </c>
    </row>
    <row r="536" ht="94" customHeight="1">
      <c r="A536" s="15" t="inlineStr">
        <is>
          <t>PERSON-535</t>
        </is>
      </c>
      <c r="B536" s="5" t="inlineStr">
        <is>
          <t>Veena Pictures</t>
        </is>
      </c>
      <c r="C536" s="5" t="inlineStr">
        <is>
          <t>Production banner</t>
        </is>
      </c>
      <c r="D536" s="18" t="n"/>
      <c r="E536" s="18" t="n"/>
      <c r="F536" s="5" t="n"/>
      <c r="G536" s="5" t="inlineStr">
        <is>
          <t>Hindi cinema</t>
        </is>
      </c>
      <c r="H536" s="5" t="inlineStr">
        <is>
          <t>A production banner credited on one film in this filmography, with no Wikipedia article of its own.</t>
        </is>
      </c>
      <c r="I536" s="5" t="n"/>
      <c r="J536" s="5" t="inlineStr">
        <is>
          <t>With Kapoor: Zamana (1985).</t>
        </is>
      </c>
      <c r="K536" s="19" t="inlineStr">
        <is>
          <t>Not documented.</t>
        </is>
      </c>
      <c r="L536" s="19" t="inlineStr">
        <is>
          <t>Not documented.</t>
        </is>
      </c>
      <c r="M536" s="5" t="n"/>
      <c r="N536" s="19" t="inlineStr">
        <is>
          <t>Not independently documented.</t>
        </is>
      </c>
      <c r="O536" s="19" t="inlineStr">
        <is>
          <t>One film: Zamana (1985), Ramesh Talwar's drama, in which Kapoor plays Ravi, the criminal brother to Rajesh Khanna's policeman, the two divided by a misunderstanding and by a murdered father neither knew, and both in love with the same woman.</t>
        </is>
      </c>
      <c r="P536" s="17" t="n">
        <v>1</v>
      </c>
      <c r="Q536" s="5" t="inlineStr">
        <is>
          <t>FILM-046</t>
        </is>
      </c>
      <c r="R536" s="5" t="inlineStr">
        <is>
          <t>Zamana (1985)</t>
        </is>
      </c>
      <c r="S536" s="5" t="inlineStr">
        <is>
          <t>Veena Pictures is credited on Zamana (1985) and has no documented history. The film is the one Salim-Javed script in this workbook and the one Usha Khanna score, which makes a minor production the point of contact with two of Hindi cinema's more significant names. It is also representative of Kapoor's mid-1980s position: second-billed to Rajesh Khanna, cast in a brother-against-brother plot designed for a different kind of star, and competing with the woman for neither sympathy nor screen time. This row is built from the film's credits alone.</t>
        </is>
      </c>
      <c r="T536" s="5" t="inlineStr">
        <is>
          <t>SOURCE-045</t>
        </is>
      </c>
      <c r="U536" s="5" t="inlineStr">
        <is>
          <t>Low</t>
        </is>
      </c>
    </row>
    <row r="537" ht="154" customHeight="1">
      <c r="A537" s="15" t="inlineStr">
        <is>
          <t>PERSON-536</t>
        </is>
      </c>
      <c r="B537" s="5" t="inlineStr">
        <is>
          <t>Veeru Devgan</t>
        </is>
      </c>
      <c r="C537" s="5" t="inlineStr">
        <is>
          <t>Producer</t>
        </is>
      </c>
      <c r="D537" s="17" t="n">
        <v>1934</v>
      </c>
      <c r="E537" s="17" t="n">
        <v>2019</v>
      </c>
      <c r="F537" s="5" t="n"/>
      <c r="G537" s="5" t="inlineStr">
        <is>
          <t>Hindi cinema</t>
        </is>
      </c>
      <c r="H537" s="5" t="inlineStr">
        <is>
          <t>Virender Harjidas Devgan, known as Veeru Devgan, was an Indian action choreographer, film director and producer. Born in Amritsar in 1934, he ran away to Bombay at thirteen, was jailed and destitute before finding work washing a cab for shelter, became a carpenter and was recruited into films by the action director Ravi Khanna, who saw him in a street fight. He contributed to more than 200 films.</t>
        </is>
      </c>
      <c r="I537" s="5" t="inlineStr">
        <is>
          <t>Action choreography from the 1960s; director of Hindustan Ki Kasam (1999).</t>
        </is>
      </c>
      <c r="J537" s="5" t="inlineStr">
        <is>
          <t>With Kapoor: Raju Chacha (2000), as producer; his article also lists Prem Rog (FILM-037) among the films he worked on, as an action choreographer, a credit type this workbook does not track. Elsewhere, Roti Kapada Aur Makaan, Mr. Natwarlal, Kranti, Ram Teri Ganga Maili and Phool Aur Kaante.</t>
        </is>
      </c>
      <c r="K537" s="19" t="inlineStr">
        <is>
          <t>Action design for the masala cinema of the 1970s and 1980s.</t>
        </is>
      </c>
      <c r="L537" s="19" t="inlineStr">
        <is>
          <t>A stunt and fight designer of the pre-digital era, working in physical choreography on a very large scale.</t>
        </is>
      </c>
      <c r="M537" s="5" t="n"/>
      <c r="N537" s="19" t="inlineStr">
        <is>
          <t>One of the most prolific action directors in Hindi cinema and the father of Ajay Devgn, whose career he launched with Phool Aur Kaante.</t>
        </is>
      </c>
      <c r="O537" s="19" t="inlineStr">
        <is>
          <t>One film as producer: Raju Chacha (2000), Anil Devgan's expensive children's adventure, in which Kapoor plays Siddhant Rai, a wealthy widower whose three children drive off every governess he hires. His action work spans more of this filmography than the credit shows: his own article lists Prem Rog (1982) among his films, and action choreography is not a field recorded in this workbook's Films sheet.</t>
        </is>
      </c>
      <c r="P537" s="17" t="n">
        <v>1</v>
      </c>
      <c r="Q537" s="5" t="inlineStr">
        <is>
          <t>FILM-112</t>
        </is>
      </c>
      <c r="R537" s="5" t="inlineStr">
        <is>
          <t>Raju Chacha (2000)</t>
        </is>
      </c>
      <c r="S537" s="5" t="inlineStr">
        <is>
          <t>Veeru Devgan produced Raju Chacha, the Ajay Devgn vehicle that failed at the lowest point of Rishi Kapoor's career. Born in Amritsar in 1934, Devgan reached Bombay at thirteen with no ticket and no money, slept where he could and was pulled into films by an action director who saw him fighting in the street; he went on to choreograph action for more than 200 films, from Roti Kapada Aur Makaan and Kranti to Phool Aur Kaante, which launched his son. His article lists Prem Rog among his credits, so his work and Kapoor's intersected nearly twenty years before this film, in a register the workbook does not track. Raju Chacha itself gave Kapoor the distracted rich father, the part he was offered repeatedly between 1999 and 2004.</t>
        </is>
      </c>
      <c r="T537" s="5" t="inlineStr">
        <is>
          <t>SOURCE-104; SOURCE-420</t>
        </is>
      </c>
      <c r="U537" s="5" t="inlineStr">
        <is>
          <t>High</t>
        </is>
      </c>
    </row>
    <row r="538" ht="109" customHeight="1">
      <c r="A538" s="15" t="inlineStr">
        <is>
          <t>PERSON-537</t>
        </is>
      </c>
      <c r="B538" s="5" t="inlineStr">
        <is>
          <t>Venus Records &amp; Tapes</t>
        </is>
      </c>
      <c r="C538" s="5" t="inlineStr">
        <is>
          <t>Production banner</t>
        </is>
      </c>
      <c r="D538" s="18" t="n"/>
      <c r="E538" s="18" t="n"/>
      <c r="F538" s="5" t="n"/>
      <c r="G538" s="5" t="inlineStr">
        <is>
          <t>Hindi cinema; Indian music publishing</t>
        </is>
      </c>
      <c r="H538" s="5" t="inlineStr">
        <is>
          <t>Venus Records &amp; Tapes, now Ishtar Music, is an Indian record label founded in 1985 by Ganesh Jain and Ratan Jain as Venus Music. It is known primarily for publishing and marketing Bollywood soundtracks and Indi-pop, and was acquired by the French company Believe Digital in 2021 and rebranded as Ishtar.</t>
        </is>
      </c>
      <c r="I538" s="5" t="inlineStr">
        <is>
          <t>Founded as Venus Music in 1985.</t>
        </is>
      </c>
      <c r="J538" s="5" t="inlineStr">
        <is>
          <t>With Kapoor: Daraar (1996). Elsewhere, a large catalogue of Hindi film soundtracks from the late 1980s onwards.</t>
        </is>
      </c>
      <c r="K538" s="19" t="inlineStr">
        <is>
          <t>Music-led film investment: the label's productions are built around saleable soundtracks.</t>
        </is>
      </c>
      <c r="L538" s="19" t="inlineStr">
        <is>
          <t>A record company extending into production, in the pattern T-Series established.</t>
        </is>
      </c>
      <c r="M538" s="5" t="n"/>
      <c r="N538" s="19" t="inlineStr">
        <is>
          <t>One of the major Indian labels of the cassette and early CD era, and part of the shift that made music rights central to film financing.</t>
        </is>
      </c>
      <c r="O538" s="19" t="inlineStr">
        <is>
          <t>One film: Daraar (1996), Abbas-Mustan's thriller, in which Kapoor plays Raj, who falls in love with Priya in Shimla without knowing she is hiding from a husband who beat her and killed the doctor who treated her.</t>
        </is>
      </c>
      <c r="P538" s="17" t="n">
        <v>1</v>
      </c>
      <c r="Q538" s="5" t="inlineStr">
        <is>
          <t>FILM-108</t>
        </is>
      </c>
      <c r="R538" s="5" t="inlineStr">
        <is>
          <t>Daraar (1996)</t>
        </is>
      </c>
      <c r="S538" s="5" t="inlineStr">
        <is>
          <t>Venus Records &amp; Tapes backed Daraar, Rishi Kapoor's last substantial romantic lead. Founded in 1985 by Ganesh and Ratan Jain as Venus Music, the label became one of the largest in the Indian cassette era and moved into film investment on the strength of soundtrack rights, following the model T-Series had established two years earlier; Believe Digital bought it in 2021 and renamed it Ishtar. Daraar belongs to the Abbas-Mustan cycle of obsession thrillers, and it reassigns Kapoor's romantic function entirely: at forty-four he is the decent alternative rather than the pursuer, with the violent husband supplying both the plot and the danger. The film succeeded, and within three years his leading career had ended.</t>
        </is>
      </c>
      <c r="T538" s="5" t="inlineStr">
        <is>
          <t>SOURCE-101; SOURCE-421</t>
        </is>
      </c>
      <c r="U538" s="5" t="inlineStr">
        <is>
          <t>High</t>
        </is>
      </c>
    </row>
    <row r="539" ht="79" customHeight="1">
      <c r="A539" s="15" t="inlineStr">
        <is>
          <t>PERSON-538</t>
        </is>
      </c>
      <c r="B539" s="5" t="inlineStr">
        <is>
          <t>Vijay Sinha</t>
        </is>
      </c>
      <c r="C539" s="5" t="inlineStr">
        <is>
          <t>Producer</t>
        </is>
      </c>
      <c r="D539" s="18" t="n"/>
      <c r="E539" s="18" t="n"/>
      <c r="F539" s="5" t="n"/>
      <c r="G539" s="5" t="inlineStr">
        <is>
          <t>Hindi cinema</t>
        </is>
      </c>
      <c r="H539" s="5" t="inlineStr">
        <is>
          <t>A producer credited on one film in this filmography, with no Wikipedia article of his own.</t>
        </is>
      </c>
      <c r="I539" s="5" t="n"/>
      <c r="J539" s="5" t="inlineStr">
        <is>
          <t>With Kapoor: Ranbhoomi (1991).</t>
        </is>
      </c>
      <c r="K539" s="19" t="inlineStr">
        <is>
          <t>Not documented.</t>
        </is>
      </c>
      <c r="L539" s="19" t="inlineStr">
        <is>
          <t>Not documented.</t>
        </is>
      </c>
      <c r="M539" s="5" t="n"/>
      <c r="N539" s="19" t="inlineStr">
        <is>
          <t>Not independently documented.</t>
        </is>
      </c>
      <c r="O539" s="19" t="inlineStr">
        <is>
          <t>One film: Ranbhoomi (1991), Deepak Sareen's action film, in which Kapoor plays Bholanath, the villager who comes to the city with five hundred rupees and ends up keeping house for a gangster.</t>
        </is>
      </c>
      <c r="P539" s="17" t="n">
        <v>1</v>
      </c>
      <c r="Q539" s="5" t="inlineStr">
        <is>
          <t>FILM-082</t>
        </is>
      </c>
      <c r="R539" s="5" t="inlineStr">
        <is>
          <t>Ranbhoomi (1991)</t>
        </is>
      </c>
      <c r="S539" s="5" t="inlineStr">
        <is>
          <t>Vijay Sinha is credited as a producer on Ranbhoomi (1991) and has no documented biography. The film is one of five Kapoor releases that year and one of the clearest signs of his position in the industry at the time: billed with Jackie Shroff, given a part with almost no romantic content, in an action film whose structure has no use for the qualities that made him. The pattern holds until Bol Radha Bol and Deewana in 1992 briefly restored him to the centre of his own films. This row is built from the film's credits alone.</t>
        </is>
      </c>
      <c r="T539" s="5" t="inlineStr">
        <is>
          <t>SOURCE-077</t>
        </is>
      </c>
      <c r="U539" s="5" t="inlineStr">
        <is>
          <t>Low</t>
        </is>
      </c>
    </row>
    <row r="540" ht="109" customHeight="1">
      <c r="A540" s="15" t="inlineStr">
        <is>
          <t>PERSON-539</t>
        </is>
      </c>
      <c r="B540" s="5" t="inlineStr">
        <is>
          <t>Vijayashree Pictures</t>
        </is>
      </c>
      <c r="C540" s="5" t="inlineStr">
        <is>
          <t>Production banner</t>
        </is>
      </c>
      <c r="D540" s="18" t="n"/>
      <c r="E540" s="18" t="n"/>
      <c r="F540" s="5" t="n"/>
      <c r="G540" s="5" t="inlineStr">
        <is>
          <t>Hindi cinema</t>
        </is>
      </c>
      <c r="H540" s="5" t="inlineStr">
        <is>
          <t>A production banner credited on one film in this filmography, with no Wikipedia article of its own.</t>
        </is>
      </c>
      <c r="I540" s="5" t="n"/>
      <c r="J540" s="5" t="inlineStr">
        <is>
          <t>With Kapoor: Badaltey Rishtey (1978).</t>
        </is>
      </c>
      <c r="K540" s="19" t="inlineStr">
        <is>
          <t>Not documented.</t>
        </is>
      </c>
      <c r="L540" s="19" t="inlineStr">
        <is>
          <t>Not documented.</t>
        </is>
      </c>
      <c r="M540" s="5" t="n"/>
      <c r="N540" s="19" t="inlineStr">
        <is>
          <t>Not independently documented.</t>
        </is>
      </c>
      <c r="O540" s="19" t="inlineStr">
        <is>
          <t>One film: Badaltey Rishtey (1978), in which Kapoor plays Manohar, who falls for the music teacher Savitri at first meeting and courts her by pretending to sell eggs at her door, before she is married off to a wealthy man under a prediction that her husband will die within forty days.</t>
        </is>
      </c>
      <c r="P540" s="17" t="n">
        <v>1</v>
      </c>
      <c r="Q540" s="5" t="inlineStr">
        <is>
          <t>FILM-022</t>
        </is>
      </c>
      <c r="R540" s="5" t="inlineStr">
        <is>
          <t>Badaltey Rishtey (1978)</t>
        </is>
      </c>
      <c r="S540" s="5" t="inlineStr">
        <is>
          <t>Vijayashree Pictures is credited on Badaltey Rishtey (1978) and has no documented history. The film is a good specimen of the courtship Kapoor was built for in the late 1970s: a daily pretext invented to appear at the woman's door, persistence presented as charm, and the obstacle arriving from outside in the form of prophecy and family calculation. Read against the modern perspective this workbook also applies, the sequence stays on the right side of coercion mainly because the film grants Savitri her own interest in him. This row is built from the film's credits alone.</t>
        </is>
      </c>
      <c r="T540" s="5" t="inlineStr">
        <is>
          <t>SOURCE-020</t>
        </is>
      </c>
      <c r="U540" s="5" t="inlineStr">
        <is>
          <t>Low</t>
        </is>
      </c>
    </row>
    <row r="541" ht="94" customHeight="1">
      <c r="A541" s="15" t="inlineStr">
        <is>
          <t>PERSON-540</t>
        </is>
      </c>
      <c r="B541" s="5" t="inlineStr">
        <is>
          <t>Vikrant Batra</t>
        </is>
      </c>
      <c r="C541" s="5" t="inlineStr">
        <is>
          <t>Producer</t>
        </is>
      </c>
      <c r="D541" s="18" t="n"/>
      <c r="E541" s="18" t="n"/>
      <c r="F541" s="5" t="n"/>
      <c r="G541" s="5" t="inlineStr">
        <is>
          <t>Hindi cinema</t>
        </is>
      </c>
      <c r="H541" s="5" t="inlineStr">
        <is>
          <t>A producer credited on one film in this filmography, with no Wikipedia article of his own.</t>
        </is>
      </c>
      <c r="I541" s="5" t="n"/>
      <c r="J541" s="5" t="inlineStr">
        <is>
          <t>With Kapoor: Manto (2018).</t>
        </is>
      </c>
      <c r="K541" s="19" t="inlineStr">
        <is>
          <t>Not documented.</t>
        </is>
      </c>
      <c r="L541" s="19" t="inlineStr">
        <is>
          <t>Not documented.</t>
        </is>
      </c>
      <c r="M541" s="5" t="n"/>
      <c r="N541" s="19" t="inlineStr">
        <is>
          <t>Not independently documented.</t>
        </is>
      </c>
      <c r="O541" s="19" t="inlineStr">
        <is>
          <t>One film: Manto (2018), Nandita Das's biographical drama, in which Kapoor appears briefly as an unnamed film producer, part of a gallery of cameos peopling the Bombay film world Saadat Hasan Manto worked in before partition took him to Lahore.</t>
        </is>
      </c>
      <c r="P541" s="17" t="n">
        <v>1</v>
      </c>
      <c r="Q541" s="5" t="inlineStr">
        <is>
          <t>FILM-156</t>
        </is>
      </c>
      <c r="R541" s="5" t="inlineStr">
        <is>
          <t>Manto (2018)</t>
        </is>
      </c>
      <c r="S541" s="5" t="inlineStr">
        <is>
          <t>Vikrant Batra is credited as a producer on Manto (2018) and has no documented biography. Kapoor's single scene as an anonymous 1940s producer is the most self-aware cameo of his career: the grandson of Prithviraj Kapoor and son of Raj Kapoor, playing a functionary of the industry his family built, in a film about a writer that industry used and discarded. It is also the only festival-circuit film in his last decade, and the only one of his four late cameos with any critical standing. This row is built from the film's credits alone.</t>
        </is>
      </c>
      <c r="T541" s="5" t="inlineStr">
        <is>
          <t>SOURCE-147</t>
        </is>
      </c>
      <c r="U541" s="5" t="inlineStr">
        <is>
          <t>Low</t>
        </is>
      </c>
    </row>
    <row r="542" ht="94" customHeight="1">
      <c r="A542" s="15" t="inlineStr">
        <is>
          <t>PERSON-541</t>
        </is>
      </c>
      <c r="B542" s="5" t="inlineStr">
        <is>
          <t>Vimal Kumar</t>
        </is>
      </c>
      <c r="C542" s="5" t="inlineStr">
        <is>
          <t>Producer</t>
        </is>
      </c>
      <c r="D542" s="18" t="n"/>
      <c r="E542" s="18" t="n"/>
      <c r="F542" s="5" t="n"/>
      <c r="G542" s="5" t="inlineStr">
        <is>
          <t>Hindi cinema</t>
        </is>
      </c>
      <c r="H542" s="5" t="inlineStr">
        <is>
          <t>A producer credited on one film in this filmography, with no Wikipedia article of his own. The documented Vimal Kumar is an Indian badminton player and a different person.</t>
        </is>
      </c>
      <c r="I542" s="5" t="n"/>
      <c r="J542" s="5" t="inlineStr">
        <is>
          <t>With Kapoor: Aap Ke Deewane (1980).</t>
        </is>
      </c>
      <c r="K542" s="19" t="inlineStr">
        <is>
          <t>Not documented.</t>
        </is>
      </c>
      <c r="L542" s="19" t="inlineStr">
        <is>
          <t>Not documented.</t>
        </is>
      </c>
      <c r="M542" s="5" t="n"/>
      <c r="N542" s="19" t="inlineStr">
        <is>
          <t>Not independently documented.</t>
        </is>
      </c>
      <c r="O542" s="19" t="inlineStr">
        <is>
          <t>One film: Aap Ke Deewane (1980), Surendra Mohan's romance, in which Kapoor and Rakesh Roshan play friends expelled from college on a false charge who pose as a married couple to be hired as tutors, and both fall in love with the same woman.</t>
        </is>
      </c>
      <c r="P542" s="17" t="n">
        <v>1</v>
      </c>
      <c r="Q542" s="5" t="inlineStr">
        <is>
          <t>FILM-030</t>
        </is>
      </c>
      <c r="R542" s="5" t="inlineStr">
        <is>
          <t>Aap Ke Deewane (1980)</t>
        </is>
      </c>
      <c r="S542" s="5" t="inlineStr">
        <is>
          <t>Vimal Kumar is credited as a producer on Aap Ke Deewane (1980) and has no documented biography; the badminton player of that name is unrelated. The film belongs to the double-hero comedies that ran through Kapoor's late 1970s and early 1980s, where the romantic contest is between two friends rather than between the couple and the world. Those films produce his highest mutuality readings and his lowest external-opposition readings, which makes them the structural exception in a filmography otherwise organised around outside obstruction. This row is built from the film's credits alone.</t>
        </is>
      </c>
      <c r="T542" s="5" t="inlineStr">
        <is>
          <t>SOURCE-030</t>
        </is>
      </c>
      <c r="U542" s="5" t="inlineStr">
        <is>
          <t>Low</t>
        </is>
      </c>
    </row>
    <row r="543" ht="94" customHeight="1">
      <c r="A543" s="15" t="inlineStr">
        <is>
          <t>PERSON-542</t>
        </is>
      </c>
      <c r="B543" s="5" t="inlineStr">
        <is>
          <t>VinR Films</t>
        </is>
      </c>
      <c r="C543" s="5" t="inlineStr">
        <is>
          <t>Production banner</t>
        </is>
      </c>
      <c r="D543" s="18" t="n"/>
      <c r="E543" s="18" t="n"/>
      <c r="F543" s="5" t="n"/>
      <c r="G543" s="5" t="inlineStr">
        <is>
          <t>Hindi cinema</t>
        </is>
      </c>
      <c r="H543" s="5" t="inlineStr">
        <is>
          <t>A production banner credited on one film in this filmography, with no Wikipedia article of its own.</t>
        </is>
      </c>
      <c r="I543" s="5" t="n"/>
      <c r="J543" s="5" t="inlineStr">
        <is>
          <t>With Kapoor: Jhootha Kahin Ka (2019).</t>
        </is>
      </c>
      <c r="K543" s="19" t="inlineStr">
        <is>
          <t>Not documented.</t>
        </is>
      </c>
      <c r="L543" s="19" t="inlineStr">
        <is>
          <t>Not documented.</t>
        </is>
      </c>
      <c r="M543" s="5" t="n"/>
      <c r="N543" s="19" t="inlineStr">
        <is>
          <t>Not independently documented.</t>
        </is>
      </c>
      <c r="O543" s="19" t="inlineStr">
        <is>
          <t>One film: Jhootha Kahin Ka (2019), Smeep Kang's comedy, in which Kapoor plays Yograj Singh, a widowed father exasperated by a son who will not work.</t>
        </is>
      </c>
      <c r="P543" s="17" t="n">
        <v>1</v>
      </c>
      <c r="Q543" s="5" t="inlineStr">
        <is>
          <t>FILM-158</t>
        </is>
      </c>
      <c r="R543" s="5" t="inlineStr">
        <is>
          <t>Jhootha Kahin Ka (2019)</t>
        </is>
      </c>
      <c r="S543" s="5" t="inlineStr">
        <is>
          <t>VinR Films is credited on Jhootha Kahin Ka (2019) and has no documented history. The film carries an unusually long list of small production entities, writers and composers, none of them documented, which is how several of Kapoor's last projects were financed: many minor investors rather than a studio. It stands in direct contrast with 102 Not Out the year before, funded through an international studio's Indian arm, and the two together show the range of production conditions he worked in at the end. This row is built from the film's credits alone.</t>
        </is>
      </c>
      <c r="T543" s="5" t="inlineStr">
        <is>
          <t>SOURCE-150</t>
        </is>
      </c>
      <c r="U543" s="5" t="inlineStr">
        <is>
          <t>Low</t>
        </is>
      </c>
    </row>
    <row r="544" ht="94" customHeight="1">
      <c r="A544" s="15" t="inlineStr">
        <is>
          <t>PERSON-543</t>
        </is>
      </c>
      <c r="B544" s="5" t="inlineStr">
        <is>
          <t>Vinay Gupta</t>
        </is>
      </c>
      <c r="C544" s="5" t="inlineStr">
        <is>
          <t>Producer</t>
        </is>
      </c>
      <c r="D544" s="18" t="n"/>
      <c r="E544" s="18" t="n"/>
      <c r="F544" s="5" t="n"/>
      <c r="G544" s="5" t="inlineStr">
        <is>
          <t>Hindi cinema</t>
        </is>
      </c>
      <c r="H544" s="5" t="inlineStr">
        <is>
          <t>A producer credited on one film in this filmography, with no Wikipedia article of his own. The documented Vinay Gupta is an Indian materials scientist and a different person.</t>
        </is>
      </c>
      <c r="I544" s="5" t="n"/>
      <c r="J544" s="5" t="inlineStr">
        <is>
          <t>With Kapoor: Jhootha Kahin Ka (2019).</t>
        </is>
      </c>
      <c r="K544" s="19" t="inlineStr">
        <is>
          <t>Not documented.</t>
        </is>
      </c>
      <c r="L544" s="19" t="inlineStr">
        <is>
          <t>Not documented.</t>
        </is>
      </c>
      <c r="M544" s="5" t="n"/>
      <c r="N544" s="19" t="inlineStr">
        <is>
          <t>Not independently documented.</t>
        </is>
      </c>
      <c r="O544" s="19" t="inlineStr">
        <is>
          <t>One film: Jhootha Kahin Ka (2019), in which Kapoor plays the widowed father Yograj Singh in Smeep Kang's village comedy.</t>
        </is>
      </c>
      <c r="P544" s="17" t="n">
        <v>1</v>
      </c>
      <c r="Q544" s="5" t="inlineStr">
        <is>
          <t>FILM-158</t>
        </is>
      </c>
      <c r="R544" s="5" t="inlineStr">
        <is>
          <t>Jhootha Kahin Ka (2019)</t>
        </is>
      </c>
      <c r="S544" s="5" t="inlineStr">
        <is>
          <t>Vinay Gupta is credited as a producer on Jhootha Kahin Ka (2019) and has no documented biography; the materials scientist of that name is unrelated. The film is the second-last to reach cinemas in Kapoor's lifetime and the weakest of his final four. He had returned from a year of cancer treatment in New York in late 2018 and worked steadily afterwards, across a Netflix comedy, a Punjabi-comedy remake, a thriller and the unfinished Sharmaji Namkeen, without regard to the standing of the production. This row is built from the film's credits alone.</t>
        </is>
      </c>
      <c r="T544" s="5" t="inlineStr">
        <is>
          <t>SOURCE-150</t>
        </is>
      </c>
      <c r="U544" s="5" t="inlineStr">
        <is>
          <t>Low</t>
        </is>
      </c>
    </row>
    <row r="545" ht="139" customHeight="1">
      <c r="A545" s="15" t="inlineStr">
        <is>
          <t>PERSON-544</t>
        </is>
      </c>
      <c r="B545" s="5" t="inlineStr">
        <is>
          <t>Vinod Mehra</t>
        </is>
      </c>
      <c r="C545" s="5" t="inlineStr">
        <is>
          <t>Director; Producer</t>
        </is>
      </c>
      <c r="D545" s="17" t="n">
        <v>1945</v>
      </c>
      <c r="E545" s="17" t="n">
        <v>1990</v>
      </c>
      <c r="F545" s="5" t="n"/>
      <c r="G545" s="5" t="inlineStr">
        <is>
          <t>Hindi cinema</t>
        </is>
      </c>
      <c r="H545" s="5" t="inlineStr">
        <is>
          <t>Vinod Mehra was an Indian actor in Hindi films who also produced and directed. Born in Amritsar in 1945 into a Punjabi Khatri family, he debuted as a child actor in Adl-e-Jehangir (1955), was male runner-up to Rajesh Khanna in the 1965 United Producers and Filmfare talent contest, and began his adult career with Ek Thi Reeta (1971), appearing in more than a hundred films before his death in 1990.</t>
        </is>
      </c>
      <c r="I545" s="5" t="inlineStr">
        <is>
          <t>Child actor in Adl-e-Jehangir (1955); adult debut Ek Thi Reeta (1971).</t>
        </is>
      </c>
      <c r="J545" s="5" t="inlineStr">
        <is>
          <t>With Kapoor: Gurudev (1993), which he produced and directed. Elsewhere, a long acting career through the 1970s and 1980s.</t>
        </is>
      </c>
      <c r="K545" s="19" t="inlineStr">
        <is>
          <t>Mainstream romance and family drama as an actor; one directorial venture.</t>
        </is>
      </c>
      <c r="L545" s="19" t="inlineStr">
        <is>
          <t>An actor who turned to production and direction late and did not live to see the result released.</t>
        </is>
      </c>
      <c r="M545" s="5" t="n"/>
      <c r="N545" s="19" t="inlineStr">
        <is>
          <t>A durable leading and second-lead actor of the 1970s, remembered partly for his early death at forty-five.</t>
        </is>
      </c>
      <c r="O545" s="19" t="inlineStr">
        <is>
          <t>One film: Gurudev (1993), which he produced and directed, and in which Kapoor plays Inspector Dev, whose closest childhood friend is the son of the don he is ordered to arrest. Mehra died in October 1990; the film was released in September 1993, nearly three years later.</t>
        </is>
      </c>
      <c r="P545" s="17" t="n">
        <v>1</v>
      </c>
      <c r="Q545" s="5" t="inlineStr">
        <is>
          <t>FILM-097</t>
        </is>
      </c>
      <c r="R545" s="5" t="inlineStr">
        <is>
          <t>Gurudev (1993)</t>
        </is>
      </c>
      <c r="S545" s="5" t="inlineStr">
        <is>
          <t>Vinod Mehra produced and directed Gurudev, which reached cinemas three years after his death. Born in Amritsar in 1945, Mehra began as a child actor in 1955, lost the 1965 United Producers talent contest to Rajesh Khanna as male runner-up, and built a career of more than a hundred films from 1971 until he died in October 1990 at forty-five. Gurudev was his only film behind the camera and was finished and released by others in 1993, which puts it among the delayed and posthumous releases clustered through Kapoor's early 1990s. Kapoor plays a police inspector whose loyalties are divided between duty and a childhood friend, in a crowded cast with Sridevi and Anil Kapoor, and the film is remembered mainly for Mehra's absence from it.</t>
        </is>
      </c>
      <c r="T545" s="5" t="inlineStr">
        <is>
          <t>SOURCE-090; SOURCE-422</t>
        </is>
      </c>
      <c r="U545" s="5" t="inlineStr">
        <is>
          <t>High</t>
        </is>
      </c>
    </row>
    <row r="546" ht="94" customHeight="1">
      <c r="A546" s="15" t="inlineStr">
        <is>
          <t>PERSON-545</t>
        </is>
      </c>
      <c r="B546" s="5" t="inlineStr">
        <is>
          <t>Vinod Shah</t>
        </is>
      </c>
      <c r="C546" s="5" t="inlineStr">
        <is>
          <t>Producer</t>
        </is>
      </c>
      <c r="D546" s="18" t="n"/>
      <c r="E546" s="18" t="n"/>
      <c r="F546" s="5" t="n"/>
      <c r="G546" s="5" t="inlineStr">
        <is>
          <t>Hindi cinema</t>
        </is>
      </c>
      <c r="H546" s="5" t="inlineStr">
        <is>
          <t>A producer credited on one film in this filmography, with no Wikipedia article of his own.</t>
        </is>
      </c>
      <c r="I546" s="5" t="n"/>
      <c r="J546" s="5" t="inlineStr">
        <is>
          <t>With Kapoor: Dhan Daulat (1980).</t>
        </is>
      </c>
      <c r="K546" s="19" t="inlineStr">
        <is>
          <t>Not documented.</t>
        </is>
      </c>
      <c r="L546" s="19" t="inlineStr">
        <is>
          <t>Not documented.</t>
        </is>
      </c>
      <c r="M546" s="5" t="n"/>
      <c r="N546" s="19" t="inlineStr">
        <is>
          <t>Not independently documented.</t>
        </is>
      </c>
      <c r="O546" s="19" t="inlineStr">
        <is>
          <t>One film: Dhan Daulat (1980), Harish Shah's masala film, in which Kapoor plays Lucky, raised by two truck drivers who sell their truck to fund his match business, and who turns on the men who raised him after being told he was found abandoned.</t>
        </is>
      </c>
      <c r="P546" s="17" t="n">
        <v>1</v>
      </c>
      <c r="Q546" s="5" t="inlineStr">
        <is>
          <t>FILM-029</t>
        </is>
      </c>
      <c r="R546" s="5" t="inlineStr">
        <is>
          <t>Dhan Daulat (1980)</t>
        </is>
      </c>
      <c r="S546" s="5" t="inlineStr">
        <is>
          <t>Vinod Shah is credited as a producer on Dhan Daulat (1980) and has no documented biography. The film is one of two Kapoor releases on 11 January 1980, the other being Do Premee, which is itself a sign of how fast he was working: five films reached cinemas that year. Dhan Daulat is a parentage melodrama in which the romance is secondary to the question of who raised him, and it belongs with Rangila Ratan and Barood among the films that cast him in plots designed for a more volatile actor. This row is built from the film's credits alone.</t>
        </is>
      </c>
      <c r="T546" s="5" t="inlineStr">
        <is>
          <t>SOURCE-029</t>
        </is>
      </c>
      <c r="U546" s="5" t="inlineStr">
        <is>
          <t>Low</t>
        </is>
      </c>
    </row>
    <row r="547" ht="94" customHeight="1">
      <c r="A547" s="15" t="inlineStr">
        <is>
          <t>PERSON-546</t>
        </is>
      </c>
      <c r="B547" s="5" t="inlineStr">
        <is>
          <t>Vipin Mishra</t>
        </is>
      </c>
      <c r="C547" s="5" t="inlineStr">
        <is>
          <t>Song composer; Background-score composer</t>
        </is>
      </c>
      <c r="D547" s="18" t="n"/>
      <c r="E547" s="18" t="n"/>
      <c r="F547" s="5" t="n"/>
      <c r="G547" s="5" t="inlineStr">
        <is>
          <t>Hindi cinema</t>
        </is>
      </c>
      <c r="H547" s="5" t="inlineStr">
        <is>
          <t>A composer credited on one film in this filmography for both songs and background score, with no Wikipedia article of his own.</t>
        </is>
      </c>
      <c r="I547" s="5" t="n"/>
      <c r="J547" s="5" t="inlineStr">
        <is>
          <t>With Kapoor: Aurangzeb (2013).</t>
        </is>
      </c>
      <c r="K547" s="19" t="inlineStr">
        <is>
          <t>Not documented.</t>
        </is>
      </c>
      <c r="L547" s="19" t="inlineStr">
        <is>
          <t>Not documented.</t>
        </is>
      </c>
      <c r="M547" s="5" t="n"/>
      <c r="N547" s="19" t="inlineStr">
        <is>
          <t>Not independently documented.</t>
        </is>
      </c>
      <c r="O547" s="19" t="inlineStr">
        <is>
          <t>One film: Aurangzeb (2013), Atul Sabharwal's crime drama, in which Kapoor plays DCP Ravikant Phogat, his honest brother's corrupt opposite and the architect of the plan to plant a young man inside the Singh household in place of his twin.</t>
        </is>
      </c>
      <c r="P547" s="17" t="n">
        <v>1</v>
      </c>
      <c r="Q547" s="5" t="inlineStr">
        <is>
          <t>FILM-142</t>
        </is>
      </c>
      <c r="R547" s="5" t="inlineStr">
        <is>
          <t>Aurangzeb (2013)</t>
        </is>
      </c>
      <c r="S547" s="5" t="inlineStr">
        <is>
          <t>Vipin Mishra wrote both the songs and the background score for Aurangzeb (2013) and has no documented biography. The film is the second of Kapoor's antagonist roles for Yash Raj and the most structurally interesting: he plays a corrupt policeman against his own honest brother, both parts in a double game, which gives him the plot's intelligence rather than only its menace. It came a year after Agneepath and in the same year as D-Day, in the concentrated villain phase that followed his reinvention at fifty-nine. This row is built from the film's credits alone.</t>
        </is>
      </c>
      <c r="T547" s="5" t="inlineStr">
        <is>
          <t>SOURCE-134</t>
        </is>
      </c>
      <c r="U547" s="5" t="inlineStr">
        <is>
          <t>Low</t>
        </is>
      </c>
    </row>
    <row r="548" ht="124" customHeight="1">
      <c r="A548" s="15" t="inlineStr">
        <is>
          <t>PERSON-547</t>
        </is>
      </c>
      <c r="B548" s="5" t="inlineStr">
        <is>
          <t>Vipul Amrutlal Shah</t>
        </is>
      </c>
      <c r="C548" s="5" t="inlineStr">
        <is>
          <t>Director; Producer</t>
        </is>
      </c>
      <c r="D548" s="18" t="n"/>
      <c r="E548" s="18" t="n"/>
      <c r="F548" s="5" t="n"/>
      <c r="G548" s="5" t="inlineStr">
        <is>
          <t>Hindi and Gujarati cinema; Gujarati theatre</t>
        </is>
      </c>
      <c r="H548" s="5" t="inlineStr">
        <is>
          <t>Vipul Amrutlal Shah is an Indian film producer and director who began in Gujarati theatre, directing and performing in a number of well-received Gujarati plays. He moved to television with the long-running serial Ek Mahal Ho Sapno Ka, made his feature debut with the Gujarati film Dariya Chhoru, and then worked in Hindi cinema, where four of his six films starred Akshay Kumar.</t>
        </is>
      </c>
      <c r="I548" s="5" t="inlineStr">
        <is>
          <t>Gujarati theatre and the serial Ek Mahal Ho Sapno Ka; his Hindi debut was Aankhen (2002), adapted from his own Gujarati play.</t>
        </is>
      </c>
      <c r="J548" s="5" t="inlineStr">
        <is>
          <t>With Kapoor: Namastey London (2007), which he directed and produced. Elsewhere, Aankhen (2002), Waqt: The Race Against Time (2005) and, as producer and writer, The Kerala Story.</t>
        </is>
      </c>
      <c r="K548" s="19" t="inlineStr">
        <is>
          <t>Plays adapted for the screen; family obligation, diaspora identity and national belonging.</t>
        </is>
      </c>
      <c r="L548" s="19" t="inlineStr">
        <is>
          <t>A theatre adapter working in mainstream Hindi cinema, latterly in explicitly political material.</t>
        </is>
      </c>
      <c r="M548" s="5" t="n"/>
      <c r="N548" s="19" t="inlineStr">
        <is>
          <t>A commercially successful director of the 2000s whose later production work turned towards propaganda.</t>
        </is>
      </c>
      <c r="O548" s="19" t="inlineStr">
        <is>
          <t>One film: Namastey London (2007), which he directed and produced, in which Kapoor plays Manmohan, who went to London to make his fortune and never went home, ashamed of a wife who cannot speak English and father to a daughter ashamed of India in turn.</t>
        </is>
      </c>
      <c r="P548" s="17" t="n">
        <v>1</v>
      </c>
      <c r="Q548" s="5" t="inlineStr">
        <is>
          <t>FILM-123</t>
        </is>
      </c>
      <c r="R548" s="5" t="inlineStr">
        <is>
          <t>Namastey London (2007)</t>
        </is>
      </c>
      <c r="S548" s="5" t="inlineStr">
        <is>
          <t>Vipul Amrutlal Shah directed Namastey London, among the best of Rishi Kapoor's supporting roles. Shah came up through Gujarati theatre, adapted his own play Aandhlo Pato into the hit Aankhen in 2002, followed it with Waqt in 2005, and made four films with Akshay Kumar; his later work includes producing and writing The Kerala Story. Namastey London gives Kapoor the Punjabi father in Southall whose own embarrassment at his wife has produced a daughter contemptuous of where she comes from, and the film takes his position seriously rather than mocking it. The part arrives in the same year as two undistributed English-language films for his cousin, which places it precisely at the turn from the thin years to the late revival.</t>
        </is>
      </c>
      <c r="T548" s="5" t="inlineStr">
        <is>
          <t>SOURCE-114; SOURCE-423</t>
        </is>
      </c>
      <c r="U548" s="5" t="inlineStr">
        <is>
          <t>High</t>
        </is>
      </c>
    </row>
    <row r="549" ht="109" customHeight="1">
      <c r="A549" s="15" t="inlineStr">
        <is>
          <t>PERSON-548</t>
        </is>
      </c>
      <c r="B549" s="5" t="inlineStr">
        <is>
          <t>Virendra Sinha</t>
        </is>
      </c>
      <c r="C549" s="5" t="inlineStr">
        <is>
          <t>Producer</t>
        </is>
      </c>
      <c r="D549" s="18" t="n"/>
      <c r="E549" s="18" t="n"/>
      <c r="F549" s="5" t="n"/>
      <c r="G549" s="5" t="inlineStr">
        <is>
          <t>Hindi cinema</t>
        </is>
      </c>
      <c r="H549" s="5" t="inlineStr">
        <is>
          <t>A producer credited on one film in this filmography, with no Wikipedia article of his own.</t>
        </is>
      </c>
      <c r="I549" s="5" t="n"/>
      <c r="J549" s="5" t="inlineStr">
        <is>
          <t>With Kapoor: Zehreela Insaan (1974).</t>
        </is>
      </c>
      <c r="K549" s="19" t="inlineStr">
        <is>
          <t>Not documented.</t>
        </is>
      </c>
      <c r="L549" s="19" t="inlineStr">
        <is>
          <t>Not documented.</t>
        </is>
      </c>
      <c r="M549" s="5" t="n"/>
      <c r="N549" s="19" t="inlineStr">
        <is>
          <t>Not independently documented.</t>
        </is>
      </c>
      <c r="O549" s="19" t="inlineStr">
        <is>
          <t>One film: Zehreela Insaan (1974), Puttanna Kanagal's Hindi version of his Kannada film Nagarahavu, in which Kapoor plays Arjun, an ill-tempered, soft-hearted young man whom the village reads as a bad character and who is obedient only to the schoolmaster who sees his qualities.</t>
        </is>
      </c>
      <c r="P549" s="17" t="n">
        <v>1</v>
      </c>
      <c r="Q549" s="5" t="inlineStr">
        <is>
          <t>FILM-004</t>
        </is>
      </c>
      <c r="R549" s="5" t="inlineStr">
        <is>
          <t>Zehreela Insaan (1974)</t>
        </is>
      </c>
      <c r="S549" s="5" t="inlineStr">
        <is>
          <t>Virendra Sinha produced Zehreela Insaan (1974) under the Pragati Chitra International banner and has no documented biography. The film is the most interesting failure of Rishi Kapoor's early career: made immediately after Bobby, directed by a major Kannada filmmaker from a novel by the Kannada writer T. R. Subba Rao, and built around a protagonist whose anger the film treats as a social misreading rather than a flaw. It gave him two separate romances, with Aarti lost to a forced marriage and a second love in his Christian classmate, and nothing like it appears again in the filmography. This row is built from the film's credits alone.</t>
        </is>
      </c>
      <c r="T549" s="5" t="inlineStr">
        <is>
          <t>SOURCE-005</t>
        </is>
      </c>
      <c r="U549" s="5" t="inlineStr">
        <is>
          <t>Low</t>
        </is>
      </c>
    </row>
    <row r="550" ht="94" customHeight="1">
      <c r="A550" s="15" t="inlineStr">
        <is>
          <t>PERSON-549</t>
        </is>
      </c>
      <c r="B550" s="5" t="inlineStr">
        <is>
          <t>Vision Universal</t>
        </is>
      </c>
      <c r="C550" s="5" t="inlineStr">
        <is>
          <t>Production banner</t>
        </is>
      </c>
      <c r="D550" s="18" t="n"/>
      <c r="E550" s="18" t="n"/>
      <c r="F550" s="5" t="n"/>
      <c r="G550" s="5" t="inlineStr">
        <is>
          <t>Hindi cinema</t>
        </is>
      </c>
      <c r="H550" s="5" t="inlineStr">
        <is>
          <t>A production banner credited on one film in this filmography, with no Wikipedia article of its own.</t>
        </is>
      </c>
      <c r="I550" s="5" t="n"/>
      <c r="J550" s="5" t="inlineStr">
        <is>
          <t>With Kapoor: Ram Tere Kitne Nam (1985).</t>
        </is>
      </c>
      <c r="K550" s="19" t="inlineStr">
        <is>
          <t>Not documented.</t>
        </is>
      </c>
      <c r="L550" s="19" t="inlineStr">
        <is>
          <t>Not documented.</t>
        </is>
      </c>
      <c r="M550" s="5" t="n"/>
      <c r="N550" s="19" t="inlineStr">
        <is>
          <t>Not independently documented.</t>
        </is>
      </c>
      <c r="O550" s="19" t="inlineStr">
        <is>
          <t>One film: Ram Tere Kitne Nam (1985), P. Madhavan's drama about an overweight, sensitive man who becomes a film star to win the woman he loves and returns to find her married, in which Kapoor appears as himself. The film belongs to Sanjeev Kumar.</t>
        </is>
      </c>
      <c r="P550" s="17" t="n">
        <v>1</v>
      </c>
      <c r="Q550" s="5" t="inlineStr">
        <is>
          <t>FILM-045</t>
        </is>
      </c>
      <c r="R550" s="5" t="inlineStr">
        <is>
          <t>Ram Tere Kitne Nam (1985)</t>
        </is>
      </c>
      <c r="S550" s="5" t="inlineStr">
        <is>
          <t>Vision Universal is credited on Ram Tere Kitne Nam (1985) and has no documented history. Kapoor's appearance as himself is the second of four such credits, and like the others it comes in a film about the film industry. 1985 was one of his busiest years, with Saagar, Tawaif and Zamana all released within months, and the self-appearance sits among them as a courtesy rather than a role. The Films sheet records its romance presence as none, which the Overview's counts depend on. This row is built from the film's credits alone.</t>
        </is>
      </c>
      <c r="T550" s="5" t="inlineStr">
        <is>
          <t>SOURCE-050</t>
        </is>
      </c>
      <c r="U550" s="5" t="inlineStr">
        <is>
          <t>Low</t>
        </is>
      </c>
    </row>
    <row r="551" ht="109" customHeight="1">
      <c r="A551" s="15" t="inlineStr">
        <is>
          <t>PERSON-550</t>
        </is>
      </c>
      <c r="B551" s="5" t="inlineStr">
        <is>
          <t>Vivek Anchalia</t>
        </is>
      </c>
      <c r="C551" s="5" t="inlineStr">
        <is>
          <t>Writer</t>
        </is>
      </c>
      <c r="D551" s="18" t="n"/>
      <c r="E551" s="18" t="n"/>
      <c r="F551" s="5" t="n"/>
      <c r="G551" s="5" t="inlineStr">
        <is>
          <t>Hindi cinema</t>
        </is>
      </c>
      <c r="H551" s="5" t="inlineStr">
        <is>
          <t>A writer credited on one film in this filmography, with no Wikipedia article of his own.</t>
        </is>
      </c>
      <c r="I551" s="5" t="n"/>
      <c r="J551" s="5" t="inlineStr">
        <is>
          <t>With Kapoor: Rajma Chawal (2018).</t>
        </is>
      </c>
      <c r="K551" s="19" t="inlineStr">
        <is>
          <t>Not documented.</t>
        </is>
      </c>
      <c r="L551" s="19" t="inlineStr">
        <is>
          <t>Not documented.</t>
        </is>
      </c>
      <c r="M551" s="5" t="n"/>
      <c r="N551" s="19" t="inlineStr">
        <is>
          <t>Not independently documented.</t>
        </is>
      </c>
      <c r="O551" s="19" t="inlineStr">
        <is>
          <t>One film: Rajma Chawal (2018), Leena Yadav's comedy drama, in which Kapoor plays Raj Mathur, a widower who cannot talk to the son he is now alone with, joins Facebook to reach him, is blocked, and then steals a young woman's identity to become the boy's confidante.</t>
        </is>
      </c>
      <c r="P551" s="17" t="n">
        <v>1</v>
      </c>
      <c r="Q551" s="5" t="inlineStr">
        <is>
          <t>FILM-157</t>
        </is>
      </c>
      <c r="R551" s="5" t="inlineStr">
        <is>
          <t>Rajma Chawal (2018)</t>
        </is>
      </c>
      <c r="S551" s="5" t="inlineStr">
        <is>
          <t>Vivek Anchalia is credited as a writer on Rajma Chawal (2018) and has no documented biography. The film went to Netflix rather than cinemas and is one of Kapoor's last two leads. The part could not have existed earlier in his career: a father who is inept, quietly dishonest and visibly lonely, with no romantic function at all, in a comedy that depends on him impersonating a young woman online. His final films pursue that register consistently, from Do Dooni Chaar through Sharmaji Namkeen. This row is built from the film's credits alone.</t>
        </is>
      </c>
      <c r="T551" s="5" t="inlineStr">
        <is>
          <t>SOURCE-149</t>
        </is>
      </c>
      <c r="U551" s="5" t="inlineStr">
        <is>
          <t>Low</t>
        </is>
      </c>
    </row>
    <row r="552" ht="94" customHeight="1">
      <c r="A552" s="15" t="inlineStr">
        <is>
          <t>PERSON-551</t>
        </is>
      </c>
      <c r="B552" s="5" t="inlineStr">
        <is>
          <t>Vivek Rangachari</t>
        </is>
      </c>
      <c r="C552" s="5" t="inlineStr">
        <is>
          <t>Producer</t>
        </is>
      </c>
      <c r="D552" s="18" t="n"/>
      <c r="E552" s="18" t="n"/>
      <c r="F552" s="5" t="n"/>
      <c r="G552" s="5" t="inlineStr">
        <is>
          <t>Hindi cinema</t>
        </is>
      </c>
      <c r="H552" s="5" t="inlineStr">
        <is>
          <t>A producer credited on one film in this filmography, with no Wikipedia article of his own.</t>
        </is>
      </c>
      <c r="I552" s="5" t="n"/>
      <c r="J552" s="5" t="inlineStr">
        <is>
          <t>With Kapoor: D-Day (2013).</t>
        </is>
      </c>
      <c r="K552" s="19" t="inlineStr">
        <is>
          <t>Not documented.</t>
        </is>
      </c>
      <c r="L552" s="19" t="inlineStr">
        <is>
          <t>Not documented.</t>
        </is>
      </c>
      <c r="M552" s="5" t="n"/>
      <c r="N552" s="19" t="inlineStr">
        <is>
          <t>Not independently documented.</t>
        </is>
      </c>
      <c r="O552" s="19" t="inlineStr">
        <is>
          <t>One film: D-Day (2013), Nikhil Advani's spy thriller, in which Kapoor plays Iqbal Seth, called Goldman, the fugitive a RAW agent has spent nine years undercover as a barber to track, who escapes the snatch operation and is then hunted by his own protectors.</t>
        </is>
      </c>
      <c r="P552" s="17" t="n">
        <v>1</v>
      </c>
      <c r="Q552" s="5" t="inlineStr">
        <is>
          <t>FILM-143</t>
        </is>
      </c>
      <c r="R552" s="5" t="inlineStr">
        <is>
          <t>D-Day (2013)</t>
        </is>
      </c>
      <c r="S552" s="5" t="inlineStr">
        <is>
          <t>Vivek Rangachari is credited as a producer on D-Day (2013) and has no documented biography. The film gave Kapoor the hardest role of his late career, a Dawood Ibrahim figure played without charm as an exit route, and it is the second of two films Nikhil Advani made with him after Patiala House in 2011. In those two films Advani used him in opposite ways, as a father whose authority has ruined his son and as a gangster whose domesticity makes him worse, which is the clearest demonstration of how wide his late range actually was. This row is built from the film's credits alone.</t>
        </is>
      </c>
      <c r="T552" s="5" t="inlineStr">
        <is>
          <t>SOURCE-135</t>
        </is>
      </c>
      <c r="U552" s="5" t="inlineStr">
        <is>
          <t>Low</t>
        </is>
      </c>
    </row>
    <row r="553" ht="124" customHeight="1">
      <c r="A553" s="15" t="inlineStr">
        <is>
          <t>PERSON-552</t>
        </is>
      </c>
      <c r="B553" s="5" t="inlineStr">
        <is>
          <t>Vivek Sharma</t>
        </is>
      </c>
      <c r="C553" s="5" t="inlineStr">
        <is>
          <t>Director; Writer</t>
        </is>
      </c>
      <c r="D553" s="17" t="n">
        <v>1969</v>
      </c>
      <c r="E553" s="18" t="n"/>
      <c r="F553" s="5" t="n"/>
      <c r="G553" s="5" t="inlineStr">
        <is>
          <t>Hindi cinema</t>
        </is>
      </c>
      <c r="H553" s="5" t="inlineStr">
        <is>
          <t>Vivek Sharma is an Indian filmmaker, born in Jabalpur in 1969. He took a master's degree in physics, moved to Mumbai in 1992 and spent six years as an assistant director to Mahesh Bhatt on films including Hum Hain Rahi Pyar Ke, Naajayaz, Chaahat and Duplicate, then worked with Shah Rukh Khan and Juhi Chawla's Dreamz Unlimited on Phir Bhi Dil Hai Hindustani, Asoka and Chalte Chalte.</t>
        </is>
      </c>
      <c r="I553" s="5" t="inlineStr">
        <is>
          <t>Directorial debut with Bhoothnath (2008), for which Amitabh Bachchan agreed to lead.</t>
        </is>
      </c>
      <c r="J553" s="5" t="inlineStr">
        <is>
          <t>With Kapoor: Kal Kissne Dekha (2009). Elsewhere, Bhoothnath (2008).</t>
        </is>
      </c>
      <c r="K553" s="19" t="inlineStr">
        <is>
          <t>Family-facing fantasy and youth cinema.</t>
        </is>
      </c>
      <c r="L553" s="19" t="inlineStr">
        <is>
          <t>A long-serving assistant director whose own films work in broad commercial genres.</t>
        </is>
      </c>
      <c r="M553" s="5" t="n"/>
      <c r="N553" s="19" t="inlineStr">
        <is>
          <t>Known chiefly for Bhoothnath, a commercially successful children's fantasy with Amitabh Bachchan.</t>
        </is>
      </c>
      <c r="O553" s="19" t="inlineStr">
        <is>
          <t>One film: Kal Kissne Dekha (2009), which he directed, in which Kapoor plays Professor Siddharth Verma, the college warden revealed at the end to be the man behind the bombings his gifted student has been trying to prevent. It is the earliest antagonist role in this filmography.</t>
        </is>
      </c>
      <c r="P553" s="17" t="n">
        <v>1</v>
      </c>
      <c r="Q553" s="5" t="inlineStr">
        <is>
          <t>FILM-130</t>
        </is>
      </c>
      <c r="R553" s="5" t="inlineStr">
        <is>
          <t>Kal Kissne Dekha (2009)</t>
        </is>
      </c>
      <c r="S553" s="5" t="inlineStr">
        <is>
          <t>Vivek Sharma directed Kal Kissne Dekha, which contains Rishi Kapoor's first villain. Born in Jabalpur in 1969 with a master's in physics, Sharma spent six years assisting Mahesh Bhatt, worked through Dreamz Unlimited on Phir Bhi Dil Hai Hindustani and Chalte Chalte, and made his debut with Bhoothnath in 2008 after persuading Amitabh Bachchan to lead it. This follow-up, a science-fiction launch vehicle for Jackky Bhagnani, failed. The role in it matters anyway: the avuncular warden whose warmth is the disguise, played three years before Agneepath made that reversal famous and earned Kapoor a second career as an antagonist. Nobody noticed at the time, which is why the Films sheet rather than the critical record is where the shift is visible.</t>
        </is>
      </c>
      <c r="T553" s="5" t="inlineStr">
        <is>
          <t>SOURCE-122; SOURCE-424</t>
        </is>
      </c>
      <c r="U553" s="5" t="inlineStr">
        <is>
          <t>High</t>
        </is>
      </c>
    </row>
    <row r="554" ht="154" customHeight="1">
      <c r="A554" s="15" t="inlineStr">
        <is>
          <t>PERSON-553</t>
        </is>
      </c>
      <c r="B554" s="5" t="inlineStr">
        <is>
          <t>Walt Disney Pictures</t>
        </is>
      </c>
      <c r="C554" s="5" t="inlineStr">
        <is>
          <t>Production banner</t>
        </is>
      </c>
      <c r="D554" s="18" t="n"/>
      <c r="E554" s="18" t="n"/>
      <c r="F554" s="5" t="n"/>
      <c r="G554" s="5" t="inlineStr">
        <is>
          <t>American cinema; Hindi-language production</t>
        </is>
      </c>
      <c r="H554" s="5" t="inlineStr">
        <is>
          <t>Walt Disney Pictures is an American film production company and a subsidiary of the Walt Disney Studios, founded on 16 October 1923 and based in Burbank, California. It became the live-action division named Walt Disney Pictures in the 1983 studio reorganisation that also created Touchstone Pictures, and its films are distributed by Walt Disney Studios Motion Pictures.</t>
        </is>
      </c>
      <c r="I554" s="5" t="inlineStr">
        <is>
          <t>Live-action production from the 1950s; the Walt Disney Pictures name from 1983.</t>
        </is>
      </c>
      <c r="J554" s="5" t="inlineStr">
        <is>
          <t>With Kapoor: Do Dooni Chaar (2010). Elsewhere, a very large slate of American live-action features.</t>
        </is>
      </c>
      <c r="K554" s="19" t="inlineStr">
        <is>
          <t>Family-facing features; in India, a short-lived slate of local-language productions.</t>
        </is>
      </c>
      <c r="L554" s="19" t="inlineStr">
        <is>
          <t>A studio operation; in India it backed small, realistic films quite unlike its American output.</t>
        </is>
      </c>
      <c r="M554" s="5" t="n"/>
      <c r="N554" s="19" t="inlineStr">
        <is>
          <t>One of the major studios of world cinema, and for a few years around 2010 a direct investor in Hindi-language production.</t>
        </is>
      </c>
      <c r="O554" s="19" t="inlineStr">
        <is>
          <t>One film: Do Dooni Chaar (2010), in which Kapoor plays Santosh Duggal, a Delhi maths teacher whose family of four shares a one-bedroom flat and whose dignity is invested in a decrepit scooter called the Duggal Express, until his sister's demand that they arrive at a wedding by car sets the plot going. He played it opposite Neetu Singh, his first film with her in nearly thirty years, and it won him the National Film Award.</t>
        </is>
      </c>
      <c r="P554" s="17" t="n">
        <v>1</v>
      </c>
      <c r="Q554" s="5" t="inlineStr">
        <is>
          <t>FILM-134</t>
        </is>
      </c>
      <c r="R554" s="5" t="inlineStr">
        <is>
          <t>Do Dooni Chaar (2010)</t>
        </is>
      </c>
      <c r="S554" s="5" t="inlineStr">
        <is>
          <t>Walt Disney Pictures financed Do Dooni Chaar, the film that confirmed Rishi Kapoor's second career. Founded in 1923 and reorganised into its present live-action form in 1983, Disney spent a few years around 2010 investing directly in Hindi-language production, and this is one of the results: a small, realistic comedy about a maths teacher who cannot afford a car, shot largely in a one-bedroom flat. It is the least glamorous film in this filmography and the best received of his leads, winning the National Film Award for Best Feature Film in Hindi, and it reunited him with Neetu Singh for the first time since the 1980s, as a long-married couple rather than as lovers. The contrast with his 1970s work is the point: the romance here is domestic, exhausted and entirely credible.</t>
        </is>
      </c>
      <c r="T554" s="5" t="inlineStr">
        <is>
          <t>SOURCE-126; SOURCE-425</t>
        </is>
      </c>
      <c r="U554" s="5" t="inlineStr">
        <is>
          <t>High</t>
        </is>
      </c>
    </row>
    <row r="555" ht="94" customHeight="1">
      <c r="A555" s="15" t="inlineStr">
        <is>
          <t>PERSON-554</t>
        </is>
      </c>
      <c r="B555" s="5" t="inlineStr">
        <is>
          <t>Walt Disney Pictures India</t>
        </is>
      </c>
      <c r="C555" s="5" t="inlineStr">
        <is>
          <t>Production banner</t>
        </is>
      </c>
      <c r="D555" s="18" t="n"/>
      <c r="E555" s="18" t="n"/>
      <c r="F555" s="5" t="n"/>
      <c r="G555" s="5" t="inlineStr">
        <is>
          <t>Hindi cinema</t>
        </is>
      </c>
      <c r="H555" s="5" t="inlineStr">
        <is>
          <t>The Indian production arm credited on this film, for which no separate Wikipedia article exists; the parent company, Walt Disney Pictures, is documented. Disney invested directly in Hindi-language production for a few years around 2010.</t>
        </is>
      </c>
      <c r="I555" s="5" t="n"/>
      <c r="J555" s="5" t="inlineStr">
        <is>
          <t>With Kapoor: Do Dooni Chaar (2010).</t>
        </is>
      </c>
      <c r="K555" s="19" t="inlineStr">
        <is>
          <t>Small-scale, realistic Hindi features, unlike the parent studio's American slate.</t>
        </is>
      </c>
      <c r="L555" s="19" t="inlineStr">
        <is>
          <t>Not separately documented.</t>
        </is>
      </c>
      <c r="M555" s="5" t="n"/>
      <c r="N555" s="19" t="inlineStr">
        <is>
          <t>Part of the brief period in which Hollywood studios financed local-language Indian production directly.</t>
        </is>
      </c>
      <c r="O555" s="19" t="inlineStr">
        <is>
          <t>One film: Do Dooni Chaar (2010), in which Kapoor plays the Delhi maths teacher Santosh Duggal opposite Neetu Singh, and for which he won the National Film Award.</t>
        </is>
      </c>
      <c r="P555" s="17" t="n">
        <v>1</v>
      </c>
      <c r="Q555" s="5" t="inlineStr">
        <is>
          <t>FILM-134</t>
        </is>
      </c>
      <c r="R555" s="5" t="inlineStr">
        <is>
          <t>Do Dooni Chaar (2010)</t>
        </is>
      </c>
      <c r="S555" s="5" t="inlineStr">
        <is>
          <t>Walt Disney Pictures India is credited on Do Dooni Chaar (2010) and has no documented history of its own apart from its parent company. The credit records something real about how Kapoor's late career became possible: for a few years around 2010 international studios financed small Hindi films directly, and a comedy about a schoolteacher who cannot afford a car, with no stars of the moment and no spectacle, could be made with a Disney logo on it. The film won the National Film Award for Best Feature Film in Hindi and reunited him with Neetu Singh after almost thirty years.</t>
        </is>
      </c>
      <c r="T555" s="5" t="inlineStr">
        <is>
          <t>SOURCE-126; SOURCE-425</t>
        </is>
      </c>
      <c r="U555" s="5" t="inlineStr">
        <is>
          <t>Low</t>
        </is>
      </c>
    </row>
    <row r="556" ht="139" customHeight="1">
      <c r="A556" s="15" t="inlineStr">
        <is>
          <t>PERSON-555</t>
        </is>
      </c>
      <c r="B556" s="5" t="inlineStr">
        <is>
          <t>Yash Johar</t>
        </is>
      </c>
      <c r="C556" s="5" t="inlineStr">
        <is>
          <t>Producer</t>
        </is>
      </c>
      <c r="D556" s="17" t="n">
        <v>1929</v>
      </c>
      <c r="E556" s="17" t="n">
        <v>2004</v>
      </c>
      <c r="F556" s="5" t="n"/>
      <c r="G556" s="5" t="inlineStr">
        <is>
          <t>Hindi cinema</t>
        </is>
      </c>
      <c r="H556" s="5" t="inlineStr">
        <is>
          <t>Yash Johar was an Indian film producer and the founder of Dharma Productions. Born in Amritsar in 1929 into a Punjabi Hindu family associated with the Arya Samaj, he began in the early 1950s as a publicist and still photographer at Filmistan, joined Sunil Dutt's Ajanta Arts in 1962, and handled production for Dev Anand's Navketan Films on Guide, Jewel Thief, Prem Pujari and Hare Rama Hare Krishna before founding his own banner.</t>
        </is>
      </c>
      <c r="I556" s="5" t="inlineStr">
        <is>
          <t>Production management from the 1960s; Dharma Productions from 1976.</t>
        </is>
      </c>
      <c r="J556" s="5" t="inlineStr">
        <is>
          <t>With Kapoor: Duniya (1984). Elsewhere, the Dharma Productions slate, including Dostana, Agneepath (1990) and Kuch Kuch Hota Hai.</t>
        </is>
      </c>
      <c r="K556" s="19" t="inlineStr">
        <is>
          <t>Lavish sets, foreign locations and an emphasis on Indian tradition and family values.</t>
        </is>
      </c>
      <c r="L556" s="19" t="inlineStr">
        <is>
          <t>A production man by training, whose banner's style was built on scale and sentiment.</t>
        </is>
      </c>
      <c r="M556" s="5" t="n"/>
      <c r="N556" s="19" t="inlineStr">
        <is>
          <t>Founder of one of the two or three most important production houses in modern Hindi cinema, carried on by his son Karan Johar.</t>
        </is>
      </c>
      <c r="O556" s="19" t="inlineStr">
        <is>
          <t>One film in his own lifetime: Duniya (1984), Ramesh Talwar's action drama, in which Kapoor plays Ravi, the lost son working for the men who framed his father. The more consequential link is institutional: Dharma, under his son Karan Johar, gave Kapoor three films in 2012 alone, including Agneepath, the remake of the 1990 film Yash Johar himself produced.</t>
        </is>
      </c>
      <c r="P556" s="17" t="n">
        <v>1</v>
      </c>
      <c r="Q556" s="5" t="inlineStr">
        <is>
          <t>FILM-043</t>
        </is>
      </c>
      <c r="R556" s="5" t="inlineStr">
        <is>
          <t>Duniya (1984)</t>
        </is>
      </c>
      <c r="S556" s="5" t="inlineStr">
        <is>
          <t>Yash Johar produced Duniya, the one Dharma Productions film Rishi Kapoor made in his lifetime, and founded the company that reopened his career twenty-eight years later. Born in Amritsar in 1929, Johar learned production as a publicist at Filmistan and then with Sunil Dutt's Ajanta Arts and Dev Anand's Navketan, where he managed Guide, Jewel Thief and Hare Rama Hare Krishna, before building Dharma into a banner known for scale and sentiment; he married Yash Chopra's sister Hiroo and died in 2004. The sequence is worth stating plainly: he produced Agneepath in 1990 with Amitabh Bachchan, his son remade it in 2012 with Kapoor as Rauf Lala, and that performance, together with Student of the Year and Agneepath's reception, gave him his final decade of work.</t>
        </is>
      </c>
      <c r="T556" s="5" t="inlineStr">
        <is>
          <t>SOURCE-043; SOURCE-426</t>
        </is>
      </c>
      <c r="U556" s="5" t="inlineStr">
        <is>
          <t>High</t>
        </is>
      </c>
    </row>
    <row r="557" ht="124" customHeight="1">
      <c r="A557" s="15" t="inlineStr">
        <is>
          <t>PERSON-556</t>
        </is>
      </c>
      <c r="B557" s="5" t="inlineStr">
        <is>
          <t>Yo Yo Honey Singh</t>
        </is>
      </c>
      <c r="C557" s="5" t="inlineStr">
        <is>
          <t>Song composer</t>
        </is>
      </c>
      <c r="D557" s="17" t="n">
        <v>1983</v>
      </c>
      <c r="E557" s="18" t="n"/>
      <c r="F557" s="5" t="n"/>
      <c r="G557" s="5" t="inlineStr">
        <is>
          <t>Indian popular music; Hindi and Punjabi cinema</t>
        </is>
      </c>
      <c r="H557" s="5" t="inlineStr">
        <is>
          <t>Hirdesh Singh, known as Yo Yo Honey Singh, is an Indian musician, rapper and producer. Born in Karampura, Delhi, in 1983 and educated at Guru Nanak Public School in New Delhi, he is of Punjabi origin and began in the music industry in 2006, becoming one of the most commercially dominant figures in Indian popular music in the early 2010s.</t>
        </is>
      </c>
      <c r="I557" s="5" t="inlineStr">
        <is>
          <t>The 2006 song Glassy, a collaboration with the singer Ashok Masti; his first Hindi film song was in Mastan.</t>
        </is>
      </c>
      <c r="J557" s="5" t="inlineStr">
        <is>
          <t>With Kapoor: Jhootha Kahin Ka (2019). Elsewhere, Brown Rang, High Heels and songs for Cocktail and Mastan.</t>
        </is>
      </c>
      <c r="K557" s="19" t="inlineStr">
        <is>
          <t>Punjabi pop and hip-hop built for clubs and film montages.</t>
        </is>
      </c>
      <c r="L557" s="19" t="inlineStr">
        <is>
          <t>Rhythm-led production with rapped hooks; the voice of the item-song economy of the 2010s.</t>
        </is>
      </c>
      <c r="M557" s="5" t="n"/>
      <c r="N557" s="19" t="inlineStr">
        <is>
          <t>The figure most associated with the Punjabi-pop takeover of Hindi film soundtracks in the early 2010s; in 2012 he set a record for the highest fee reported for a Bollywood song.</t>
        </is>
      </c>
      <c r="O557" s="19" t="inlineStr">
        <is>
          <t>One film: Jhootha Kahin Ka (2019), Smeep Kang's comedy, in which Kapoor plays the widowed father Yograj Singh. Singh is one of several composers credited on the film.</t>
        </is>
      </c>
      <c r="P557" s="17" t="n">
        <v>1</v>
      </c>
      <c r="Q557" s="5" t="inlineStr">
        <is>
          <t>FILM-158</t>
        </is>
      </c>
      <c r="R557" s="5" t="inlineStr">
        <is>
          <t>Jhootha Kahin Ka (2019)</t>
        </is>
      </c>
      <c r="S557" s="5" t="inlineStr">
        <is>
          <t>Yo Yo Honey Singh contributed music to Jhootha Kahin Ka, one of Rishi Kapoor's last films. Born Hirdesh Singh in Delhi in 1983, he debuted in 2006 with Glassy alongside Ashok Masti, became ubiquitous in the early 2010s through college-festival touring and the YouTube success of Brown Rang and High Heels, and in 2012 reportedly commanded the highest fee ever paid for a Bollywood song, for Cocktail and Mastan. The credit marks the full distance travelled by the film song across Kapoor's career. His own stardom was built on complete soundtracks by R. D. Burman and Laxmikant-Pyarelal, picturised on him in long romantic sequences; his last films distribute a few songs among several pop producers, and he appears in them as a father watching other people dance.</t>
        </is>
      </c>
      <c r="T557" s="5" t="inlineStr">
        <is>
          <t>SOURCE-150; SOURCE-427</t>
        </is>
      </c>
      <c r="U557" s="5" t="inlineStr">
        <is>
          <t>Medium</t>
        </is>
      </c>
    </row>
    <row r="558" ht="109" customHeight="1">
      <c r="A558" s="15" t="inlineStr">
        <is>
          <t>PERSON-557</t>
        </is>
      </c>
      <c r="B558" s="5" t="inlineStr">
        <is>
          <t>Yu Avetikov</t>
        </is>
      </c>
      <c r="C558" s="5" t="inlineStr">
        <is>
          <t>Writer</t>
        </is>
      </c>
      <c r="D558" s="18" t="n"/>
      <c r="E558" s="18" t="n"/>
      <c r="F558" s="5" t="n"/>
      <c r="G558" s="5" t="inlineStr">
        <is>
          <t>Soviet cinema</t>
        </is>
      </c>
      <c r="H558" s="5" t="inlineStr">
        <is>
          <t>A Soviet writer credited on one film in this filmography, with no Wikipedia article located under this name.</t>
        </is>
      </c>
      <c r="I558" s="5" t="n"/>
      <c r="J558" s="5" t="inlineStr">
        <is>
          <t>With Kapoor: Ajooba (1991).</t>
        </is>
      </c>
      <c r="K558" s="19" t="inlineStr">
        <is>
          <t>Not documented.</t>
        </is>
      </c>
      <c r="L558" s="19" t="inlineStr">
        <is>
          <t>Not documented.</t>
        </is>
      </c>
      <c r="M558" s="5" t="n"/>
      <c r="N558" s="19" t="inlineStr">
        <is>
          <t>Not independently documented.</t>
        </is>
      </c>
      <c r="O558" s="19" t="inlineStr">
        <is>
          <t>One film: Ajooba (1991), the Indo-Soviet fantasy adventure directed by Shashi Kapoor with Gennady Vasilyev, in which Kapoor plays Hassan, friend and accomplice to Amitabh Bachchan's masked rider. He is credited alongside the Soviet screenwriter Valentin Yezhov.</t>
        </is>
      </c>
      <c r="P558" s="17" t="n">
        <v>1</v>
      </c>
      <c r="Q558" s="5" t="inlineStr">
        <is>
          <t>FILM-080</t>
        </is>
      </c>
      <c r="R558" s="5" t="inlineStr">
        <is>
          <t>Ajooba (1991)</t>
        </is>
      </c>
      <c r="S558" s="5" t="inlineStr">
        <is>
          <t>Yu Avetikov is one of two Soviet writers credited on Ajooba (1991) and has no locatable article. The film is the strangest entry in this filmography: an expensive Indo-Soviet co-production directed by Kapoor's uncle Shashi Kapoor with Gennady Vasilyev, written in part by the Cannes and BAFTA-winning screenwriter of Ballad of a Soldier, and released years late to comprehensive failure in India. Rishi Kapoor's role is the hero's companion, with no romance and no consequence, in what was the most costly miscalculation of his uncle's career. This row is built from the film's credits alone.</t>
        </is>
      </c>
      <c r="T558" s="5" t="inlineStr">
        <is>
          <t>SOURCE-075</t>
        </is>
      </c>
      <c r="U558" s="5" t="inlineStr">
        <is>
          <t>Low</t>
        </is>
      </c>
    </row>
    <row r="559" ht="109" customHeight="1">
      <c r="A559" s="15" t="inlineStr">
        <is>
          <t>PERSON-558</t>
        </is>
      </c>
      <c r="B559" s="5" t="inlineStr">
        <is>
          <t>Yusuf Bhatt</t>
        </is>
      </c>
      <c r="C559" s="5" t="inlineStr">
        <is>
          <t>Producer</t>
        </is>
      </c>
      <c r="D559" s="18" t="n"/>
      <c r="E559" s="18" t="n"/>
      <c r="F559" s="5" t="n"/>
      <c r="G559" s="5" t="inlineStr">
        <is>
          <t>Hindi cinema</t>
        </is>
      </c>
      <c r="H559" s="5" t="inlineStr">
        <is>
          <t>A producer credited on one film in this filmography, with no Wikipedia article of his own.</t>
        </is>
      </c>
      <c r="I559" s="5" t="n"/>
      <c r="J559" s="5" t="inlineStr">
        <is>
          <t>With Kapoor: Yaraana (1995).</t>
        </is>
      </c>
      <c r="K559" s="19" t="inlineStr">
        <is>
          <t>Not documented.</t>
        </is>
      </c>
      <c r="L559" s="19" t="inlineStr">
        <is>
          <t>Not documented.</t>
        </is>
      </c>
      <c r="M559" s="5" t="n"/>
      <c r="N559" s="19" t="inlineStr">
        <is>
          <t>Not independently documented.</t>
        </is>
      </c>
      <c r="O559" s="19" t="inlineStr">
        <is>
          <t>One film: Yaraana (1995), David Dhawan's romantic thriller, in which Kapoor plays Raj, who meets Lalita after she has escaped a forced marriage to the obsessive JB who kidnapped and watched her until the wedding day; she uses him as cover under a false name and the two fall in love.</t>
        </is>
      </c>
      <c r="P559" s="17" t="n">
        <v>1</v>
      </c>
      <c r="Q559" s="5" t="inlineStr">
        <is>
          <t>FILM-106</t>
        </is>
      </c>
      <c r="R559" s="5" t="inlineStr">
        <is>
          <t>Yaraana (1995)</t>
        </is>
      </c>
      <c r="S559" s="5" t="inlineStr">
        <is>
          <t>Yusuf Bhatt is credited as a producer on Yaraana (1995) and has no documented biography. The film is the third of five David Dhawan made with Kapoor, the longest director relationship in this filmography, running from Bol Radha Bol in 1992 to Chashme Buddoor in 2013. Its romance follows the mid-1990s pattern in which the threat to the couple is a violent or obsessive man rather than a disapproving family, and Kapoor, at forty-three, is the refuge rather than the pursuer. Madhuri Dixit carries the film. This row is built from the film's credits alone.</t>
        </is>
      </c>
      <c r="T559" s="5" t="inlineStr">
        <is>
          <t>SOURCE-099</t>
        </is>
      </c>
      <c r="U559" s="5" t="inlineStr">
        <is>
          <t>Low</t>
        </is>
      </c>
    </row>
    <row r="560" ht="154" customHeight="1">
      <c r="A560" s="15" t="inlineStr">
        <is>
          <t>PERSON-559</t>
        </is>
      </c>
      <c r="B560" s="5" t="inlineStr">
        <is>
          <t>Zakir Hussain</t>
        </is>
      </c>
      <c r="C560" s="5" t="inlineStr">
        <is>
          <t>Background-score composer</t>
        </is>
      </c>
      <c r="D560" s="17" t="n">
        <v>1951</v>
      </c>
      <c r="E560" s="17" t="n">
        <v>2024</v>
      </c>
      <c r="F560" s="5" t="n"/>
      <c r="G560" s="5" t="inlineStr">
        <is>
          <t>Hindustani classical music; international and Indian film</t>
        </is>
      </c>
      <c r="H560" s="5" t="inlineStr">
        <is>
          <t>Ustad Zakir Hussain Qureshi was an Indian tabla player, composer, arranger, percussionist and music producer, the eldest son of the tabla master Alla Rakha. Born in Bombay in 1951, he began formal training at seven, performed from the same age and toured from twelve. George Harrison advised him against becoming a rock drummer and towards combining Eastern and Western music, and he worked across many genres, doing much to bring Indian classical music to audiences abroad.</t>
        </is>
      </c>
      <c r="I560" s="5" t="inlineStr">
        <is>
          <t>Concert performance from childhood; international collaboration from the 1970s, including the band Shakti with John McLaughlin.</t>
        </is>
      </c>
      <c r="J560" s="5" t="inlineStr">
        <is>
          <t>With Kapoor: Manto (2018), as background-score composer. Elsewhere, a very large body of classical and cross-genre recording and performance.</t>
        </is>
      </c>
      <c r="K560" s="19" t="inlineStr">
        <is>
          <t>Rhythm as conversation; the meeting of Hindustani classical music with jazz and Western forms.</t>
        </is>
      </c>
      <c r="L560" s="19" t="inlineStr">
        <is>
          <t>A classical master who scored sparely for film, using percussion and acoustic texture rather than orchestral underlining.</t>
        </is>
      </c>
      <c r="M560" s="5" t="n"/>
      <c r="N560" s="19" t="inlineStr">
        <is>
          <t>One of the most celebrated Indian musicians of the past half-century; John McLaughlin called him the king of the tabla.</t>
        </is>
      </c>
      <c r="O560" s="19" t="inlineStr">
        <is>
          <t>One film: Manto (2018), Nandita Das's biographical drama, in which Kapoor appears briefly as an unnamed film producer in the Bombay film world Saadat Hasan Manto worked in before partition.</t>
        </is>
      </c>
      <c r="P560" s="17" t="n">
        <v>1</v>
      </c>
      <c r="Q560" s="5" t="inlineStr">
        <is>
          <t>FILM-156</t>
        </is>
      </c>
      <c r="R560" s="5" t="inlineStr">
        <is>
          <t>Manto (2018)</t>
        </is>
      </c>
      <c r="S560" s="5" t="inlineStr">
        <is>
          <t>Zakir Hussain is credited with the background score of Manto (2018), in which Rishi Kapoor has a single scene. Born in Bombay in 1951 to Alla Rakha, Hussain trained from the age of seven, performed from childhood and toured from twelve, and became the most internationally visible Indian classical musician of his generation, playing with John McLaughlin in Shakti and recording across jazz, world and classical forms until his death in San Francisco in December 2024. The identification here rests on the film's credit together with his documented composing work, so the row is graded Medium rather than High. The pairing is incidental but telling: the most distinguished musician in this entire sheet is attached to Kapoor's briefest appearance, in the only festival film of his last decade.</t>
        </is>
      </c>
      <c r="T560" s="5" t="inlineStr">
        <is>
          <t>SOURCE-147; SOURCE-428</t>
        </is>
      </c>
      <c r="U560" s="5" t="inlineStr">
        <is>
          <t>Medium</t>
        </is>
      </c>
    </row>
    <row r="561" ht="109" customHeight="1">
      <c r="A561" s="15" t="inlineStr">
        <is>
          <t>PERSON-560</t>
        </is>
      </c>
      <c r="B561" s="5" t="inlineStr">
        <is>
          <t>Zoeb Springwala</t>
        </is>
      </c>
      <c r="C561" s="5" t="inlineStr">
        <is>
          <t>Producer</t>
        </is>
      </c>
      <c r="D561" s="18" t="n"/>
      <c r="E561" s="18" t="n"/>
      <c r="F561" s="5" t="n"/>
      <c r="G561" s="5" t="inlineStr">
        <is>
          <t>Hindi cinema</t>
        </is>
      </c>
      <c r="H561" s="5" t="inlineStr">
        <is>
          <t>A producer credited on one film in this filmography, with no Wikipedia article of his own.</t>
        </is>
      </c>
      <c r="I561" s="5" t="n"/>
      <c r="J561" s="5" t="inlineStr">
        <is>
          <t>With Kapoor: Patiala House (2011).</t>
        </is>
      </c>
      <c r="K561" s="19" t="inlineStr">
        <is>
          <t>Not documented.</t>
        </is>
      </c>
      <c r="L561" s="19" t="inlineStr">
        <is>
          <t>Not documented.</t>
        </is>
      </c>
      <c r="M561" s="5" t="n"/>
      <c r="N561" s="19" t="inlineStr">
        <is>
          <t>Not independently documented.</t>
        </is>
      </c>
      <c r="O561" s="19" t="inlineStr">
        <is>
          <t>One film: Patiala House (2011), Nikhil Advani's sports drama, in which Kapoor plays Gurtej Singh Kahlon, called Bauji, who forbade his gifted son from bowling for England and once threatened suicide to stop him, and whose family conceals that the son has finally begun to play.</t>
        </is>
      </c>
      <c r="P561" s="17" t="n">
        <v>1</v>
      </c>
      <c r="Q561" s="5" t="inlineStr">
        <is>
          <t>FILM-135</t>
        </is>
      </c>
      <c r="R561" s="5" t="inlineStr">
        <is>
          <t>Patiala House (2011)</t>
        </is>
      </c>
      <c r="S561" s="5" t="inlineStr">
        <is>
          <t>Zoeb Springwala is credited as a producer on Patiala House (2011) and has no documented biography. The film gave Kapoor one of the strongest written parts of his late career: a Southall patriarch whose authority is exercised as sustained damage to his own son, hardened by a racist assault years earlier. It is the first of two films Nikhil Advani made with him, the second being D-Day, and together they show the two registers his last decade alternated between, the ruinous father and the genuine criminal. This row is built from the film's credits alone.</t>
        </is>
      </c>
      <c r="T561" s="5" t="inlineStr">
        <is>
          <t>SOURCE-127</t>
        </is>
      </c>
      <c r="U561" s="5" t="inlineStr">
        <is>
          <t>Low</t>
        </is>
      </c>
    </row>
    <row r="562" ht="154" customHeight="1">
      <c r="A562" s="15" t="inlineStr">
        <is>
          <t>PERSON-561</t>
        </is>
      </c>
      <c r="B562" s="5" t="inlineStr">
        <is>
          <t>Zoya Akhtar</t>
        </is>
      </c>
      <c r="C562" s="5" t="inlineStr">
        <is>
          <t>Director; Writer</t>
        </is>
      </c>
      <c r="D562" s="17" t="n">
        <v>1972</v>
      </c>
      <c r="E562" s="18" t="n"/>
      <c r="F562" s="5" t="n"/>
      <c r="G562" s="5" t="inlineStr">
        <is>
          <t>Hindi cinema and streaming</t>
        </is>
      </c>
      <c r="H562" s="5" t="inlineStr">
        <is>
          <t>Zoya Akhtar is an Indian director, producer and screenwriter, born in 1972 to the lyricist and screenwriter Javed Akhtar and the screenwriter Honey Irani. She took a diploma in filmmaking from NYU and assisted Mira Nair, Tony Gerber and Dev Benegal before writing and directing her own films. She founded Tiger Baby Films with Reema Kagti in 2015.</t>
        </is>
      </c>
      <c r="I562" s="5" t="inlineStr">
        <is>
          <t>Directorial debut Luck by Chance (2009), which won her the Filmfare Award for Best Debut Director.</t>
        </is>
      </c>
      <c r="J562" s="5" t="inlineStr">
        <is>
          <t>With Kapoor: Luck by Chance (2009). Elsewhere, Zindagi Na Milegi Dobara (2011), Dil Dhadakne Do (2015), Gully Boy (2019) and the series Made in Heaven and Dahaad.</t>
        </is>
      </c>
      <c r="K562" s="19" t="inlineStr">
        <is>
          <t>Ambition, privilege and the machinery of the film industry; friendship groups under pressure.</t>
        </is>
      </c>
      <c r="L562" s="19" t="inlineStr">
        <is>
          <t>Ensemble construction with an insider's eye for the industry's hierarchies, written and shot without melodrama.</t>
        </is>
      </c>
      <c r="M562" s="5" t="inlineStr">
        <is>
          <t>Four Filmfare Awards, including Best Debut Director for Luck by Chance and Best Director for Zindagi Na Milegi Dobara and Gully Boy.</t>
        </is>
      </c>
      <c r="N562" s="19" t="inlineStr">
        <is>
          <t>One of the defining Hindi directors of her generation and the most incisive chronicler of the film industry's own workings.</t>
        </is>
      </c>
      <c r="O562" s="19" t="inlineStr">
        <is>
          <t>One film: Luck by Chance (2009), her debut, in which Kapoor plays Romy Rolly, the producer whose casting decision makes the plot possible when a portfolio reaches his studio by accident and he hands an unknown the male lead. The part is a portrait of the kind of man who had been making decisions about Kapoor's own career for thirty-five years. Sajid Khan, who directed him in Housefull 2, is her cousin.</t>
        </is>
      </c>
      <c r="P562" s="17" t="n">
        <v>1</v>
      </c>
      <c r="Q562" s="5" t="inlineStr">
        <is>
          <t>FILM-128</t>
        </is>
      </c>
      <c r="R562" s="5" t="inlineStr">
        <is>
          <t>Luck by Chance (2009)</t>
        </is>
      </c>
      <c r="S562" s="5" t="inlineStr">
        <is>
          <t>Zoya Akhtar cast Rishi Kapoor as a film producer in Luck by Chance, her debut and one of the three 2009 films that restarted his career. Born in 1972 to Javed Akhtar and Honey Irani, she trained at NYU, assisted Mira Nair and Dev Benegal, and has since made Zindagi Na Milegi Dobara, Dil Dhadakne Do and Gully Boy, winning four Filmfare Awards and founding Tiger Baby Films with Reema Kagti. Luck by Chance is the sharpest film ever made about the Hindi industry's internal workings, and Romy Rolly, vain, superstitious and casually powerful, is written from inside it. Kapoor plays him with no vanity of his own, which is the first clear sign of what his late career would be: a star who had been handled by such men for decades, willing to play one exactly.</t>
        </is>
      </c>
      <c r="T562" s="5" t="inlineStr">
        <is>
          <t>SOURCE-120; SOURCE-429</t>
        </is>
      </c>
      <c r="U562" s="5" t="inlineStr">
        <is>
          <t>High</t>
        </is>
      </c>
    </row>
  </sheetData>
  <autoFilter ref="A1:U562"/>
  <dataValidations count="1">
    <dataValidation sqref="U2:U762" showDropDown="0" showInputMessage="0" showErrorMessage="1" allowBlank="1" errorTitle="Confidence Grade" error="Choose a value from the list." type="list">
      <formula1>"High,Medium,Low,Unknown"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11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24" customWidth="1" min="3" max="3"/>
    <col width="9" customWidth="1" min="4" max="4"/>
    <col width="22" customWidth="1" min="5" max="5"/>
    <col width="20" customWidth="1" min="6" max="6"/>
    <col width="16" customWidth="1" min="7" max="7"/>
    <col width="12" customWidth="1" min="8" max="8"/>
    <col width="30" customWidth="1" min="9" max="9"/>
    <col width="30" customWidth="1" min="10" max="10"/>
    <col width="50" customWidth="1" min="11" max="11"/>
    <col width="30" customWidth="1" min="12" max="12"/>
    <col width="22" customWidth="1" min="13" max="13"/>
  </cols>
  <sheetData>
    <row r="1" ht="36" customHeight="1">
      <c r="A1" s="12" t="inlineStr">
        <is>
          <t>Cast ID</t>
        </is>
      </c>
      <c r="B1" s="12" t="inlineStr">
        <is>
          <t>Film ID</t>
        </is>
      </c>
      <c r="C1" s="12" t="inlineStr">
        <is>
          <t>Film</t>
        </is>
      </c>
      <c r="D1" s="12" t="inlineStr">
        <is>
          <t>Release Year</t>
        </is>
      </c>
      <c r="E1" s="12" t="inlineStr">
        <is>
          <t>Actor</t>
        </is>
      </c>
      <c r="F1" s="12" t="inlineStr">
        <is>
          <t>Character</t>
        </is>
      </c>
      <c r="G1" s="12" t="inlineStr">
        <is>
          <t>Cast Function</t>
        </is>
      </c>
      <c r="H1" s="12" t="inlineStr">
        <is>
          <t>Importance Level</t>
        </is>
      </c>
      <c r="I1" s="12" t="inlineStr">
        <is>
          <t>Relationship to Protagonist</t>
        </is>
      </c>
      <c r="J1" s="12" t="inlineStr">
        <is>
          <t>Relationship to Romantic Plot</t>
        </is>
      </c>
      <c r="K1" s="13" t="inlineStr">
        <is>
          <t>Character Gist</t>
        </is>
      </c>
      <c r="L1" s="12" t="inlineStr">
        <is>
          <t>Performance Recognition</t>
        </is>
      </c>
      <c r="M1" s="12" t="inlineStr">
        <is>
          <t>Source IDs</t>
        </is>
      </c>
    </row>
    <row r="2" ht="64" customHeight="1">
      <c r="A2" s="15" t="inlineStr">
        <is>
          <t>CAST-001</t>
        </is>
      </c>
      <c r="B2" s="18" t="inlineStr">
        <is>
          <t>FILM-001</t>
        </is>
      </c>
      <c r="C2" s="5" t="inlineStr">
        <is>
          <t>Shree 420</t>
        </is>
      </c>
      <c r="D2" s="17" t="n">
        <v>1955</v>
      </c>
      <c r="E2" s="5" t="inlineStr">
        <is>
          <t>Raj Kapoor</t>
        </is>
      </c>
      <c r="F2" s="5" t="inlineStr">
        <is>
          <t>Ranbir Raj / Rajkumar Saxena</t>
        </is>
      </c>
      <c r="G2" s="5" t="inlineStr">
        <is>
          <t>Co-lead</t>
        </is>
      </c>
      <c r="H2" s="5" t="inlineStr">
        <is>
          <t>Major</t>
        </is>
      </c>
      <c r="I2" s="5" t="inlineStr">
        <is>
          <t>The film's protagonist, and Kapoor's father, in whose song sequence the three-year-old walk-on appears.</t>
        </is>
      </c>
      <c r="J2" s="5" t="inlineStr">
        <is>
          <t>One half of the central romance; the 'Pyar Hua Iqrar Hua' duet that the child crosses is the romance's best-known scene.</t>
        </is>
      </c>
      <c r="K2" s="19" t="inlineStr">
        <is>
          <t>A country boy who walks to Bombay, is seduced by the fraudulent wealth of Sonachand's circle into life as a card-sharping '420', and turns back only when he finds the housing scheme is a swindle.</t>
        </is>
      </c>
      <c r="L2" s="5" t="inlineStr">
        <is>
          <t>The role is among the defining Raj Kapoor performances and the film among the biggest Hindi successes of the 1950s.</t>
        </is>
      </c>
      <c r="M2" s="5" t="inlineStr">
        <is>
          <t>SOURCE-002</t>
        </is>
      </c>
    </row>
    <row r="3" ht="49" customHeight="1">
      <c r="A3" s="15" t="inlineStr">
        <is>
          <t>CAST-002</t>
        </is>
      </c>
      <c r="B3" s="18" t="inlineStr">
        <is>
          <t>FILM-001</t>
        </is>
      </c>
      <c r="C3" s="5" t="inlineStr">
        <is>
          <t>Shree 420</t>
        </is>
      </c>
      <c r="D3" s="17" t="n">
        <v>1955</v>
      </c>
      <c r="E3" s="5" t="inlineStr">
        <is>
          <t>Nargis</t>
        </is>
      </c>
      <c r="F3" s="5" t="inlineStr">
        <is>
          <t>Vidya</t>
        </is>
      </c>
      <c r="G3" s="5" t="inlineStr">
        <is>
          <t>Co-lead</t>
        </is>
      </c>
      <c r="H3" s="5" t="inlineStr">
        <is>
          <t>Major</t>
        </is>
      </c>
      <c r="I3" s="5" t="inlineStr">
        <is>
          <t>The protagonist's love and conscience; no contact with the child walk-on.</t>
        </is>
      </c>
      <c r="J3" s="5" t="inlineStr">
        <is>
          <t>The whole of the central romance, and the figure the song Kapoor appears in belongs to.</t>
        </is>
      </c>
      <c r="K3" s="19" t="inlineStr">
        <is>
          <t>A poor, principled schoolteacher who loves Raj and keeps trying to pull him back from Sonachand's world, failing until the fraud exposes itself.</t>
        </is>
      </c>
      <c r="L3" s="5" t="n"/>
      <c r="M3" s="5" t="inlineStr">
        <is>
          <t>SOURCE-002</t>
        </is>
      </c>
    </row>
    <row r="4" ht="49" customHeight="1">
      <c r="A4" s="15" t="inlineStr">
        <is>
          <t>CAST-003</t>
        </is>
      </c>
      <c r="B4" s="18" t="inlineStr">
        <is>
          <t>FILM-001</t>
        </is>
      </c>
      <c r="C4" s="5" t="inlineStr">
        <is>
          <t>Shree 420</t>
        </is>
      </c>
      <c r="D4" s="17" t="n">
        <v>1955</v>
      </c>
      <c r="E4" s="5" t="inlineStr">
        <is>
          <t>Nadira</t>
        </is>
      </c>
      <c r="F4" s="5" t="inlineStr">
        <is>
          <t>Maya</t>
        </is>
      </c>
      <c r="G4" s="5" t="inlineStr">
        <is>
          <t>Antagonist</t>
        </is>
      </c>
      <c r="H4" s="5" t="inlineStr">
        <is>
          <t>Major</t>
        </is>
      </c>
      <c r="I4" s="5" t="inlineStr">
        <is>
          <t>The temptation set against the protagonist's better nature.</t>
        </is>
      </c>
      <c r="J4" s="5" t="inlineStr">
        <is>
          <t>The counter-pull to Vidya, and the reason the romance stalls for most of the film.</t>
        </is>
      </c>
      <c r="K4" s="19" t="inlineStr">
        <is>
          <t>The sultry society woman who draws Raj into the gambling and confidence-trick set, standing for everything Vidya is not.</t>
        </is>
      </c>
      <c r="L4" s="5" t="n"/>
      <c r="M4" s="5" t="inlineStr">
        <is>
          <t>SOURCE-002</t>
        </is>
      </c>
    </row>
    <row r="5" ht="49" customHeight="1">
      <c r="A5" s="15" t="inlineStr">
        <is>
          <t>CAST-004</t>
        </is>
      </c>
      <c r="B5" s="18" t="inlineStr">
        <is>
          <t>FILM-001</t>
        </is>
      </c>
      <c r="C5" s="5" t="inlineStr">
        <is>
          <t>Shree 420</t>
        </is>
      </c>
      <c r="D5" s="17" t="n">
        <v>1955</v>
      </c>
      <c r="E5" s="5" t="inlineStr">
        <is>
          <t>Nemo</t>
        </is>
      </c>
      <c r="F5" s="5" t="inlineStr">
        <is>
          <t>Seth Sonachand Dharmanand</t>
        </is>
      </c>
      <c r="G5" s="5" t="inlineStr">
        <is>
          <t>Antagonist</t>
        </is>
      </c>
      <c r="H5" s="5" t="inlineStr">
        <is>
          <t>Major</t>
        </is>
      </c>
      <c r="I5" s="5" t="inlineStr">
        <is>
          <t>The businessman who makes the protagonist his instrument and finally shoots him.</t>
        </is>
      </c>
      <c r="J5" s="5" t="inlineStr">
        <is>
          <t>No direct part, beyond keeping Raj in the life Vidya refuses.</t>
        </is>
      </c>
      <c r="K5" s="19" t="inlineStr">
        <is>
          <t>A dishonest businessman whose Ponzi housing scheme promises the poor permanent homes for a hundred rupees, and who shoots Raj when he takes the bond papers back.</t>
        </is>
      </c>
      <c r="L5" s="5" t="n"/>
      <c r="M5" s="5" t="inlineStr">
        <is>
          <t>SOURCE-002</t>
        </is>
      </c>
    </row>
    <row r="6" ht="49" customHeight="1">
      <c r="A6" s="15" t="inlineStr">
        <is>
          <t>CAST-005</t>
        </is>
      </c>
      <c r="B6" s="18" t="inlineStr">
        <is>
          <t>FILM-001</t>
        </is>
      </c>
      <c r="C6" s="5" t="inlineStr">
        <is>
          <t>Shree 420</t>
        </is>
      </c>
      <c r="D6" s="17" t="n">
        <v>1955</v>
      </c>
      <c r="E6" s="5" t="inlineStr">
        <is>
          <t>Lalita Pawar</t>
        </is>
      </c>
      <c r="F6" s="5" t="inlineStr">
        <is>
          <t>Ganga Mai</t>
        </is>
      </c>
      <c r="G6" s="5" t="inlineStr">
        <is>
          <t>Supporting</t>
        </is>
      </c>
      <c r="H6" s="5" t="inlineStr">
        <is>
          <t>Medium</t>
        </is>
      </c>
      <c r="I6" s="5" t="inlineStr">
        <is>
          <t>The pavement vendor who shelters the protagonist when he first reaches the city.</t>
        </is>
      </c>
      <c r="J6" s="5" t="inlineStr">
        <is>
          <t>Part of the poor Bombay the romance is rooted in rather than of the courtship itself.</t>
        </is>
      </c>
      <c r="K6" s="19" t="inlineStr">
        <is>
          <t>The street vendor who feeds and houses Raj on his arrival, one of the film's images of the poor whom the housing fraud is aimed at.</t>
        </is>
      </c>
      <c r="L6" s="5" t="n"/>
      <c r="M6" s="5" t="inlineStr">
        <is>
          <t>SOURCE-002</t>
        </is>
      </c>
    </row>
    <row r="7" ht="64" customHeight="1">
      <c r="A7" s="15" t="inlineStr">
        <is>
          <t>CAST-006</t>
        </is>
      </c>
      <c r="B7" s="18" t="inlineStr">
        <is>
          <t>FILM-002</t>
        </is>
      </c>
      <c r="C7" s="5" t="inlineStr">
        <is>
          <t>Mera Naam Joker</t>
        </is>
      </c>
      <c r="D7" s="17" t="n">
        <v>1970</v>
      </c>
      <c r="E7" s="5" t="inlineStr">
        <is>
          <t>Raj Kapoor</t>
        </is>
      </c>
      <c r="F7" s="5" t="inlineStr">
        <is>
          <t>Raju (Joker)</t>
        </is>
      </c>
      <c r="G7" s="5" t="inlineStr">
        <is>
          <t>Co-lead</t>
        </is>
      </c>
      <c r="H7" s="5" t="inlineStr">
        <is>
          <t>Major</t>
        </is>
      </c>
      <c r="I7" s="5" t="inlineStr">
        <is>
          <t>The adult form of the character Kapoor plays as a boy; the whole film is this Raju's last performance, recalled in flashback.</t>
        </is>
      </c>
      <c r="J7" s="5" t="inlineStr">
        <is>
          <t>Holds all three of the film's romances, of which the Mary chapter Kapoor appears in is the first.</t>
        </is>
      </c>
      <c r="K7" s="19" t="inlineStr">
        <is>
          <t>The clown Raju, performing for the last time after twenty years and summoning the three women he has loved, each sent a toy clown; his own father's trade and his mother's grief sit behind the choice.</t>
        </is>
      </c>
      <c r="L7" s="5" t="inlineStr">
        <is>
          <t>Raj Kapoor's most personal role, in a film that failed commercially on release and was later reclaimed as a landmark.</t>
        </is>
      </c>
      <c r="M7" s="5" t="inlineStr">
        <is>
          <t>SOURCE-003</t>
        </is>
      </c>
    </row>
    <row r="8" ht="64" customHeight="1">
      <c r="A8" s="15" t="inlineStr">
        <is>
          <t>CAST-007</t>
        </is>
      </c>
      <c r="B8" s="18" t="inlineStr">
        <is>
          <t>FILM-002</t>
        </is>
      </c>
      <c r="C8" s="5" t="inlineStr">
        <is>
          <t>Mera Naam Joker</t>
        </is>
      </c>
      <c r="D8" s="17" t="n">
        <v>1970</v>
      </c>
      <c r="E8" s="5" t="inlineStr">
        <is>
          <t>Simi Garewal</t>
        </is>
      </c>
      <c r="F8" s="5" t="inlineStr">
        <is>
          <t>Mary</t>
        </is>
      </c>
      <c r="G8" s="5" t="inlineStr">
        <is>
          <t>Co-lead</t>
        </is>
      </c>
      <c r="H8" s="5" t="inlineStr">
        <is>
          <t>Major</t>
        </is>
      </c>
      <c r="I8" s="5" t="inlineStr">
        <is>
          <t>The teacher the adolescent Raju loves, and the only person at the school who takes him seriously.</t>
        </is>
      </c>
      <c r="J8" s="5" t="inlineStr">
        <is>
          <t>The whole of the pairing recorded in Romances: an unrequited first love that she never treats as a romance at all.</t>
        </is>
      </c>
      <c r="K8" s="19" t="inlineStr">
        <is>
          <t>A new teacher who encourages Raju's ambitions and becomes the object of his first, overwhelming and entirely one-sided love; she marries David with Raju standing as best man.</t>
        </is>
      </c>
      <c r="L8" s="5" t="inlineStr">
        <is>
          <t>Remembered for the bathing-pool sequence and for the restraint with which the teacher's side of the attachment is played.</t>
        </is>
      </c>
      <c r="M8" s="5" t="inlineStr">
        <is>
          <t>SOURCE-003</t>
        </is>
      </c>
    </row>
    <row r="9" ht="49" customHeight="1">
      <c r="A9" s="15" t="inlineStr">
        <is>
          <t>CAST-008</t>
        </is>
      </c>
      <c r="B9" s="18" t="inlineStr">
        <is>
          <t>FILM-002</t>
        </is>
      </c>
      <c r="C9" s="5" t="inlineStr">
        <is>
          <t>Mera Naam Joker</t>
        </is>
      </c>
      <c r="D9" s="17" t="n">
        <v>1970</v>
      </c>
      <c r="E9" s="5" t="inlineStr">
        <is>
          <t>Achala Sachdev</t>
        </is>
      </c>
      <c r="F9" s="5" t="inlineStr">
        <is>
          <t>Raju's mother</t>
        </is>
      </c>
      <c r="G9" s="5" t="inlineStr">
        <is>
          <t>Family</t>
        </is>
      </c>
      <c r="H9" s="5" t="inlineStr">
        <is>
          <t>Major</t>
        </is>
      </c>
      <c r="I9" s="5" t="inlineStr">
        <is>
          <t>The mother who raises the boy alone and withholds what his father did for a living.</t>
        </is>
      </c>
      <c r="J9" s="5" t="inlineStr">
        <is>
          <t>Opposes the ambition rather than the romance, and is the cost of Raju's choice.</t>
        </is>
      </c>
      <c r="K9" s="19" t="inlineStr">
        <is>
          <t>A poor widow who finally admits that Raju's father was a circus clown who died in an accident and 'gave her only tears', and is horrified when the boy resolves to become one.</t>
        </is>
      </c>
      <c r="L9" s="5" t="n"/>
      <c r="M9" s="5" t="inlineStr">
        <is>
          <t>SOURCE-003</t>
        </is>
      </c>
    </row>
    <row r="10" ht="49" customHeight="1">
      <c r="A10" s="15" t="inlineStr">
        <is>
          <t>CAST-009</t>
        </is>
      </c>
      <c r="B10" s="18" t="inlineStr">
        <is>
          <t>FILM-002</t>
        </is>
      </c>
      <c r="C10" s="5" t="inlineStr">
        <is>
          <t>Mera Naam Joker</t>
        </is>
      </c>
      <c r="D10" s="17" t="n">
        <v>1970</v>
      </c>
      <c r="E10" s="5" t="inlineStr">
        <is>
          <t>Manoj Kumar</t>
        </is>
      </c>
      <c r="F10" s="5" t="inlineStr">
        <is>
          <t>David</t>
        </is>
      </c>
      <c r="G10" s="5" t="inlineStr">
        <is>
          <t>Romantic rival</t>
        </is>
      </c>
      <c r="H10" s="5" t="inlineStr">
        <is>
          <t>Medium</t>
        </is>
      </c>
      <c r="I10" s="5" t="inlineStr">
        <is>
          <t>The man Mary marries, at whose wedding the boy stands as best man.</t>
        </is>
      </c>
      <c r="J10" s="5" t="inlineStr">
        <is>
          <t>Closes the unrequited first love, and returns the toy clown as the couple drive away.</t>
        </is>
      </c>
      <c r="K10" s="19" t="inlineStr">
        <is>
          <t>Mary's fiance and then husband, whose wedding ends the chapter Kapoor appears in and hands the boy's token back to him.</t>
        </is>
      </c>
      <c r="L10" s="5" t="n"/>
      <c r="M10" s="5" t="inlineStr">
        <is>
          <t>SOURCE-003</t>
        </is>
      </c>
    </row>
    <row r="11" ht="49" customHeight="1">
      <c r="A11" s="15" t="inlineStr">
        <is>
          <t>CAST-010</t>
        </is>
      </c>
      <c r="B11" s="18" t="inlineStr">
        <is>
          <t>FILM-002</t>
        </is>
      </c>
      <c r="C11" s="5" t="inlineStr">
        <is>
          <t>Mera Naam Joker</t>
        </is>
      </c>
      <c r="D11" s="17" t="n">
        <v>1970</v>
      </c>
      <c r="E11" s="5" t="inlineStr">
        <is>
          <t>Padmini</t>
        </is>
      </c>
      <c r="F11" s="5" t="inlineStr">
        <is>
          <t>Meena Bansal / Meenu Master</t>
        </is>
      </c>
      <c r="G11" s="5" t="inlineStr">
        <is>
          <t>Supporting</t>
        </is>
      </c>
      <c r="H11" s="5" t="inlineStr">
        <is>
          <t>Medium</t>
        </is>
      </c>
      <c r="I11" s="5" t="inlineStr">
        <is>
          <t>The adult Raju's second love, in a chapter after the one Kapoor appears in.</t>
        </is>
      </c>
      <c r="J11" s="5" t="inlineStr">
        <is>
          <t>A separate romance from the schoolboy chapter, and outside the pairing recorded in Romances.</t>
        </is>
      </c>
      <c r="K11" s="19" t="inlineStr">
        <is>
          <t>The trapeze artist Raju loves and loses in the film's second chapter, performing as Meenu Master.</t>
        </is>
      </c>
      <c r="L11" s="5" t="n"/>
      <c r="M11" s="5" t="inlineStr">
        <is>
          <t>SOURCE-003</t>
        </is>
      </c>
    </row>
    <row r="12" ht="34" customHeight="1">
      <c r="A12" s="15" t="inlineStr">
        <is>
          <t>CAST-011</t>
        </is>
      </c>
      <c r="B12" s="18" t="inlineStr">
        <is>
          <t>FILM-002</t>
        </is>
      </c>
      <c r="C12" s="5" t="inlineStr">
        <is>
          <t>Mera Naam Joker</t>
        </is>
      </c>
      <c r="D12" s="17" t="n">
        <v>1970</v>
      </c>
      <c r="E12" s="5" t="inlineStr">
        <is>
          <t>Kseniya Ryabinkina</t>
        </is>
      </c>
      <c r="F12" s="5" t="inlineStr">
        <is>
          <t>Marina</t>
        </is>
      </c>
      <c r="G12" s="5" t="inlineStr">
        <is>
          <t>Supporting</t>
        </is>
      </c>
      <c r="H12" s="5" t="inlineStr">
        <is>
          <t>Medium</t>
        </is>
      </c>
      <c r="I12" s="5" t="inlineStr">
        <is>
          <t>The adult Raju's third love, in the chapter furthest from Kapoor's.</t>
        </is>
      </c>
      <c r="J12" s="5" t="inlineStr">
        <is>
          <t>The last of the three romances the frame narrative gathers.</t>
        </is>
      </c>
      <c r="K12" s="19" t="inlineStr">
        <is>
          <t>A Soviet State Circus performer whom Raju loves during the troupe's visit, and who returns to the Soviet Union.</t>
        </is>
      </c>
      <c r="L12" s="5" t="n"/>
      <c r="M12" s="5" t="inlineStr">
        <is>
          <t>SOURCE-003</t>
        </is>
      </c>
    </row>
    <row r="13" ht="64" customHeight="1">
      <c r="A13" s="15" t="inlineStr">
        <is>
          <t>CAST-012</t>
        </is>
      </c>
      <c r="B13" s="18" t="inlineStr">
        <is>
          <t>FILM-003</t>
        </is>
      </c>
      <c r="C13" s="5" t="inlineStr">
        <is>
          <t>Bobby</t>
        </is>
      </c>
      <c r="D13" s="17" t="n">
        <v>1973</v>
      </c>
      <c r="E13" s="5" t="inlineStr">
        <is>
          <t>Dimple Kapadia</t>
        </is>
      </c>
      <c r="F13" s="5" t="inlineStr">
        <is>
          <t>Bobby Braganza</t>
        </is>
      </c>
      <c r="G13" s="5" t="inlineStr">
        <is>
          <t>Co-lead</t>
        </is>
      </c>
      <c r="H13" s="5" t="inlineStr">
        <is>
          <t>Major</t>
        </is>
      </c>
      <c r="I13" s="5" t="inlineStr">
        <is>
          <t>Raj's love from the moment she opens her grandmother's door, and the whole object of his revolt.</t>
        </is>
      </c>
      <c r="J13" s="5" t="inlineStr">
        <is>
          <t>The entirety of the central romance recorded in Romances.</t>
        </is>
      </c>
      <c r="K13" s="19" t="inlineStr">
        <is>
          <t>The granddaughter of Raj's old governess, daughter of a poor Goan Christian fisherman, who returns Raj's love, breaks it off once in jealousy over Nima, and goes through the elopement and the near-drowning before the fathers give way.</t>
        </is>
      </c>
      <c r="L13" s="5" t="inlineStr">
        <is>
          <t>Kapadia's debut at sixteen, which made her an immediate star and fixed the film's teenage-romance image.</t>
        </is>
      </c>
      <c r="M13" s="5" t="inlineStr">
        <is>
          <t>SOURCE-004</t>
        </is>
      </c>
    </row>
    <row r="14" ht="64" customHeight="1">
      <c r="A14" s="15" t="inlineStr">
        <is>
          <t>CAST-013</t>
        </is>
      </c>
      <c r="B14" s="18" t="inlineStr">
        <is>
          <t>FILM-003</t>
        </is>
      </c>
      <c r="C14" s="5" t="inlineStr">
        <is>
          <t>Bobby</t>
        </is>
      </c>
      <c r="D14" s="17" t="n">
        <v>1973</v>
      </c>
      <c r="E14" s="5" t="inlineStr">
        <is>
          <t>Pran</t>
        </is>
      </c>
      <c r="F14" s="5" t="inlineStr">
        <is>
          <t>Ram Nath</t>
        </is>
      </c>
      <c r="G14" s="5" t="inlineStr">
        <is>
          <t>Family</t>
        </is>
      </c>
      <c r="H14" s="5" t="inlineStr">
        <is>
          <t>Major</t>
        </is>
      </c>
      <c r="I14" s="5" t="inlineStr">
        <is>
          <t>Raj's father, and the source of nearly all the opposition he faces.</t>
        </is>
      </c>
      <c r="J14" s="5" t="inlineStr">
        <is>
          <t>The principal external opposition: he despises the Braganzas' poverty and faith and tries to buy, bully and marry his son out of the attachment.</t>
        </is>
      </c>
      <c r="K14" s="19" t="inlineStr">
        <is>
          <t>A rich Hindu businessman with no time for his son, who treats the match as a social impossibility and sets Alka's family up as the alternative, relenting only at the near-drowning.</t>
        </is>
      </c>
      <c r="L14" s="5" t="n"/>
      <c r="M14" s="5" t="inlineStr">
        <is>
          <t>SOURCE-004</t>
        </is>
      </c>
    </row>
    <row r="15" ht="49" customHeight="1">
      <c r="A15" s="15" t="inlineStr">
        <is>
          <t>CAST-014</t>
        </is>
      </c>
      <c r="B15" s="18" t="inlineStr">
        <is>
          <t>FILM-003</t>
        </is>
      </c>
      <c r="C15" s="5" t="inlineStr">
        <is>
          <t>Bobby</t>
        </is>
      </c>
      <c r="D15" s="17" t="n">
        <v>1973</v>
      </c>
      <c r="E15" s="5" t="inlineStr">
        <is>
          <t>Prem Nath</t>
        </is>
      </c>
      <c r="F15" s="5" t="inlineStr">
        <is>
          <t>Jack Braganza</t>
        </is>
      </c>
      <c r="G15" s="5" t="inlineStr">
        <is>
          <t>Family</t>
        </is>
      </c>
      <c r="H15" s="5" t="inlineStr">
        <is>
          <t>Major</t>
        </is>
      </c>
      <c r="I15" s="5" t="inlineStr">
        <is>
          <t>Bobby's father, whose pride answers Ram Nath's contempt and keeps the two households apart.</t>
        </is>
      </c>
      <c r="J15" s="5" t="inlineStr">
        <is>
          <t>The second half of the family opposition, refusing the match from the poorer side.</t>
        </is>
      </c>
      <c r="K15" s="19" t="inlineStr">
        <is>
          <t>A poor Goan Christian fisherman, proud and quick-tempered, who will not have his daughter taken as a favour by the family that slighted his mother.</t>
        </is>
      </c>
      <c r="L15" s="5" t="n"/>
      <c r="M15" s="5" t="inlineStr">
        <is>
          <t>SOURCE-004</t>
        </is>
      </c>
    </row>
    <row r="16" ht="64" customHeight="1">
      <c r="A16" s="15" t="inlineStr">
        <is>
          <t>CAST-015</t>
        </is>
      </c>
      <c r="B16" s="18" t="inlineStr">
        <is>
          <t>FILM-003</t>
        </is>
      </c>
      <c r="C16" s="5" t="inlineStr">
        <is>
          <t>Bobby</t>
        </is>
      </c>
      <c r="D16" s="17" t="n">
        <v>1973</v>
      </c>
      <c r="E16" s="5" t="inlineStr">
        <is>
          <t>Durga Khote</t>
        </is>
      </c>
      <c r="F16" s="5" t="inlineStr">
        <is>
          <t>Mrs. Braganza</t>
        </is>
      </c>
      <c r="G16" s="5" t="inlineStr">
        <is>
          <t>Family</t>
        </is>
      </c>
      <c r="H16" s="5" t="inlineStr">
        <is>
          <t>Medium</t>
        </is>
      </c>
      <c r="I16" s="5" t="inlineStr">
        <is>
          <t>Raj's former governess, the one adult who showed him affection, and the reason he goes to the Braganza house at all.</t>
        </is>
      </c>
      <c r="J16" s="5" t="inlineStr">
        <is>
          <t>The link that begins the romance: her slighted visit and her gift send Raj to the door Bobby opens.</t>
        </is>
      </c>
      <c r="K16" s="19" t="inlineStr">
        <is>
          <t>Raj's old governess and Bobby's grandmother, humiliated at the birthday party by Sushma and leaving in a hurry, which sets the whole story moving.</t>
        </is>
      </c>
      <c r="L16" s="5" t="n"/>
      <c r="M16" s="5" t="inlineStr">
        <is>
          <t>SOURCE-004</t>
        </is>
      </c>
    </row>
    <row r="17" ht="49" customHeight="1">
      <c r="A17" s="15" t="inlineStr">
        <is>
          <t>CAST-016</t>
        </is>
      </c>
      <c r="B17" s="18" t="inlineStr">
        <is>
          <t>FILM-003</t>
        </is>
      </c>
      <c r="C17" s="5" t="inlineStr">
        <is>
          <t>Bobby</t>
        </is>
      </c>
      <c r="D17" s="17" t="n">
        <v>1973</v>
      </c>
      <c r="E17" s="5" t="inlineStr">
        <is>
          <t>Sonia Sahni</t>
        </is>
      </c>
      <c r="F17" s="5" t="inlineStr">
        <is>
          <t>Sushma Nath</t>
        </is>
      </c>
      <c r="G17" s="5" t="inlineStr">
        <is>
          <t>Family</t>
        </is>
      </c>
      <c r="H17" s="5" t="inlineStr">
        <is>
          <t>Medium</t>
        </is>
      </c>
      <c r="I17" s="5" t="inlineStr">
        <is>
          <t>Raj's mother, as inattentive as his father and the one who insults the governess.</t>
        </is>
      </c>
      <c r="J17" s="5" t="inlineStr">
        <is>
          <t>Supplies the slight that starts the romance and backs her husband's opposition to it.</t>
        </is>
      </c>
      <c r="K17" s="19" t="inlineStr">
        <is>
          <t>A socialite mother with no time for her son, whose cutting of Mrs. Braganza at the party is the film's first act of class contempt.</t>
        </is>
      </c>
      <c r="L17" s="5" t="n"/>
      <c r="M17" s="5" t="inlineStr">
        <is>
          <t>SOURCE-004</t>
        </is>
      </c>
    </row>
    <row r="18" ht="49" customHeight="1">
      <c r="A18" s="15" t="inlineStr">
        <is>
          <t>CAST-017</t>
        </is>
      </c>
      <c r="B18" s="18" t="inlineStr">
        <is>
          <t>FILM-003</t>
        </is>
      </c>
      <c r="C18" s="5" t="inlineStr">
        <is>
          <t>Bobby</t>
        </is>
      </c>
      <c r="D18" s="17" t="n">
        <v>1973</v>
      </c>
      <c r="E18" s="5" t="inlineStr">
        <is>
          <t>Prem Chopra</t>
        </is>
      </c>
      <c r="F18" s="5" t="inlineStr">
        <is>
          <t>Prem Chopra</t>
        </is>
      </c>
      <c r="G18" s="5" t="inlineStr">
        <is>
          <t>Antagonist</t>
        </is>
      </c>
      <c r="H18" s="5" t="inlineStr">
        <is>
          <t>Medium</t>
        </is>
      </c>
      <c r="I18" s="5" t="inlineStr">
        <is>
          <t>The man the runaway couple fall in with, and the danger Raj has to get Bobby away from.</t>
        </is>
      </c>
      <c r="J18" s="5" t="inlineStr">
        <is>
          <t>Turns the elopement from a rebellion into a physical threat, forcing the climax.</t>
        </is>
      </c>
      <c r="K18" s="19" t="inlineStr">
        <is>
          <t>A criminal who takes the fleeing couple in hand under his own name, and whose designs on Bobby bring on the chase and the near-drowning.</t>
        </is>
      </c>
      <c r="L18" s="5" t="n"/>
      <c r="M18" s="5" t="inlineStr">
        <is>
          <t>SOURCE-004</t>
        </is>
      </c>
    </row>
    <row r="19" ht="49" customHeight="1">
      <c r="A19" s="15" t="inlineStr">
        <is>
          <t>CAST-018</t>
        </is>
      </c>
      <c r="B19" s="18" t="inlineStr">
        <is>
          <t>FILM-003</t>
        </is>
      </c>
      <c r="C19" s="5" t="inlineStr">
        <is>
          <t>Bobby</t>
        </is>
      </c>
      <c r="D19" s="17" t="n">
        <v>1973</v>
      </c>
      <c r="E19" s="5" t="inlineStr">
        <is>
          <t>Farida Jalal</t>
        </is>
      </c>
      <c r="F19" s="5" t="inlineStr">
        <is>
          <t>Alka 'Nikki' Sharma</t>
        </is>
      </c>
      <c r="G19" s="5" t="inlineStr">
        <is>
          <t>Romantic rival</t>
        </is>
      </c>
      <c r="H19" s="5" t="inlineStr">
        <is>
          <t>Medium</t>
        </is>
      </c>
      <c r="I19" s="5" t="inlineStr">
        <is>
          <t>The bride Raj's father selects for him, and whom Raj refuses.</t>
        </is>
      </c>
      <c r="J19" s="5" t="inlineStr">
        <is>
          <t>The arranged alternative held against Bobby, and a rival only in the fathers' arrangements.</t>
        </is>
      </c>
      <c r="K19" s="19" t="inlineStr">
        <is>
          <t>The daughter of Mr. Sharma, offered to Raj as the socially correct match; the film treats her as her parents' instrument rather than a rival in feeling.</t>
        </is>
      </c>
      <c r="L19" s="5" t="n"/>
      <c r="M19" s="5" t="inlineStr">
        <is>
          <t>SOURCE-004</t>
        </is>
      </c>
    </row>
    <row r="20" ht="64" customHeight="1">
      <c r="A20" s="15" t="inlineStr">
        <is>
          <t>CAST-019</t>
        </is>
      </c>
      <c r="B20" s="18" t="inlineStr">
        <is>
          <t>FILM-003</t>
        </is>
      </c>
      <c r="C20" s="5" t="inlineStr">
        <is>
          <t>Bobby</t>
        </is>
      </c>
      <c r="D20" s="17" t="n">
        <v>1973</v>
      </c>
      <c r="E20" s="5" t="inlineStr">
        <is>
          <t>Aruna Irani</t>
        </is>
      </c>
      <c r="F20" s="5" t="inlineStr">
        <is>
          <t>Nima</t>
        </is>
      </c>
      <c r="G20" s="5" t="inlineStr">
        <is>
          <t>Romantic rival</t>
        </is>
      </c>
      <c r="H20" s="5" t="inlineStr">
        <is>
          <t>Minor</t>
        </is>
      </c>
      <c r="I20" s="5" t="inlineStr">
        <is>
          <t>His mother's dance partner, seen talking to Raj alone.</t>
        </is>
      </c>
      <c r="J20" s="5" t="inlineStr">
        <is>
          <t>The misunderstanding that makes Bobby break off the relationship and run to Kashmir; a rival only in Bobby's reading.</t>
        </is>
      </c>
      <c r="K20" s="19" t="inlineStr">
        <is>
          <t>Sushma's dance partner, whose private word with Raj at the party Bobby takes for a romance.</t>
        </is>
      </c>
      <c r="L20" s="5" t="n"/>
      <c r="M20" s="5" t="inlineStr">
        <is>
          <t>SOURCE-004</t>
        </is>
      </c>
    </row>
    <row r="21" ht="64" customHeight="1">
      <c r="A21" s="15" t="inlineStr">
        <is>
          <t>CAST-020</t>
        </is>
      </c>
      <c r="B21" s="18" t="inlineStr">
        <is>
          <t>FILM-004</t>
        </is>
      </c>
      <c r="C21" s="5" t="inlineStr">
        <is>
          <t>Zehreela Insaan</t>
        </is>
      </c>
      <c r="D21" s="17" t="n">
        <v>1974</v>
      </c>
      <c r="E21" s="5" t="inlineStr">
        <is>
          <t>Moushumi Chatterjee</t>
        </is>
      </c>
      <c r="F21" s="5" t="inlineStr">
        <is>
          <t>Aarti</t>
        </is>
      </c>
      <c r="G21" s="5" t="inlineStr">
        <is>
          <t>Co-lead</t>
        </is>
      </c>
      <c r="H21" s="5" t="inlineStr">
        <is>
          <t>Major</t>
        </is>
      </c>
      <c r="I21" s="5" t="inlineStr">
        <is>
          <t>Arjun's first love, lost to a marriage her father forces on her.</t>
        </is>
      </c>
      <c r="J21" s="5" t="inlineStr">
        <is>
          <t>The first of the two pairings in Romances, ended from outside and never reopened; Arjun later finds her working as a high-society call girl.</t>
        </is>
      </c>
      <c r="K21" s="19" t="inlineStr">
        <is>
          <t>The woman Arjun wants to marry, married off by her father to a man of his choice, and found again by Arjun on a business trip as a call girl in another city.</t>
        </is>
      </c>
      <c r="L21" s="5" t="n"/>
      <c r="M21" s="5" t="inlineStr">
        <is>
          <t>SOURCE-005</t>
        </is>
      </c>
    </row>
    <row r="22" ht="64" customHeight="1">
      <c r="A22" s="15" t="inlineStr">
        <is>
          <t>CAST-021</t>
        </is>
      </c>
      <c r="B22" s="18" t="inlineStr">
        <is>
          <t>FILM-004</t>
        </is>
      </c>
      <c r="C22" s="5" t="inlineStr">
        <is>
          <t>Zehreela Insaan</t>
        </is>
      </c>
      <c r="D22" s="17" t="n">
        <v>1974</v>
      </c>
      <c r="E22" s="5" t="inlineStr">
        <is>
          <t>Neetu Singh</t>
        </is>
      </c>
      <c r="F22" s="5" t="inlineStr">
        <is>
          <t>Margaret</t>
        </is>
      </c>
      <c r="G22" s="5" t="inlineStr">
        <is>
          <t>Co-lead</t>
        </is>
      </c>
      <c r="H22" s="5" t="inlineStr">
        <is>
          <t>Major</t>
        </is>
      </c>
      <c r="I22" s="5" t="inlineStr">
        <is>
          <t>His Christian college mate and second love, who goes with him to the hills and over the cliff.</t>
        </is>
      </c>
      <c r="J22" s="5" t="inlineStr">
        <is>
          <t>The second pairing in Romances, and the one the film ends on: she agrees when Arjun asks her to die with him.</t>
        </is>
      </c>
      <c r="K22" s="19" t="inlineStr">
        <is>
          <t>Arjun's Christian classmate, loved after Aarti is lost, opposed by her uncle and mother, and the one who answers his question on the hillside by jumping with him.</t>
        </is>
      </c>
      <c r="L22" s="5" t="n"/>
      <c r="M22" s="5" t="inlineStr">
        <is>
          <t>SOURCE-005</t>
        </is>
      </c>
    </row>
    <row r="23" ht="49" customHeight="1">
      <c r="A23" s="15" t="inlineStr">
        <is>
          <t>CAST-022</t>
        </is>
      </c>
      <c r="B23" s="18" t="inlineStr">
        <is>
          <t>FILM-004</t>
        </is>
      </c>
      <c r="C23" s="5" t="inlineStr">
        <is>
          <t>Zehreela Insaan</t>
        </is>
      </c>
      <c r="D23" s="17" t="n">
        <v>1974</v>
      </c>
      <c r="E23" s="5" t="inlineStr">
        <is>
          <t>Pran</t>
        </is>
      </c>
      <c r="F23" s="5" t="inlineStr">
        <is>
          <t>Masterji</t>
        </is>
      </c>
      <c r="G23" s="5" t="inlineStr">
        <is>
          <t>Mentor</t>
        </is>
      </c>
      <c r="H23" s="5" t="inlineStr">
        <is>
          <t>Major</t>
        </is>
      </c>
      <c r="I23" s="5" t="inlineStr">
        <is>
          <t>The only person who sees Arjun's good qualities, the one he obeys, and the man he accidentally kills.</t>
        </is>
      </c>
      <c r="J23" s="5" t="inlineStr">
        <is>
          <t>Follows the couple to the hills to pacify Arjun, and his death is what turns their flight into a suicide.</t>
        </is>
      </c>
      <c r="K23" s="19" t="inlineStr">
        <is>
          <t>The schoolmaster who understands Arjun when the village has written him off, and who is pushed down the hill to his death in the scuffle that breaks the film's hero.</t>
        </is>
      </c>
      <c r="L23" s="5" t="n"/>
      <c r="M23" s="5" t="inlineStr">
        <is>
          <t>SOURCE-005</t>
        </is>
      </c>
    </row>
    <row r="24" ht="49" customHeight="1">
      <c r="A24" s="15" t="inlineStr">
        <is>
          <t>CAST-023</t>
        </is>
      </c>
      <c r="B24" s="18" t="inlineStr">
        <is>
          <t>FILM-004</t>
        </is>
      </c>
      <c r="C24" s="5" t="inlineStr">
        <is>
          <t>Zehreela Insaan</t>
        </is>
      </c>
      <c r="D24" s="17" t="n">
        <v>1974</v>
      </c>
      <c r="E24" s="5" t="inlineStr">
        <is>
          <t>Madan Puri</t>
        </is>
      </c>
      <c r="F24" s="5" t="inlineStr">
        <is>
          <t>John</t>
        </is>
      </c>
      <c r="G24" s="5" t="inlineStr">
        <is>
          <t>Family</t>
        </is>
      </c>
      <c r="H24" s="5" t="inlineStr">
        <is>
          <t>Medium</t>
        </is>
      </c>
      <c r="I24" s="5" t="inlineStr">
        <is>
          <t>Margaret's uncle, and an opponent of the second romance.</t>
        </is>
      </c>
      <c r="J24" s="5" t="inlineStr">
        <is>
          <t>Part of the family opposition that drives Arjun and Margaret to flee to the hills.</t>
        </is>
      </c>
      <c r="K24" s="19" t="inlineStr">
        <is>
          <t>Margaret's uncle, who with her mother refuses the match with Arjun.</t>
        </is>
      </c>
      <c r="L24" s="5" t="n"/>
      <c r="M24" s="5" t="inlineStr">
        <is>
          <t>SOURCE-005</t>
        </is>
      </c>
    </row>
    <row r="25" ht="34" customHeight="1">
      <c r="A25" s="15" t="inlineStr">
        <is>
          <t>CAST-024</t>
        </is>
      </c>
      <c r="B25" s="18" t="inlineStr">
        <is>
          <t>FILM-004</t>
        </is>
      </c>
      <c r="C25" s="5" t="inlineStr">
        <is>
          <t>Zehreela Insaan</t>
        </is>
      </c>
      <c r="D25" s="17" t="n">
        <v>1974</v>
      </c>
      <c r="E25" s="5" t="inlineStr">
        <is>
          <t>Dulari</t>
        </is>
      </c>
      <c r="F25" s="5" t="inlineStr">
        <is>
          <t>Arjun's mother</t>
        </is>
      </c>
      <c r="G25" s="5" t="inlineStr">
        <is>
          <t>Family</t>
        </is>
      </c>
      <c r="H25" s="5" t="inlineStr">
        <is>
          <t>Medium</t>
        </is>
      </c>
      <c r="I25" s="5" t="inlineStr">
        <is>
          <t>Arjun's mother, in the household the village reads him out of.</t>
        </is>
      </c>
      <c r="J25" s="5" t="inlineStr">
        <is>
          <t>No part in either courtship.</t>
        </is>
      </c>
      <c r="K25" s="19" t="inlineStr">
        <is>
          <t>Arjun's mother, credited in the family the film sets against his reputation as a bad character.</t>
        </is>
      </c>
      <c r="L25" s="5" t="n"/>
      <c r="M25" s="5" t="inlineStr">
        <is>
          <t>SOURCE-005</t>
        </is>
      </c>
    </row>
    <row r="26" ht="49" customHeight="1">
      <c r="A26" s="15" t="inlineStr">
        <is>
          <t>CAST-025</t>
        </is>
      </c>
      <c r="B26" s="18" t="inlineStr">
        <is>
          <t>FILM-004</t>
        </is>
      </c>
      <c r="C26" s="5" t="inlineStr">
        <is>
          <t>Zehreela Insaan</t>
        </is>
      </c>
      <c r="D26" s="17" t="n">
        <v>1974</v>
      </c>
      <c r="E26" s="5" t="inlineStr">
        <is>
          <t>Iftekhar</t>
        </is>
      </c>
      <c r="F26" s="5" t="inlineStr">
        <is>
          <t>Principal Vishamber Nath</t>
        </is>
      </c>
      <c r="G26" s="5" t="inlineStr">
        <is>
          <t>Authority figure</t>
        </is>
      </c>
      <c r="H26" s="5" t="inlineStr">
        <is>
          <t>Minor</t>
        </is>
      </c>
      <c r="I26" s="5" t="inlineStr">
        <is>
          <t>The college authority over Arjun and Margaret.</t>
        </is>
      </c>
      <c r="J26" s="5" t="inlineStr">
        <is>
          <t>Institutional background to the college romance rather than a participant.</t>
        </is>
      </c>
      <c r="K26" s="19" t="inlineStr">
        <is>
          <t>The principal of the college where Arjun and Margaret are classmates.</t>
        </is>
      </c>
      <c r="L26" s="5" t="n"/>
      <c r="M26" s="5" t="inlineStr">
        <is>
          <t>SOURCE-005</t>
        </is>
      </c>
    </row>
    <row r="27" ht="49" customHeight="1">
      <c r="A27" s="15" t="inlineStr">
        <is>
          <t>CAST-026</t>
        </is>
      </c>
      <c r="B27" s="18" t="inlineStr">
        <is>
          <t>FILM-005</t>
        </is>
      </c>
      <c r="C27" s="5" t="inlineStr">
        <is>
          <t>Raaja</t>
        </is>
      </c>
      <c r="D27" s="17" t="n">
        <v>1975</v>
      </c>
      <c r="E27" s="5" t="inlineStr">
        <is>
          <t>Sulakshana Pandit</t>
        </is>
      </c>
      <c r="F27" s="5" t="inlineStr">
        <is>
          <t>Rani</t>
        </is>
      </c>
      <c r="G27" s="5" t="inlineStr">
        <is>
          <t>Co-lead</t>
        </is>
      </c>
      <c r="H27" s="5" t="inlineStr">
        <is>
          <t>Major</t>
        </is>
      </c>
      <c r="I27" s="5" t="inlineStr">
        <is>
          <t>Raaja's love, who cannot tell him from his twin until the brother grows a moustache for her benefit.</t>
        </is>
      </c>
      <c r="J27" s="5" t="inlineStr">
        <is>
          <t>The whole of the pairing in Romances; they marry after the rescue.</t>
        </is>
      </c>
      <c r="K27" s="19" t="inlineStr">
        <is>
          <t>The woman Raaja courts through the film's twin confusion, kept at the edge of a rescue-and-revenge plot and married to him at the end.</t>
        </is>
      </c>
      <c r="L27" s="5" t="n"/>
      <c r="M27" s="5" t="inlineStr">
        <is>
          <t>SOURCE-009</t>
        </is>
      </c>
    </row>
    <row r="28" ht="49" customHeight="1">
      <c r="A28" s="15" t="inlineStr">
        <is>
          <t>CAST-027</t>
        </is>
      </c>
      <c r="B28" s="18" t="inlineStr">
        <is>
          <t>FILM-005</t>
        </is>
      </c>
      <c r="C28" s="5" t="inlineStr">
        <is>
          <t>Raaja</t>
        </is>
      </c>
      <c r="D28" s="17" t="n">
        <v>1975</v>
      </c>
      <c r="E28" s="5" t="inlineStr">
        <is>
          <t>Prem Chopra</t>
        </is>
      </c>
      <c r="F28" s="5" t="inlineStr">
        <is>
          <t>Sher Singh</t>
        </is>
      </c>
      <c r="G28" s="5" t="inlineStr">
        <is>
          <t>Antagonist</t>
        </is>
      </c>
      <c r="H28" s="5" t="inlineStr">
        <is>
          <t>Major</t>
        </is>
      </c>
      <c r="I28" s="5" t="inlineStr">
        <is>
          <t>The bandit holding the brothers' sister, and the man whose henchmen kill Ram.</t>
        </is>
      </c>
      <c r="J28" s="5" t="inlineStr">
        <is>
          <t>Displaces the romance for most of the film by making revenge the business of the plot.</t>
        </is>
      </c>
      <c r="K28" s="19" t="inlineStr">
        <is>
          <t>A bandit who keeps the brothers' sister in his control and has Ram killed, and whom Raaja brings to justice disguised as his dead twin.</t>
        </is>
      </c>
      <c r="L28" s="5" t="n"/>
      <c r="M28" s="5" t="inlineStr">
        <is>
          <t>SOURCE-009</t>
        </is>
      </c>
    </row>
    <row r="29" ht="34" customHeight="1">
      <c r="A29" s="15" t="inlineStr">
        <is>
          <t>CAST-028</t>
        </is>
      </c>
      <c r="B29" s="18" t="inlineStr">
        <is>
          <t>FILM-005</t>
        </is>
      </c>
      <c r="C29" s="5" t="inlineStr">
        <is>
          <t>Raaja</t>
        </is>
      </c>
      <c r="D29" s="17" t="n">
        <v>1975</v>
      </c>
      <c r="E29" s="5" t="inlineStr">
        <is>
          <t>Om Prakash</t>
        </is>
      </c>
      <c r="F29" s="5" t="inlineStr">
        <is>
          <t>Rani's father</t>
        </is>
      </c>
      <c r="G29" s="5" t="inlineStr">
        <is>
          <t>Family</t>
        </is>
      </c>
      <c r="H29" s="5" t="inlineStr">
        <is>
          <t>Medium</t>
        </is>
      </c>
      <c r="I29" s="5" t="inlineStr">
        <is>
          <t>Rani's father, the family authority over the courtship.</t>
        </is>
      </c>
      <c r="J29" s="5" t="inlineStr">
        <is>
          <t>The household the courtship has to satisfy.</t>
        </is>
      </c>
      <c r="K29" s="19" t="inlineStr">
        <is>
          <t>Rani's father, credited as the family standing behind the match.</t>
        </is>
      </c>
      <c r="L29" s="5" t="n"/>
      <c r="M29" s="5" t="inlineStr">
        <is>
          <t>SOURCE-009</t>
        </is>
      </c>
    </row>
    <row r="30" ht="34" customHeight="1">
      <c r="A30" s="15" t="inlineStr">
        <is>
          <t>CAST-029</t>
        </is>
      </c>
      <c r="B30" s="18" t="inlineStr">
        <is>
          <t>FILM-005</t>
        </is>
      </c>
      <c r="C30" s="5" t="inlineStr">
        <is>
          <t>Raaja</t>
        </is>
      </c>
      <c r="D30" s="17" t="n">
        <v>1975</v>
      </c>
      <c r="E30" s="5" t="inlineStr">
        <is>
          <t>Asrani</t>
        </is>
      </c>
      <c r="F30" s="5" t="inlineStr">
        <is>
          <t>Chander</t>
        </is>
      </c>
      <c r="G30" s="5" t="inlineStr">
        <is>
          <t>Comic support</t>
        </is>
      </c>
      <c r="H30" s="5" t="inlineStr">
        <is>
          <t>Medium</t>
        </is>
      </c>
      <c r="I30" s="5" t="inlineStr">
        <is>
          <t>Raaja's companion in the comic register of the twin plot.</t>
        </is>
      </c>
      <c r="J30" s="5" t="inlineStr">
        <is>
          <t>Attends the courtship without driving it.</t>
        </is>
      </c>
      <c r="K30" s="19" t="inlineStr">
        <is>
          <t>Chander, the comic support around Raaja, credited with a friend of his own in the cast list.</t>
        </is>
      </c>
      <c r="L30" s="5" t="n"/>
      <c r="M30" s="5" t="inlineStr">
        <is>
          <t>SOURCE-009</t>
        </is>
      </c>
    </row>
    <row r="31" ht="64" customHeight="1">
      <c r="A31" s="15" t="inlineStr">
        <is>
          <t>CAST-030</t>
        </is>
      </c>
      <c r="B31" s="18" t="inlineStr">
        <is>
          <t>FILM-005</t>
        </is>
      </c>
      <c r="C31" s="5" t="inlineStr">
        <is>
          <t>Raaja</t>
        </is>
      </c>
      <c r="D31" s="17" t="n">
        <v>1975</v>
      </c>
      <c r="E31" s="5" t="inlineStr">
        <is>
          <t>Aruna Irani</t>
        </is>
      </c>
      <c r="F31" s="5" t="inlineStr">
        <is>
          <t>Parvati</t>
        </is>
      </c>
      <c r="G31" s="5" t="inlineStr">
        <is>
          <t>Supporting</t>
        </is>
      </c>
      <c r="H31" s="5" t="inlineStr">
        <is>
          <t>Medium</t>
        </is>
      </c>
      <c r="I31" s="5" t="inlineStr">
        <is>
          <t>Credited as Parvati; the synopsis names the brothers' captive elder sister without naming the performer, so the identification is not certain.</t>
        </is>
      </c>
      <c r="J31" s="5" t="inlineStr">
        <is>
          <t>No part in the courtship.</t>
        </is>
      </c>
      <c r="K31" s="19" t="inlineStr">
        <is>
          <t>Credited as Parvati in a plot whose other woman is the elder sister the brothers believe dead and rescue fatally injured; the article does not say which part this is.</t>
        </is>
      </c>
      <c r="L31" s="5" t="n"/>
      <c r="M31" s="5" t="inlineStr">
        <is>
          <t>SOURCE-009</t>
        </is>
      </c>
    </row>
    <row r="32" ht="34" customHeight="1">
      <c r="A32" s="15" t="inlineStr">
        <is>
          <t>CAST-031</t>
        </is>
      </c>
      <c r="B32" s="18" t="inlineStr">
        <is>
          <t>FILM-005</t>
        </is>
      </c>
      <c r="C32" s="5" t="inlineStr">
        <is>
          <t>Raaja</t>
        </is>
      </c>
      <c r="D32" s="17" t="n">
        <v>1975</v>
      </c>
      <c r="E32" s="5" t="inlineStr">
        <is>
          <t>David Abraham</t>
        </is>
      </c>
      <c r="F32" s="5" t="inlineStr">
        <is>
          <t>Dayaram Divecha</t>
        </is>
      </c>
      <c r="G32" s="5" t="inlineStr">
        <is>
          <t>Supporting</t>
        </is>
      </c>
      <c r="H32" s="5" t="inlineStr">
        <is>
          <t>Minor</t>
        </is>
      </c>
      <c r="I32" s="5" t="inlineStr">
        <is>
          <t>A credited supporting presence around the twins' pursuit.</t>
        </is>
      </c>
      <c r="J32" s="5" t="inlineStr">
        <is>
          <t>No part in the courtship.</t>
        </is>
      </c>
      <c r="K32" s="19" t="inlineStr">
        <is>
          <t>Dayaram Divecha, credited in the supporting ranks of the rescue plot.</t>
        </is>
      </c>
      <c r="L32" s="5" t="n"/>
      <c r="M32" s="5" t="inlineStr">
        <is>
          <t>SOURCE-009</t>
        </is>
      </c>
    </row>
    <row r="33" ht="64" customHeight="1">
      <c r="A33" s="15" t="inlineStr">
        <is>
          <t>CAST-032</t>
        </is>
      </c>
      <c r="B33" s="18" t="inlineStr">
        <is>
          <t>FILM-006</t>
        </is>
      </c>
      <c r="C33" s="5" t="inlineStr">
        <is>
          <t>Khel Khel Mein</t>
        </is>
      </c>
      <c r="D33" s="17" t="n">
        <v>1975</v>
      </c>
      <c r="E33" s="5" t="inlineStr">
        <is>
          <t>Neetu Singh</t>
        </is>
      </c>
      <c r="F33" s="5" t="inlineStr">
        <is>
          <t>Nisha</t>
        </is>
      </c>
      <c r="G33" s="5" t="inlineStr">
        <is>
          <t>Co-lead</t>
        </is>
      </c>
      <c r="H33" s="5" t="inlineStr">
        <is>
          <t>Major</t>
        </is>
      </c>
      <c r="I33" s="5" t="inlineStr">
        <is>
          <t>One of the two pranksters who make Ajay their target, then his closest ally through the murder investigation.</t>
        </is>
      </c>
      <c r="J33" s="5" t="inlineStr">
        <is>
          <t>The whole of the pairing in Romances, and a friendship-to-love built under suspicion of murder rather than in courtship.</t>
        </is>
      </c>
      <c r="K33" s="19" t="inlineStr">
        <is>
          <t>A college prankster who draws Ajay into the trio, decides with him to tell the police the truth, and spends the second half clearing them both while the real extortionist hunts them.</t>
        </is>
      </c>
      <c r="L33" s="5" t="n"/>
      <c r="M33" s="5" t="inlineStr">
        <is>
          <t>SOURCE-006</t>
        </is>
      </c>
    </row>
    <row r="34" ht="49" customHeight="1">
      <c r="A34" s="15" t="inlineStr">
        <is>
          <t>CAST-033</t>
        </is>
      </c>
      <c r="B34" s="18" t="inlineStr">
        <is>
          <t>FILM-006</t>
        </is>
      </c>
      <c r="C34" s="5" t="inlineStr">
        <is>
          <t>Khel Khel Mein</t>
        </is>
      </c>
      <c r="D34" s="17" t="n">
        <v>1975</v>
      </c>
      <c r="E34" s="5" t="inlineStr">
        <is>
          <t>Rakesh Roshan</t>
        </is>
      </c>
      <c r="F34" s="5" t="inlineStr">
        <is>
          <t>Vikram</t>
        </is>
      </c>
      <c r="G34" s="5" t="inlineStr">
        <is>
          <t>Friend</t>
        </is>
      </c>
      <c r="H34" s="5" t="inlineStr">
        <is>
          <t>Major</t>
        </is>
      </c>
      <c r="I34" s="5" t="inlineStr">
        <is>
          <t>The third of the trio and Ajay's friend, found dead before they can go to the police.</t>
        </is>
      </c>
      <c r="J34" s="5" t="inlineStr">
        <is>
          <t>Leaves Ajay and Nisha alone together, and his belongings supply the lead they follow.</t>
        </is>
      </c>
      <c r="K34" s="19" t="inlineStr">
        <is>
          <t>The slacker who with Nisha invents the fake extortion note, and whose murder turns the prank into a case the survivors have to solve.</t>
        </is>
      </c>
      <c r="L34" s="5" t="n"/>
      <c r="M34" s="5" t="inlineStr">
        <is>
          <t>SOURCE-006</t>
        </is>
      </c>
    </row>
    <row r="35" ht="49" customHeight="1">
      <c r="A35" s="15" t="inlineStr">
        <is>
          <t>CAST-034</t>
        </is>
      </c>
      <c r="B35" s="18" t="inlineStr">
        <is>
          <t>FILM-006</t>
        </is>
      </c>
      <c r="C35" s="5" t="inlineStr">
        <is>
          <t>Khel Khel Mein</t>
        </is>
      </c>
      <c r="D35" s="17" t="n">
        <v>1975</v>
      </c>
      <c r="E35" s="5" t="inlineStr">
        <is>
          <t>Iftekhar</t>
        </is>
      </c>
      <c r="F35" s="5" t="inlineStr">
        <is>
          <t>Inspector Bhupendra Singh / Black Cobra</t>
        </is>
      </c>
      <c r="G35" s="5" t="inlineStr">
        <is>
          <t>Antagonist</t>
        </is>
      </c>
      <c r="H35" s="5" t="inlineStr">
        <is>
          <t>Major</t>
        </is>
      </c>
      <c r="I35" s="5" t="inlineStr">
        <is>
          <t>The investigating officer the pair turn to, and the extortionist they are actually running from.</t>
        </is>
      </c>
      <c r="J35" s="5" t="inlineStr">
        <is>
          <t>The external danger that pushes Ajay and Nisha together.</t>
        </is>
      </c>
      <c r="K35" s="19" t="inlineStr">
        <is>
          <t>A police inspector who is also Black Cobra, the real extortionist, using the investigation to close in on the witnesses.</t>
        </is>
      </c>
      <c r="L35" s="5" t="n"/>
      <c r="M35" s="5" t="inlineStr">
        <is>
          <t>SOURCE-006</t>
        </is>
      </c>
    </row>
    <row r="36" ht="49" customHeight="1">
      <c r="A36" s="15" t="inlineStr">
        <is>
          <t>CAST-035</t>
        </is>
      </c>
      <c r="B36" s="18" t="inlineStr">
        <is>
          <t>FILM-006</t>
        </is>
      </c>
      <c r="C36" s="5" t="inlineStr">
        <is>
          <t>Khel Khel Mein</t>
        </is>
      </c>
      <c r="D36" s="17" t="n">
        <v>1975</v>
      </c>
      <c r="E36" s="5" t="inlineStr">
        <is>
          <t>Aruna Irani</t>
        </is>
      </c>
      <c r="F36" s="5" t="inlineStr">
        <is>
          <t>Sherry</t>
        </is>
      </c>
      <c r="G36" s="5" t="inlineStr">
        <is>
          <t>Supporting</t>
        </is>
      </c>
      <c r="H36" s="5" t="inlineStr">
        <is>
          <t>Medium</t>
        </is>
      </c>
      <c r="I36" s="5" t="inlineStr">
        <is>
          <t>The club singer Ajay and Nisha seek out for what she knows about Vikram's death.</t>
        </is>
      </c>
      <c r="J36" s="5" t="inlineStr">
        <is>
          <t>No part in the romance; belongs to the investigation.</t>
        </is>
      </c>
      <c r="K36" s="19" t="inlineStr">
        <is>
          <t>A club singer named in Vikram's belongings, whose dressing room is the next step in the pair's search.</t>
        </is>
      </c>
      <c r="L36" s="5" t="n"/>
      <c r="M36" s="5" t="inlineStr">
        <is>
          <t>SOURCE-006</t>
        </is>
      </c>
    </row>
    <row r="37" ht="49" customHeight="1">
      <c r="A37" s="15" t="inlineStr">
        <is>
          <t>CAST-036</t>
        </is>
      </c>
      <c r="B37" s="18" t="inlineStr">
        <is>
          <t>FILM-006</t>
        </is>
      </c>
      <c r="C37" s="5" t="inlineStr">
        <is>
          <t>Khel Khel Mein</t>
        </is>
      </c>
      <c r="D37" s="17" t="n">
        <v>1975</v>
      </c>
      <c r="E37" s="5" t="inlineStr">
        <is>
          <t>Lalita Pawar</t>
        </is>
      </c>
      <c r="F37" s="5" t="inlineStr">
        <is>
          <t>Warden D'Costa</t>
        </is>
      </c>
      <c r="G37" s="5" t="inlineStr">
        <is>
          <t>Authority figure</t>
        </is>
      </c>
      <c r="H37" s="5" t="inlineStr">
        <is>
          <t>Minor</t>
        </is>
      </c>
      <c r="I37" s="5" t="inlineStr">
        <is>
          <t>The hostel authority over the students.</t>
        </is>
      </c>
      <c r="J37" s="5" t="inlineStr">
        <is>
          <t>Comic obstruction to college courtship rather than opposition to the pairing.</t>
        </is>
      </c>
      <c r="K37" s="19" t="inlineStr">
        <is>
          <t>The warden of the Shimla college, in the comic register of the student world the film opens in.</t>
        </is>
      </c>
      <c r="L37" s="5" t="n"/>
      <c r="M37" s="5" t="inlineStr">
        <is>
          <t>SOURCE-006</t>
        </is>
      </c>
    </row>
    <row r="38" ht="49" customHeight="1">
      <c r="A38" s="15" t="inlineStr">
        <is>
          <t>CAST-037</t>
        </is>
      </c>
      <c r="B38" s="18" t="inlineStr">
        <is>
          <t>FILM-006</t>
        </is>
      </c>
      <c r="C38" s="5" t="inlineStr">
        <is>
          <t>Khel Khel Mein</t>
        </is>
      </c>
      <c r="D38" s="17" t="n">
        <v>1975</v>
      </c>
      <c r="E38" s="5" t="inlineStr">
        <is>
          <t>Jankidas</t>
        </is>
      </c>
      <c r="F38" s="5" t="inlineStr">
        <is>
          <t>Ghanshyam Das, jewellery store owner</t>
        </is>
      </c>
      <c r="G38" s="5" t="inlineStr">
        <is>
          <t>Supporting</t>
        </is>
      </c>
      <c r="H38" s="5" t="inlineStr">
        <is>
          <t>Minor</t>
        </is>
      </c>
      <c r="I38" s="5" t="inlineStr">
        <is>
          <t>A credited businessman in the plot the fake extortion note is aimed at.</t>
        </is>
      </c>
      <c r="J38" s="5" t="inlineStr">
        <is>
          <t>No part in the romance.</t>
        </is>
      </c>
      <c r="K38" s="19" t="inlineStr">
        <is>
          <t>Credited as a jewellery store owner; the synopsis's stingy seth, whose death makes the pranksters suspects, is not matched to a performer in the article.</t>
        </is>
      </c>
      <c r="L38" s="5" t="n"/>
      <c r="M38" s="5" t="inlineStr">
        <is>
          <t>SOURCE-006</t>
        </is>
      </c>
    </row>
    <row r="39" ht="49" customHeight="1">
      <c r="A39" s="15" t="inlineStr">
        <is>
          <t>CAST-038</t>
        </is>
      </c>
      <c r="B39" s="18" t="inlineStr">
        <is>
          <t>FILM-007</t>
        </is>
      </c>
      <c r="C39" s="5" t="inlineStr">
        <is>
          <t>Rafoo Chakkar</t>
        </is>
      </c>
      <c r="D39" s="17" t="n">
        <v>1975</v>
      </c>
      <c r="E39" s="5" t="inlineStr">
        <is>
          <t>Neetu Singh</t>
        </is>
      </c>
      <c r="F39" s="5" t="inlineStr">
        <is>
          <t>Ritu</t>
        </is>
      </c>
      <c r="G39" s="5" t="inlineStr">
        <is>
          <t>Co-lead</t>
        </is>
      </c>
      <c r="H39" s="5" t="inlineStr">
        <is>
          <t>Major</t>
        </is>
      </c>
      <c r="I39" s="5" t="inlineStr">
        <is>
          <t>The band member Dev lives beside in drag and courts in a second disguise.</t>
        </is>
      </c>
      <c r="J39" s="5" t="inlineStr">
        <is>
          <t>The whole of the pairing in Romances, conducted entirely through two false identities.</t>
        </is>
      </c>
      <c r="K39" s="19" t="inlineStr">
        <is>
          <t>A singer in the girls' band bound for Kashmir, courted by an oil tycoon called Esso without knowing he is also the girl sharing her carriage; the pairing survives the unmasking.</t>
        </is>
      </c>
      <c r="L39" s="5" t="n"/>
      <c r="M39" s="5" t="inlineStr">
        <is>
          <t>SOURCE-007</t>
        </is>
      </c>
    </row>
    <row r="40" ht="49" customHeight="1">
      <c r="A40" s="15" t="inlineStr">
        <is>
          <t>CAST-039</t>
        </is>
      </c>
      <c r="B40" s="18" t="inlineStr">
        <is>
          <t>FILM-007</t>
        </is>
      </c>
      <c r="C40" s="5" t="inlineStr">
        <is>
          <t>Rafoo Chakkar</t>
        </is>
      </c>
      <c r="D40" s="17" t="n">
        <v>1975</v>
      </c>
      <c r="E40" s="5" t="inlineStr">
        <is>
          <t>Paintal</t>
        </is>
      </c>
      <c r="F40" s="5" t="inlineStr">
        <is>
          <t>Salim / Salma</t>
        </is>
      </c>
      <c r="G40" s="5" t="inlineStr">
        <is>
          <t>Friend</t>
        </is>
      </c>
      <c r="H40" s="5" t="inlineStr">
        <is>
          <t>Major</t>
        </is>
      </c>
      <c r="I40" s="5" t="inlineStr">
        <is>
          <t>The second out-of-work musician, who witnesses the murder with Dev and hides in the same disguise.</t>
        </is>
      </c>
      <c r="J40" s="5" t="inlineStr">
        <is>
          <t>Carries the film's parallel courtship, being wooed in drag by the band's manager.</t>
        </is>
      </c>
      <c r="K40" s="19" t="inlineStr">
        <is>
          <t>Dev's fellow musician, in drag as Salma for most of the film and pursued by Salma's admirer, in the comic mirror of the main deception.</t>
        </is>
      </c>
      <c r="L40" s="5" t="n"/>
      <c r="M40" s="5" t="inlineStr">
        <is>
          <t>SOURCE-007</t>
        </is>
      </c>
    </row>
    <row r="41" ht="49" customHeight="1">
      <c r="A41" s="15" t="inlineStr">
        <is>
          <t>CAST-040</t>
        </is>
      </c>
      <c r="B41" s="18" t="inlineStr">
        <is>
          <t>FILM-007</t>
        </is>
      </c>
      <c r="C41" s="5" t="inlineStr">
        <is>
          <t>Rafoo Chakkar</t>
        </is>
      </c>
      <c r="D41" s="17" t="n">
        <v>1975</v>
      </c>
      <c r="E41" s="5" t="inlineStr">
        <is>
          <t>Rajinder Nath</t>
        </is>
      </c>
      <c r="F41" s="5" t="inlineStr">
        <is>
          <t>Salma's admirer</t>
        </is>
      </c>
      <c r="G41" s="5" t="inlineStr">
        <is>
          <t>Comic support</t>
        </is>
      </c>
      <c r="H41" s="5" t="inlineStr">
        <is>
          <t>Medium</t>
        </is>
      </c>
      <c r="I41" s="5" t="inlineStr">
        <is>
          <t>Attached to Dev's disguised companion rather than to Dev.</t>
        </is>
      </c>
      <c r="J41" s="5" t="inlineStr">
        <is>
          <t>The parallel comic romance that the article says also remains intact at the end.</t>
        </is>
      </c>
      <c r="K41" s="19" t="inlineStr">
        <is>
          <t>The man who falls in love with the 'girl' Salma and keeps the mistake going to the final reveal.</t>
        </is>
      </c>
      <c r="L41" s="5" t="n"/>
      <c r="M41" s="5" t="inlineStr">
        <is>
          <t>SOURCE-007</t>
        </is>
      </c>
    </row>
    <row r="42" ht="49" customHeight="1">
      <c r="A42" s="15" t="inlineStr">
        <is>
          <t>CAST-041</t>
        </is>
      </c>
      <c r="B42" s="18" t="inlineStr">
        <is>
          <t>FILM-007</t>
        </is>
      </c>
      <c r="C42" s="5" t="inlineStr">
        <is>
          <t>Rafoo Chakkar</t>
        </is>
      </c>
      <c r="D42" s="17" t="n">
        <v>1975</v>
      </c>
      <c r="E42" s="5" t="inlineStr">
        <is>
          <t>Madan Puri</t>
        </is>
      </c>
      <c r="F42" s="5" t="inlineStr">
        <is>
          <t>Prakash</t>
        </is>
      </c>
      <c r="G42" s="5" t="inlineStr">
        <is>
          <t>Antagonist</t>
        </is>
      </c>
      <c r="H42" s="5" t="inlineStr">
        <is>
          <t>Major</t>
        </is>
      </c>
      <c r="I42" s="5" t="inlineStr">
        <is>
          <t>One of the villains who spot the two witnesses and force them into disguise.</t>
        </is>
      </c>
      <c r="J42" s="5" t="inlineStr">
        <is>
          <t>The reason the courtship has to be conducted under a false name at all.</t>
        </is>
      </c>
      <c r="K42" s="19" t="inlineStr">
        <is>
          <t>The criminal whose murder Dev and Salim witness, and whose pursuit keeps them in the band and in disguise.</t>
        </is>
      </c>
      <c r="L42" s="5" t="n"/>
      <c r="M42" s="5" t="inlineStr">
        <is>
          <t>SOURCE-007</t>
        </is>
      </c>
    </row>
    <row r="43" ht="34" customHeight="1">
      <c r="A43" s="15" t="inlineStr">
        <is>
          <t>CAST-042</t>
        </is>
      </c>
      <c r="B43" s="18" t="inlineStr">
        <is>
          <t>FILM-007</t>
        </is>
      </c>
      <c r="C43" s="5" t="inlineStr">
        <is>
          <t>Rafoo Chakkar</t>
        </is>
      </c>
      <c r="D43" s="17" t="n">
        <v>1975</v>
      </c>
      <c r="E43" s="5" t="inlineStr">
        <is>
          <t>Asrani</t>
        </is>
      </c>
      <c r="F43" s="5" t="inlineStr">
        <is>
          <t>Kanhaiyalal Chaturvedi</t>
        </is>
      </c>
      <c r="G43" s="5" t="inlineStr">
        <is>
          <t>Comic support</t>
        </is>
      </c>
      <c r="H43" s="5" t="inlineStr">
        <is>
          <t>Medium</t>
        </is>
      </c>
      <c r="I43" s="5" t="inlineStr">
        <is>
          <t>Part of the travelling company the fugitives join.</t>
        </is>
      </c>
      <c r="J43" s="5" t="inlineStr">
        <is>
          <t>Comic attendance on the courtship.</t>
        </is>
      </c>
      <c r="K43" s="19" t="inlineStr">
        <is>
          <t>Kanhaiyalal Chaturvedi, among the company met on the train to Kashmir.</t>
        </is>
      </c>
      <c r="L43" s="5" t="n"/>
      <c r="M43" s="5" t="inlineStr">
        <is>
          <t>SOURCE-007</t>
        </is>
      </c>
    </row>
    <row r="44" ht="34" customHeight="1">
      <c r="A44" s="15" t="inlineStr">
        <is>
          <t>CAST-043</t>
        </is>
      </c>
      <c r="B44" s="18" t="inlineStr">
        <is>
          <t>FILM-007</t>
        </is>
      </c>
      <c r="C44" s="5" t="inlineStr">
        <is>
          <t>Rafoo Chakkar</t>
        </is>
      </c>
      <c r="D44" s="17" t="n">
        <v>1975</v>
      </c>
      <c r="E44" s="5" t="inlineStr">
        <is>
          <t>Faryal</t>
        </is>
      </c>
      <c r="F44" s="5" t="inlineStr">
        <is>
          <t>In-charge of the girls' band</t>
        </is>
      </c>
      <c r="G44" s="5" t="inlineStr">
        <is>
          <t>Authority figure</t>
        </is>
      </c>
      <c r="H44" s="5" t="inlineStr">
        <is>
          <t>Minor</t>
        </is>
      </c>
      <c r="I44" s="5" t="inlineStr">
        <is>
          <t>The band's manager, who admits the disguised men.</t>
        </is>
      </c>
      <c r="J44" s="5" t="inlineStr">
        <is>
          <t>Controls the proximity on which the courtship depends.</t>
        </is>
      </c>
      <c r="K44" s="19" t="inlineStr">
        <is>
          <t>The woman in charge of the girls' band, whose hiring of two new 'girls' makes the whole imposture possible.</t>
        </is>
      </c>
      <c r="L44" s="5" t="n"/>
      <c r="M44" s="5" t="inlineStr">
        <is>
          <t>SOURCE-007</t>
        </is>
      </c>
    </row>
    <row r="45" ht="49" customHeight="1">
      <c r="A45" s="15" t="inlineStr">
        <is>
          <t>CAST-044</t>
        </is>
      </c>
      <c r="B45" s="18" t="inlineStr">
        <is>
          <t>FILM-008</t>
        </is>
      </c>
      <c r="C45" s="5" t="inlineStr">
        <is>
          <t>Zinda Dil</t>
        </is>
      </c>
      <c r="D45" s="17" t="n">
        <v>1975</v>
      </c>
      <c r="E45" s="5" t="inlineStr">
        <is>
          <t>Neetu Singh</t>
        </is>
      </c>
      <c r="F45" s="5" t="inlineStr">
        <is>
          <t>Jyoti Pratap Chand</t>
        </is>
      </c>
      <c r="G45" s="5" t="inlineStr">
        <is>
          <t>Co-lead</t>
        </is>
      </c>
      <c r="H45" s="5" t="inlineStr">
        <is>
          <t>Major</t>
        </is>
      </c>
      <c r="I45" s="5" t="inlineStr">
        <is>
          <t>An old acquaintance whom Arun once talked out of suicide, and who finds him work when he leaves home.</t>
        </is>
      </c>
      <c r="J45" s="5" t="inlineStr">
        <is>
          <t>The second pairing in Romances, a friendship-to-love whose outcome the article leaves open.</t>
        </is>
      </c>
      <c r="K45" s="19" t="inlineStr">
        <is>
          <t>The daughter of hotel owner Diwan Pratap Chand, who repays the man who saved her life with a job at her father's hotel and becomes his second attachment.</t>
        </is>
      </c>
      <c r="L45" s="5" t="n"/>
      <c r="M45" s="5" t="inlineStr">
        <is>
          <t>SOURCE-008</t>
        </is>
      </c>
    </row>
    <row r="46" ht="49" customHeight="1">
      <c r="A46" s="15" t="inlineStr">
        <is>
          <t>CAST-045</t>
        </is>
      </c>
      <c r="B46" s="18" t="inlineStr">
        <is>
          <t>FILM-008</t>
        </is>
      </c>
      <c r="C46" s="5" t="inlineStr">
        <is>
          <t>Zinda Dil</t>
        </is>
      </c>
      <c r="D46" s="17" t="n">
        <v>1975</v>
      </c>
      <c r="E46" s="5" t="inlineStr">
        <is>
          <t>Zaheera</t>
        </is>
      </c>
      <c r="F46" s="5" t="inlineStr">
        <is>
          <t>Rekha</t>
        </is>
      </c>
      <c r="G46" s="5" t="inlineStr">
        <is>
          <t>Supporting</t>
        </is>
      </c>
      <c r="H46" s="5" t="inlineStr">
        <is>
          <t>Major</t>
        </is>
      </c>
      <c r="I46" s="5" t="inlineStr">
        <is>
          <t>The woman Arun loves and is made to give up for his brother.</t>
        </is>
      </c>
      <c r="J46" s="5" t="inlineStr">
        <is>
          <t>The first pairing in Romances, ended by the father's demand rather than by anything between them.</t>
        </is>
      </c>
      <c r="K46" s="19" t="inlineStr">
        <is>
          <t>Arun's love, surrendered on his father's insistence that he sacrifice everything for the favoured twin.</t>
        </is>
      </c>
      <c r="L46" s="5" t="n"/>
      <c r="M46" s="5" t="inlineStr">
        <is>
          <t>SOURCE-008</t>
        </is>
      </c>
    </row>
    <row r="47" ht="49" customHeight="1">
      <c r="A47" s="15" t="inlineStr">
        <is>
          <t>CAST-046</t>
        </is>
      </c>
      <c r="B47" s="18" t="inlineStr">
        <is>
          <t>FILM-008</t>
        </is>
      </c>
      <c r="C47" s="5" t="inlineStr">
        <is>
          <t>Zinda Dil</t>
        </is>
      </c>
      <c r="D47" s="17" t="n">
        <v>1975</v>
      </c>
      <c r="E47" s="5" t="inlineStr">
        <is>
          <t>Pran</t>
        </is>
      </c>
      <c r="F47" s="5" t="inlineStr">
        <is>
          <t>Major Hemraj Sharma</t>
        </is>
      </c>
      <c r="G47" s="5" t="inlineStr">
        <is>
          <t>Family</t>
        </is>
      </c>
      <c r="H47" s="5" t="inlineStr">
        <is>
          <t>Major</t>
        </is>
      </c>
      <c r="I47" s="5" t="inlineStr">
        <is>
          <t>The father who openly prefers the other twin and demands Arun's renunciation.</t>
        </is>
      </c>
      <c r="J47" s="5" t="inlineStr">
        <is>
          <t>The whole of the external opposition to the first pairing.</t>
        </is>
      </c>
      <c r="K47" s="19" t="inlineStr">
        <is>
          <t>A war-disabled major on crutches who favours Kewal, alienates Arun, exacts the sacrifice of Rekha, and has kept from both sons that their mother is alive.</t>
        </is>
      </c>
      <c r="L47" s="5" t="n"/>
      <c r="M47" s="5" t="inlineStr">
        <is>
          <t>SOURCE-008</t>
        </is>
      </c>
    </row>
    <row r="48" ht="49" customHeight="1">
      <c r="A48" s="15" t="inlineStr">
        <is>
          <t>CAST-047</t>
        </is>
      </c>
      <c r="B48" s="18" t="inlineStr">
        <is>
          <t>FILM-008</t>
        </is>
      </c>
      <c r="C48" s="5" t="inlineStr">
        <is>
          <t>Zinda Dil</t>
        </is>
      </c>
      <c r="D48" s="17" t="n">
        <v>1975</v>
      </c>
      <c r="E48" s="5" t="inlineStr">
        <is>
          <t>Rajesh Leher</t>
        </is>
      </c>
      <c r="F48" s="5" t="inlineStr">
        <is>
          <t>Kewal Sharma</t>
        </is>
      </c>
      <c r="G48" s="5" t="inlineStr">
        <is>
          <t>Family</t>
        </is>
      </c>
      <c r="H48" s="5" t="inlineStr">
        <is>
          <t>Major</t>
        </is>
      </c>
      <c r="I48" s="5" t="inlineStr">
        <is>
          <t>Arun's twin and the favoured son, for whose sake the sacrifices are demanded.</t>
        </is>
      </c>
      <c r="J48" s="5" t="inlineStr">
        <is>
          <t>The beneficiary of the renunciation that ends the first pairing.</t>
        </is>
      </c>
      <c r="K48" s="19" t="inlineStr">
        <is>
          <t>The twin their father has a soft corner for, played by a look-alike performer, and the measure against which Arun is found wanting.</t>
        </is>
      </c>
      <c r="L48" s="5" t="n"/>
      <c r="M48" s="5" t="inlineStr">
        <is>
          <t>SOURCE-008</t>
        </is>
      </c>
    </row>
    <row r="49" ht="34" customHeight="1">
      <c r="A49" s="15" t="inlineStr">
        <is>
          <t>CAST-048</t>
        </is>
      </c>
      <c r="B49" s="18" t="inlineStr">
        <is>
          <t>FILM-008</t>
        </is>
      </c>
      <c r="C49" s="5" t="inlineStr">
        <is>
          <t>Zinda Dil</t>
        </is>
      </c>
      <c r="D49" s="17" t="n">
        <v>1975</v>
      </c>
      <c r="E49" s="5" t="inlineStr">
        <is>
          <t>Pinchoo Kapoor</t>
        </is>
      </c>
      <c r="F49" s="5" t="inlineStr">
        <is>
          <t>Diwan Pratap Chand</t>
        </is>
      </c>
      <c r="G49" s="5" t="inlineStr">
        <is>
          <t>Authority figure</t>
        </is>
      </c>
      <c r="H49" s="5" t="inlineStr">
        <is>
          <t>Medium</t>
        </is>
      </c>
      <c r="I49" s="5" t="inlineStr">
        <is>
          <t>Jyoti's father and Arun's employer after he leaves home.</t>
        </is>
      </c>
      <c r="J49" s="5" t="inlineStr">
        <is>
          <t>The household in which the second attachment forms.</t>
        </is>
      </c>
      <c r="K49" s="19" t="inlineStr">
        <is>
          <t>The hotel owner whose daughter brings Arun in as an employee, giving the disinherited son somewhere to stand.</t>
        </is>
      </c>
      <c r="L49" s="5" t="n"/>
      <c r="M49" s="5" t="inlineStr">
        <is>
          <t>SOURCE-008</t>
        </is>
      </c>
    </row>
    <row r="50" ht="64" customHeight="1">
      <c r="A50" s="15" t="inlineStr">
        <is>
          <t>CAST-049</t>
        </is>
      </c>
      <c r="B50" s="18" t="inlineStr">
        <is>
          <t>FILM-008</t>
        </is>
      </c>
      <c r="C50" s="5" t="inlineStr">
        <is>
          <t>Zinda Dil</t>
        </is>
      </c>
      <c r="D50" s="17" t="n">
        <v>1975</v>
      </c>
      <c r="E50" s="5" t="inlineStr">
        <is>
          <t>Padma Chavan</t>
        </is>
      </c>
      <c r="F50" s="5" t="inlineStr">
        <is>
          <t>Parvati</t>
        </is>
      </c>
      <c r="G50" s="5" t="inlineStr">
        <is>
          <t>Family</t>
        </is>
      </c>
      <c r="H50" s="5" t="inlineStr">
        <is>
          <t>Minor</t>
        </is>
      </c>
      <c r="I50" s="5" t="inlineStr">
        <is>
          <t>Credited in the family the film's secret concerns; the mother Arun learns is alive is not matched to a performer in the article.</t>
        </is>
      </c>
      <c r="J50" s="5" t="inlineStr">
        <is>
          <t>No part in either pairing.</t>
        </is>
      </c>
      <c r="K50" s="19" t="inlineStr">
        <is>
          <t>Credited as Parvati among the family whose buried history the hotel waiter's news reopens.</t>
        </is>
      </c>
      <c r="L50" s="5" t="n"/>
      <c r="M50" s="5" t="inlineStr">
        <is>
          <t>SOURCE-008</t>
        </is>
      </c>
    </row>
    <row r="51" ht="34" customHeight="1">
      <c r="A51" s="15" t="inlineStr">
        <is>
          <t>CAST-050</t>
        </is>
      </c>
      <c r="B51" s="18" t="inlineStr">
        <is>
          <t>FILM-008</t>
        </is>
      </c>
      <c r="C51" s="5" t="inlineStr">
        <is>
          <t>Zinda Dil</t>
        </is>
      </c>
      <c r="D51" s="17" t="n">
        <v>1975</v>
      </c>
      <c r="E51" s="5" t="inlineStr">
        <is>
          <t>Roopesh Kumar</t>
        </is>
      </c>
      <c r="F51" s="5" t="inlineStr">
        <is>
          <t>Ghanshyam Thakur</t>
        </is>
      </c>
      <c r="G51" s="5" t="inlineStr">
        <is>
          <t>Antagonist</t>
        </is>
      </c>
      <c r="H51" s="5" t="inlineStr">
        <is>
          <t>Medium</t>
        </is>
      </c>
      <c r="I51" s="5" t="inlineStr">
        <is>
          <t>The credited antagonist in the plot around the twins.</t>
        </is>
      </c>
      <c r="J51" s="5" t="inlineStr">
        <is>
          <t>No direct part in either pairing.</t>
        </is>
      </c>
      <c r="K51" s="19" t="inlineStr">
        <is>
          <t>Ghanshyam Thakur, the film's credited antagonist opposite the brothers.</t>
        </is>
      </c>
      <c r="L51" s="5" t="n"/>
      <c r="M51" s="5" t="inlineStr">
        <is>
          <t>SOURCE-008</t>
        </is>
      </c>
    </row>
    <row r="52" ht="64" customHeight="1">
      <c r="A52" s="15" t="inlineStr">
        <is>
          <t>CAST-051</t>
        </is>
      </c>
      <c r="B52" s="18" t="inlineStr">
        <is>
          <t>FILM-009</t>
        </is>
      </c>
      <c r="C52" s="5" t="inlineStr">
        <is>
          <t>Kabhie Kabhie</t>
        </is>
      </c>
      <c r="D52" s="17" t="n">
        <v>1976</v>
      </c>
      <c r="E52" s="5" t="inlineStr">
        <is>
          <t>Amitabh Bachchan</t>
        </is>
      </c>
      <c r="F52" s="5" t="inlineStr">
        <is>
          <t>Amit Malhotra</t>
        </is>
      </c>
      <c r="G52" s="5" t="inlineStr">
        <is>
          <t>Co-lead</t>
        </is>
      </c>
      <c r="H52" s="5" t="inlineStr">
        <is>
          <t>Major</t>
        </is>
      </c>
      <c r="I52" s="5" t="inlineStr">
        <is>
          <t>The film's protagonist, and the former lover of Kapoor's mother; the older generation's story displaces the younger one Kapoor belongs to.</t>
        </is>
      </c>
      <c r="J52" s="5" t="inlineStr">
        <is>
          <t>Holds the film's principal romance, with Pooja, whose loss and reopening set the terms for everything the children do.</t>
        </is>
      </c>
      <c r="K52" s="19" t="inlineStr">
        <is>
          <t>A college poet who loses Pooja to an arranged marriage, gives up poetry for his father's quarry business, and meets her again twenty years later on her television show as a stranger.</t>
        </is>
      </c>
      <c r="L52" s="5" t="inlineStr">
        <is>
          <t>One of Bachchan's early non-action leads, in a film remembered for its Khayyam score.</t>
        </is>
      </c>
      <c r="M52" s="5" t="inlineStr">
        <is>
          <t>SOURCE-010</t>
        </is>
      </c>
    </row>
    <row r="53" ht="49" customHeight="1">
      <c r="A53" s="15" t="inlineStr">
        <is>
          <t>CAST-052</t>
        </is>
      </c>
      <c r="B53" s="18" t="inlineStr">
        <is>
          <t>FILM-009</t>
        </is>
      </c>
      <c r="C53" s="5" t="inlineStr">
        <is>
          <t>Kabhie Kabhie</t>
        </is>
      </c>
      <c r="D53" s="17" t="n">
        <v>1976</v>
      </c>
      <c r="E53" s="5" t="inlineStr">
        <is>
          <t>Raakhee</t>
        </is>
      </c>
      <c r="F53" s="5" t="inlineStr">
        <is>
          <t>Pooja Khanna</t>
        </is>
      </c>
      <c r="G53" s="5" t="inlineStr">
        <is>
          <t>Co-lead</t>
        </is>
      </c>
      <c r="H53" s="5" t="inlineStr">
        <is>
          <t>Major</t>
        </is>
      </c>
      <c r="I53" s="5" t="inlineStr">
        <is>
          <t>Vicky's mother, and the woman whose first love the film reopens.</t>
        </is>
      </c>
      <c r="J53" s="5" t="inlineStr">
        <is>
          <t>The centre of the older couple's romance, and the reason the younger romance stands in its shadow.</t>
        </is>
      </c>
      <c r="K53" s="19" t="inlineStr">
        <is>
          <t>Married to Vijay against her wishes after asking Amit to marry and keep writing, and twenty years later a television host who introduces her former lover to an audience.</t>
        </is>
      </c>
      <c r="L53" s="5" t="n"/>
      <c r="M53" s="5" t="inlineStr">
        <is>
          <t>SOURCE-010</t>
        </is>
      </c>
    </row>
    <row r="54" ht="64" customHeight="1">
      <c r="A54" s="15" t="inlineStr">
        <is>
          <t>CAST-053</t>
        </is>
      </c>
      <c r="B54" s="18" t="inlineStr">
        <is>
          <t>FILM-009</t>
        </is>
      </c>
      <c r="C54" s="5" t="inlineStr">
        <is>
          <t>Kabhie Kabhie</t>
        </is>
      </c>
      <c r="D54" s="17" t="n">
        <v>1976</v>
      </c>
      <c r="E54" s="5" t="inlineStr">
        <is>
          <t>Shashi Kapoor</t>
        </is>
      </c>
      <c r="F54" s="5" t="inlineStr">
        <is>
          <t>Vijay Khanna</t>
        </is>
      </c>
      <c r="G54" s="5" t="inlineStr">
        <is>
          <t>Co-lead</t>
        </is>
      </c>
      <c r="H54" s="5" t="inlineStr">
        <is>
          <t>Major</t>
        </is>
      </c>
      <c r="I54" s="5" t="inlineStr">
        <is>
          <t>Vicky's father, the architect his mother was married to.</t>
        </is>
      </c>
      <c r="J54" s="5" t="inlineStr">
        <is>
          <t>The husband who works out what his wife's silence has cost, and whose generosity complicates rather than resolves it.</t>
        </is>
      </c>
      <c r="K54" s="19" t="inlineStr">
        <is>
          <t>An architect and admirer of Amit's poetry who gives his wife her former lover's first anthology on their wedding night, and later deduces why the poetry stopped.</t>
        </is>
      </c>
      <c r="L54" s="5" t="n"/>
      <c r="M54" s="5" t="inlineStr">
        <is>
          <t>SOURCE-010</t>
        </is>
      </c>
    </row>
    <row r="55" ht="49" customHeight="1">
      <c r="A55" s="15" t="inlineStr">
        <is>
          <t>CAST-054</t>
        </is>
      </c>
      <c r="B55" s="18" t="inlineStr">
        <is>
          <t>FILM-009</t>
        </is>
      </c>
      <c r="C55" s="5" t="inlineStr">
        <is>
          <t>Kabhie Kabhie</t>
        </is>
      </c>
      <c r="D55" s="17" t="n">
        <v>1976</v>
      </c>
      <c r="E55" s="5" t="inlineStr">
        <is>
          <t>Neetu Singh</t>
        </is>
      </c>
      <c r="F55" s="5" t="inlineStr">
        <is>
          <t>Pinky Kapoor</t>
        </is>
      </c>
      <c r="G55" s="5" t="inlineStr">
        <is>
          <t>Co-lead</t>
        </is>
      </c>
      <c r="H55" s="5" t="inlineStr">
        <is>
          <t>Major</t>
        </is>
      </c>
      <c r="I55" s="5" t="inlineStr">
        <is>
          <t>Kapoor's college friend and the woman he loves.</t>
        </is>
      </c>
      <c r="J55" s="5" t="inlineStr">
        <is>
          <t>The whole of the pairing in Romances, suspended while she goes looking for her birth mother.</t>
        </is>
      </c>
      <c r="K55" s="19" t="inlineStr">
        <is>
          <t>An adopted daughter who learns the fact of her adoption and leaves to find her birth mother, which turns the younger couple's romance into a wait on the older generation's secrets.</t>
        </is>
      </c>
      <c r="L55" s="5" t="n"/>
      <c r="M55" s="5" t="inlineStr">
        <is>
          <t>SOURCE-010</t>
        </is>
      </c>
    </row>
    <row r="56" ht="49" customHeight="1">
      <c r="A56" s="15" t="inlineStr">
        <is>
          <t>CAST-055</t>
        </is>
      </c>
      <c r="B56" s="18" t="inlineStr">
        <is>
          <t>FILM-009</t>
        </is>
      </c>
      <c r="C56" s="5" t="inlineStr">
        <is>
          <t>Kabhie Kabhie</t>
        </is>
      </c>
      <c r="D56" s="17" t="n">
        <v>1976</v>
      </c>
      <c r="E56" s="5" t="inlineStr">
        <is>
          <t>Waheeda Rehman</t>
        </is>
      </c>
      <c r="F56" s="5" t="inlineStr">
        <is>
          <t>Anjali Malhotra</t>
        </is>
      </c>
      <c r="G56" s="5" t="inlineStr">
        <is>
          <t>Supporting</t>
        </is>
      </c>
      <c r="H56" s="5" t="inlineStr">
        <is>
          <t>Major</t>
        </is>
      </c>
      <c r="I56" s="5" t="inlineStr">
        <is>
          <t>Amit's wife, in the marriage Pooja asked him to make.</t>
        </is>
      </c>
      <c r="J56" s="5" t="inlineStr">
        <is>
          <t>The claim set against the reopened first love.</t>
        </is>
      </c>
      <c r="K56" s="19" t="inlineStr">
        <is>
          <t>Amit's wife, married under the promise Pooja extracted, and the person with most to lose when the old attachment resurfaces.</t>
        </is>
      </c>
      <c r="L56" s="5" t="n"/>
      <c r="M56" s="5" t="inlineStr">
        <is>
          <t>SOURCE-010</t>
        </is>
      </c>
    </row>
    <row r="57" ht="49" customHeight="1">
      <c r="A57" s="15" t="inlineStr">
        <is>
          <t>CAST-056</t>
        </is>
      </c>
      <c r="B57" s="18" t="inlineStr">
        <is>
          <t>FILM-009</t>
        </is>
      </c>
      <c r="C57" s="5" t="inlineStr">
        <is>
          <t>Kabhie Kabhie</t>
        </is>
      </c>
      <c r="D57" s="17" t="n">
        <v>1976</v>
      </c>
      <c r="E57" s="5" t="inlineStr">
        <is>
          <t>Simi Garewal</t>
        </is>
      </c>
      <c r="F57" s="5" t="inlineStr">
        <is>
          <t>Shobha Kapoor</t>
        </is>
      </c>
      <c r="G57" s="5" t="inlineStr">
        <is>
          <t>Family</t>
        </is>
      </c>
      <c r="H57" s="5" t="inlineStr">
        <is>
          <t>Medium</t>
        </is>
      </c>
      <c r="I57" s="5" t="inlineStr">
        <is>
          <t>Pinky's adoptive mother, and so the keeper of the fact that starts her search.</t>
        </is>
      </c>
      <c r="J57" s="5" t="inlineStr">
        <is>
          <t>Holds the secret whose disclosure suspends the younger romance.</t>
        </is>
      </c>
      <c r="K57" s="19" t="inlineStr">
        <is>
          <t>Pinky's adoptive mother, from whose household the question of the girl's parentage escapes.</t>
        </is>
      </c>
      <c r="L57" s="5" t="n"/>
      <c r="M57" s="5" t="inlineStr">
        <is>
          <t>SOURCE-010</t>
        </is>
      </c>
    </row>
    <row r="58" ht="34" customHeight="1">
      <c r="A58" s="15" t="inlineStr">
        <is>
          <t>CAST-057</t>
        </is>
      </c>
      <c r="B58" s="18" t="inlineStr">
        <is>
          <t>FILM-009</t>
        </is>
      </c>
      <c r="C58" s="5" t="inlineStr">
        <is>
          <t>Kabhie Kabhie</t>
        </is>
      </c>
      <c r="D58" s="17" t="n">
        <v>1976</v>
      </c>
      <c r="E58" s="5" t="inlineStr">
        <is>
          <t>Parikshit Sahni</t>
        </is>
      </c>
      <c r="F58" s="5" t="inlineStr">
        <is>
          <t>Dr. R. P. Kapoor</t>
        </is>
      </c>
      <c r="G58" s="5" t="inlineStr">
        <is>
          <t>Family</t>
        </is>
      </c>
      <c r="H58" s="5" t="inlineStr">
        <is>
          <t>Medium</t>
        </is>
      </c>
      <c r="I58" s="5" t="inlineStr">
        <is>
          <t>Pinky's adoptive father.</t>
        </is>
      </c>
      <c r="J58" s="5" t="inlineStr">
        <is>
          <t>Part of the family the younger romance has to be settled within.</t>
        </is>
      </c>
      <c r="K58" s="19" t="inlineStr">
        <is>
          <t>The doctor who adopted Pinky, credited opposite Simi Garewal as the parents she was raised by.</t>
        </is>
      </c>
      <c r="L58" s="5" t="n"/>
      <c r="M58" s="5" t="inlineStr">
        <is>
          <t>SOURCE-010</t>
        </is>
      </c>
    </row>
    <row r="59" ht="109" customHeight="1">
      <c r="A59" s="15" t="inlineStr">
        <is>
          <t>CAST-058</t>
        </is>
      </c>
      <c r="B59" s="18" t="inlineStr">
        <is>
          <t>FILM-010</t>
        </is>
      </c>
      <c r="C59" s="5" t="inlineStr">
        <is>
          <t>Barood</t>
        </is>
      </c>
      <c r="D59" s="17" t="n">
        <v>1976</v>
      </c>
      <c r="E59" s="5" t="inlineStr">
        <is>
          <t>Shoma Anand</t>
        </is>
      </c>
      <c r="F59" s="5" t="inlineStr">
        <is>
          <t>Seema Bakshi</t>
        </is>
      </c>
      <c r="G59" s="5" t="inlineStr">
        <is>
          <t>Co-lead</t>
        </is>
      </c>
      <c r="H59" s="5" t="inlineStr">
        <is>
          <t>Major</t>
        </is>
      </c>
      <c r="I59" s="5" t="inlineStr">
        <is>
          <t>The daughter of the last smuggler on Anup's list, courted while he closes on her father.</t>
        </is>
      </c>
      <c r="J59" s="5" t="inlineStr">
        <is>
          <t>The pairing recorded in Romances. Note the article's own synopsis instead has Anup wooing Sapna, Bakshi's assistant, for access to her employer, and does not describe a courtship of Seema; the discrepancy is unresolved in the sources located.</t>
        </is>
      </c>
      <c r="K59" s="19" t="inlineStr">
        <is>
          <t>Credited as Bakshi's daughter Seema, the romantic lead of a revenge film in which the hero's attachment is partly instrumental and is abandoned when he surrenders.</t>
        </is>
      </c>
      <c r="L59" s="5" t="n"/>
      <c r="M59" s="5" t="inlineStr">
        <is>
          <t>SOURCE-014</t>
        </is>
      </c>
    </row>
    <row r="60" ht="64" customHeight="1">
      <c r="A60" s="15" t="inlineStr">
        <is>
          <t>CAST-059</t>
        </is>
      </c>
      <c r="B60" s="18" t="inlineStr">
        <is>
          <t>FILM-010</t>
        </is>
      </c>
      <c r="C60" s="5" t="inlineStr">
        <is>
          <t>Barood</t>
        </is>
      </c>
      <c r="D60" s="17" t="n">
        <v>1976</v>
      </c>
      <c r="E60" s="5" t="inlineStr">
        <is>
          <t>Reena Roy</t>
        </is>
      </c>
      <c r="F60" s="5" t="inlineStr">
        <is>
          <t>Sapna, Bakshi's assistant</t>
        </is>
      </c>
      <c r="G60" s="5" t="inlineStr">
        <is>
          <t>Supporting</t>
        </is>
      </c>
      <c r="H60" s="5" t="inlineStr">
        <is>
          <t>Major</t>
        </is>
      </c>
      <c r="I60" s="5" t="inlineStr">
        <is>
          <t>Bakshi's assistant, whom the synopsis says Anup woos in order to get at her employer.</t>
        </is>
      </c>
      <c r="J60" s="5" t="inlineStr">
        <is>
          <t>Named by the article as the object of the instrumental courtship, which makes her the alternative reading of this film's romance.</t>
        </is>
      </c>
      <c r="K60" s="19" t="inlineStr">
        <is>
          <t>Bakshi's assistant, approached by Anup for her employer's details; the plot summary gives her the courtship that the filmography's romantic billing assigns to Seema.</t>
        </is>
      </c>
      <c r="L60" s="5" t="n"/>
      <c r="M60" s="5" t="inlineStr">
        <is>
          <t>SOURCE-014</t>
        </is>
      </c>
    </row>
    <row r="61" ht="49" customHeight="1">
      <c r="A61" s="15" t="inlineStr">
        <is>
          <t>CAST-060</t>
        </is>
      </c>
      <c r="B61" s="18" t="inlineStr">
        <is>
          <t>FILM-010</t>
        </is>
      </c>
      <c r="C61" s="5" t="inlineStr">
        <is>
          <t>Barood</t>
        </is>
      </c>
      <c r="D61" s="17" t="n">
        <v>1976</v>
      </c>
      <c r="E61" s="5" t="inlineStr">
        <is>
          <t>Ajit Khan</t>
        </is>
      </c>
      <c r="F61" s="5" t="inlineStr">
        <is>
          <t>Bakshi</t>
        </is>
      </c>
      <c r="G61" s="5" t="inlineStr">
        <is>
          <t>Antagonist</t>
        </is>
      </c>
      <c r="H61" s="5" t="inlineStr">
        <is>
          <t>Major</t>
        </is>
      </c>
      <c r="I61" s="5" t="inlineStr">
        <is>
          <t>The last and most protected of the four men who killed Anup's father.</t>
        </is>
      </c>
      <c r="J61" s="5" t="inlineStr">
        <is>
          <t>The reason the courtship exists, and the man it is conducted against.</t>
        </is>
      </c>
      <c r="K61" s="19" t="inlineStr">
        <is>
          <t>The head of the smuggling group, with associates in New York, Madrid and Las Vegas, shot by Anup at the climax but surviving.</t>
        </is>
      </c>
      <c r="L61" s="5" t="n"/>
      <c r="M61" s="5" t="inlineStr">
        <is>
          <t>SOURCE-014</t>
        </is>
      </c>
    </row>
    <row r="62" ht="49" customHeight="1">
      <c r="A62" s="15" t="inlineStr">
        <is>
          <t>CAST-061</t>
        </is>
      </c>
      <c r="B62" s="18" t="inlineStr">
        <is>
          <t>FILM-010</t>
        </is>
      </c>
      <c r="C62" s="5" t="inlineStr">
        <is>
          <t>Barood</t>
        </is>
      </c>
      <c r="D62" s="17" t="n">
        <v>1976</v>
      </c>
      <c r="E62" s="5" t="inlineStr">
        <is>
          <t>Ashok Kumar</t>
        </is>
      </c>
      <c r="F62" s="5" t="inlineStr">
        <is>
          <t>Balraj Gupta, criminologist</t>
        </is>
      </c>
      <c r="G62" s="5" t="inlineStr">
        <is>
          <t>Supporting</t>
        </is>
      </c>
      <c r="H62" s="5" t="inlineStr">
        <is>
          <t>Major</t>
        </is>
      </c>
      <c r="I62" s="5" t="inlineStr">
        <is>
          <t>The retired detective who shadows Anup across the film and to whom he finally surrenders.</t>
        </is>
      </c>
      <c r="J62" s="5" t="inlineStr">
        <is>
          <t>Supplies the ending that leaves the romance unresolved.</t>
        </is>
      </c>
      <c r="K62" s="19" t="inlineStr">
        <is>
          <t>A New York-based retired police detective and criminologist who follows the killings from country to country and is waiting at the end of them.</t>
        </is>
      </c>
      <c r="L62" s="5" t="n"/>
      <c r="M62" s="5" t="inlineStr">
        <is>
          <t>SOURCE-014</t>
        </is>
      </c>
    </row>
    <row r="63" ht="49" customHeight="1">
      <c r="A63" s="15" t="inlineStr">
        <is>
          <t>CAST-062</t>
        </is>
      </c>
      <c r="B63" s="18" t="inlineStr">
        <is>
          <t>FILM-010</t>
        </is>
      </c>
      <c r="C63" s="5" t="inlineStr">
        <is>
          <t>Barood</t>
        </is>
      </c>
      <c r="D63" s="17" t="n">
        <v>1976</v>
      </c>
      <c r="E63" s="5" t="inlineStr">
        <is>
          <t>Shriram Lagoo</t>
        </is>
      </c>
      <c r="F63" s="5" t="inlineStr">
        <is>
          <t>Inspector Durgaprasad Saxena</t>
        </is>
      </c>
      <c r="G63" s="5" t="inlineStr">
        <is>
          <t>Family</t>
        </is>
      </c>
      <c r="H63" s="5" t="inlineStr">
        <is>
          <t>Medium</t>
        </is>
      </c>
      <c r="I63" s="5" t="inlineStr">
        <is>
          <t>Anup's father, decorated and then beaten to death in front of him.</t>
        </is>
      </c>
      <c r="J63" s="5" t="inlineStr">
        <is>
          <t>The motive that makes every relationship in the film instrumental.</t>
        </is>
      </c>
      <c r="K63" s="19" t="inlineStr">
        <is>
          <t>A Bombay police inspector honoured for his service and killed by four smugglers on Juhu Beach in front of his eight-year-old son.</t>
        </is>
      </c>
      <c r="L63" s="5" t="n"/>
      <c r="M63" s="5" t="inlineStr">
        <is>
          <t>SOURCE-014</t>
        </is>
      </c>
    </row>
    <row r="64" ht="34" customHeight="1">
      <c r="A64" s="15" t="inlineStr">
        <is>
          <t>CAST-063</t>
        </is>
      </c>
      <c r="B64" s="18" t="inlineStr">
        <is>
          <t>FILM-010</t>
        </is>
      </c>
      <c r="C64" s="5" t="inlineStr">
        <is>
          <t>Barood</t>
        </is>
      </c>
      <c r="D64" s="17" t="n">
        <v>1976</v>
      </c>
      <c r="E64" s="5" t="inlineStr">
        <is>
          <t>Prem Chopra</t>
        </is>
      </c>
      <c r="F64" s="5" t="inlineStr">
        <is>
          <t>Prem, Bakshi's Madrid associate</t>
        </is>
      </c>
      <c r="G64" s="5" t="inlineStr">
        <is>
          <t>Antagonist</t>
        </is>
      </c>
      <c r="H64" s="5" t="inlineStr">
        <is>
          <t>Medium</t>
        </is>
      </c>
      <c r="I64" s="5" t="inlineStr">
        <is>
          <t>One of the four killers, eliminated in Geneva.</t>
        </is>
      </c>
      <c r="J64" s="5" t="inlineStr">
        <is>
          <t>No part in the romance.</t>
        </is>
      </c>
      <c r="K64" s="19" t="inlineStr">
        <is>
          <t>Bakshi's associate Prem, one of the men Anup tracks down and kills abroad.</t>
        </is>
      </c>
      <c r="L64" s="5" t="n"/>
      <c r="M64" s="5" t="inlineStr">
        <is>
          <t>SOURCE-014</t>
        </is>
      </c>
    </row>
    <row r="65" ht="34" customHeight="1">
      <c r="A65" s="15" t="inlineStr">
        <is>
          <t>CAST-064</t>
        </is>
      </c>
      <c r="B65" s="18" t="inlineStr">
        <is>
          <t>FILM-010</t>
        </is>
      </c>
      <c r="C65" s="5" t="inlineStr">
        <is>
          <t>Barood</t>
        </is>
      </c>
      <c r="D65" s="17" t="n">
        <v>1976</v>
      </c>
      <c r="E65" s="5" t="inlineStr">
        <is>
          <t>Dharmendra</t>
        </is>
      </c>
      <c r="F65" s="5" t="inlineStr">
        <is>
          <t>Anup's landlord</t>
        </is>
      </c>
      <c r="G65" s="5" t="inlineStr">
        <is>
          <t>Cameo</t>
        </is>
      </c>
      <c r="H65" s="5" t="inlineStr">
        <is>
          <t>Minor</t>
        </is>
      </c>
      <c r="I65" s="5" t="inlineStr">
        <is>
          <t>A cameo as the protagonist's landlord.</t>
        </is>
      </c>
      <c r="J65" s="5" t="inlineStr">
        <is>
          <t>No part in the romance.</t>
        </is>
      </c>
      <c r="K65" s="19" t="inlineStr">
        <is>
          <t>A star cameo as Anup's landlord, paired with Hema Malini as the landlady.</t>
        </is>
      </c>
      <c r="L65" s="5" t="n"/>
      <c r="M65" s="5" t="inlineStr">
        <is>
          <t>SOURCE-014</t>
        </is>
      </c>
    </row>
    <row r="66" ht="34" customHeight="1">
      <c r="A66" s="15" t="inlineStr">
        <is>
          <t>CAST-065</t>
        </is>
      </c>
      <c r="B66" s="18" t="inlineStr">
        <is>
          <t>FILM-010</t>
        </is>
      </c>
      <c r="C66" s="5" t="inlineStr">
        <is>
          <t>Barood</t>
        </is>
      </c>
      <c r="D66" s="17" t="n">
        <v>1976</v>
      </c>
      <c r="E66" s="5" t="inlineStr">
        <is>
          <t>Hema Malini</t>
        </is>
      </c>
      <c r="F66" s="5" t="inlineStr">
        <is>
          <t>Anup's landlady</t>
        </is>
      </c>
      <c r="G66" s="5" t="inlineStr">
        <is>
          <t>Cameo</t>
        </is>
      </c>
      <c r="H66" s="5" t="inlineStr">
        <is>
          <t>Minor</t>
        </is>
      </c>
      <c r="I66" s="5" t="inlineStr">
        <is>
          <t>A cameo as the protagonist's landlady.</t>
        </is>
      </c>
      <c r="J66" s="5" t="inlineStr">
        <is>
          <t>No part in the romance.</t>
        </is>
      </c>
      <c r="K66" s="19" t="inlineStr">
        <is>
          <t>A star cameo as Anup's landlady, opposite Dharmendra's landlord.</t>
        </is>
      </c>
      <c r="L66" s="5" t="n"/>
      <c r="M66" s="5" t="inlineStr">
        <is>
          <t>SOURCE-014</t>
        </is>
      </c>
    </row>
    <row r="67" ht="64" customHeight="1">
      <c r="A67" s="15" t="inlineStr">
        <is>
          <t>CAST-066</t>
        </is>
      </c>
      <c r="B67" s="18" t="inlineStr">
        <is>
          <t>FILM-011</t>
        </is>
      </c>
      <c r="C67" s="5" t="inlineStr">
        <is>
          <t>Rangila Ratan</t>
        </is>
      </c>
      <c r="D67" s="17" t="n">
        <v>1976</v>
      </c>
      <c r="E67" s="5" t="inlineStr">
        <is>
          <t>Parveen Babi</t>
        </is>
      </c>
      <c r="F67" s="5" t="inlineStr">
        <is>
          <t>Madhu</t>
        </is>
      </c>
      <c r="G67" s="5" t="inlineStr">
        <is>
          <t>Co-lead</t>
        </is>
      </c>
      <c r="H67" s="5" t="inlineStr">
        <is>
          <t>Major</t>
        </is>
      </c>
      <c r="I67" s="5" t="inlineStr">
        <is>
          <t>The love of a man living under three names, none of them his own.</t>
        </is>
      </c>
      <c r="J67" s="5" t="inlineStr">
        <is>
          <t>The whole of the pairing in Romances; the article closes on the question of whether he will begin a new life with her.</t>
        </is>
      </c>
      <c r="K67" s="19" t="inlineStr">
        <is>
          <t>The woman loved by the man raised as Kishan and sheltered as Ratan, and the stake in the article's closing question about whether his past will let him start again.</t>
        </is>
      </c>
      <c r="L67" s="5" t="n"/>
      <c r="M67" s="5" t="inlineStr">
        <is>
          <t>SOURCE-012</t>
        </is>
      </c>
    </row>
    <row r="68" ht="49" customHeight="1">
      <c r="A68" s="15" t="inlineStr">
        <is>
          <t>CAST-067</t>
        </is>
      </c>
      <c r="B68" s="18" t="inlineStr">
        <is>
          <t>FILM-011</t>
        </is>
      </c>
      <c r="C68" s="5" t="inlineStr">
        <is>
          <t>Rangila Ratan</t>
        </is>
      </c>
      <c r="D68" s="17" t="n">
        <v>1976</v>
      </c>
      <c r="E68" s="5" t="inlineStr">
        <is>
          <t>Ashok Kumar</t>
        </is>
      </c>
      <c r="F68" s="5" t="inlineStr">
        <is>
          <t>Government lawyer Dinanath Sharma</t>
        </is>
      </c>
      <c r="G68" s="5" t="inlineStr">
        <is>
          <t>Family</t>
        </is>
      </c>
      <c r="H68" s="5" t="inlineStr">
        <is>
          <t>Major</t>
        </is>
      </c>
      <c r="I68" s="5" t="inlineStr">
        <is>
          <t>His real father, unknown to him, whose courtroom success caused the kidnapping.</t>
        </is>
      </c>
      <c r="J68" s="5" t="inlineStr">
        <is>
          <t>No direct part; the plot's business is the stolen identity rather than the courtship.</t>
        </is>
      </c>
      <c r="K68" s="19" t="inlineStr">
        <is>
          <t>The prosecutor who sent Laxman Das's son to the gallows on the strength of his age, and whose own son Gopal was taken from a family function in reprisal.</t>
        </is>
      </c>
      <c r="L68" s="5" t="n"/>
      <c r="M68" s="5" t="inlineStr">
        <is>
          <t>SOURCE-012</t>
        </is>
      </c>
    </row>
    <row r="69" ht="49" customHeight="1">
      <c r="A69" s="15" t="inlineStr">
        <is>
          <t>CAST-068</t>
        </is>
      </c>
      <c r="B69" s="18" t="inlineStr">
        <is>
          <t>FILM-011</t>
        </is>
      </c>
      <c r="C69" s="5" t="inlineStr">
        <is>
          <t>Rangila Ratan</t>
        </is>
      </c>
      <c r="D69" s="17" t="n">
        <v>1976</v>
      </c>
      <c r="E69" s="5" t="inlineStr">
        <is>
          <t>Ajit</t>
        </is>
      </c>
      <c r="F69" s="5" t="inlineStr">
        <is>
          <t>Laxman Dada</t>
        </is>
      </c>
      <c r="G69" s="5" t="inlineStr">
        <is>
          <t>Antagonist</t>
        </is>
      </c>
      <c r="H69" s="5" t="inlineStr">
        <is>
          <t>Major</t>
        </is>
      </c>
      <c r="I69" s="5" t="inlineStr">
        <is>
          <t>The man who kidnapped and raised him as an instrument of revenge, and who hunts him when he runs.</t>
        </is>
      </c>
      <c r="J69" s="5" t="inlineStr">
        <is>
          <t>The pursuit that keeps the romance unsettled to the last scene.</t>
        </is>
      </c>
      <c r="K69" s="19" t="inlineStr">
        <is>
          <t>The criminal who takes Dinanath's son, raises him in crime as Kishan, and intends to kill him at twenty-one, the age at which his own son was hanged.</t>
        </is>
      </c>
      <c r="L69" s="5" t="n"/>
      <c r="M69" s="5" t="inlineStr">
        <is>
          <t>SOURCE-012</t>
        </is>
      </c>
    </row>
    <row r="70" ht="49" customHeight="1">
      <c r="A70" s="15" t="inlineStr">
        <is>
          <t>CAST-069</t>
        </is>
      </c>
      <c r="B70" s="18" t="inlineStr">
        <is>
          <t>FILM-011</t>
        </is>
      </c>
      <c r="C70" s="5" t="inlineStr">
        <is>
          <t>Rangila Ratan</t>
        </is>
      </c>
      <c r="D70" s="17" t="n">
        <v>1976</v>
      </c>
      <c r="E70" s="5" t="inlineStr">
        <is>
          <t>Shreeram Lagoo</t>
        </is>
      </c>
      <c r="F70" s="5" t="inlineStr">
        <is>
          <t>Dr. Anand</t>
        </is>
      </c>
      <c r="G70" s="5" t="inlineStr">
        <is>
          <t>Mentor</t>
        </is>
      </c>
      <c r="H70" s="5" t="inlineStr">
        <is>
          <t>Major</t>
        </is>
      </c>
      <c r="I70" s="5" t="inlineStr">
        <is>
          <t>The doctor who treats him, disapproves of his life, and shelters him twice.</t>
        </is>
      </c>
      <c r="J70" s="5" t="inlineStr">
        <is>
          <t>Provides the household and the borrowed name under which a new life, and the romance, becomes thinkable.</t>
        </is>
      </c>
      <c r="K70" s="19" t="inlineStr">
        <is>
          <t>A doctor who urges Kishan to reform and takes him in when he flees, at the cost of letting his blind mother believe the fugitive is her dead son.</t>
        </is>
      </c>
      <c r="L70" s="5" t="n"/>
      <c r="M70" s="5" t="inlineStr">
        <is>
          <t>SOURCE-012</t>
        </is>
      </c>
    </row>
    <row r="71" ht="49" customHeight="1">
      <c r="A71" s="15" t="inlineStr">
        <is>
          <t>CAST-070</t>
        </is>
      </c>
      <c r="B71" s="18" t="inlineStr">
        <is>
          <t>FILM-011</t>
        </is>
      </c>
      <c r="C71" s="5" t="inlineStr">
        <is>
          <t>Rangila Ratan</t>
        </is>
      </c>
      <c r="D71" s="17" t="n">
        <v>1976</v>
      </c>
      <c r="E71" s="5" t="inlineStr">
        <is>
          <t>Durga Khote</t>
        </is>
      </c>
      <c r="F71" s="5" t="inlineStr">
        <is>
          <t>Dadi Ma</t>
        </is>
      </c>
      <c r="G71" s="5" t="inlineStr">
        <is>
          <t>Family</t>
        </is>
      </c>
      <c r="H71" s="5" t="inlineStr">
        <is>
          <t>Medium</t>
        </is>
      </c>
      <c r="I71" s="5" t="inlineStr">
        <is>
          <t>The blind woman who mistakes him for her dead son Ratan, which is how he acquires the name.</t>
        </is>
      </c>
      <c r="J71" s="5" t="inlineStr">
        <is>
          <t>Her mistake supplies the identity in which the courtship is conducted.</t>
        </is>
      </c>
      <c r="K71" s="19" t="inlineStr">
        <is>
          <t>Dr. Anand's blind mother, whose grief for her son Ratan gives the fugitive a third name and a reason to keep it.</t>
        </is>
      </c>
      <c r="L71" s="5" t="n"/>
      <c r="M71" s="5" t="inlineStr">
        <is>
          <t>SOURCE-012</t>
        </is>
      </c>
    </row>
    <row r="72" ht="49" customHeight="1">
      <c r="A72" s="15" t="inlineStr">
        <is>
          <t>CAST-071</t>
        </is>
      </c>
      <c r="B72" s="18" t="inlineStr">
        <is>
          <t>FILM-011</t>
        </is>
      </c>
      <c r="C72" s="5" t="inlineStr">
        <is>
          <t>Rangila Ratan</t>
        </is>
      </c>
      <c r="D72" s="17" t="n">
        <v>1976</v>
      </c>
      <c r="E72" s="5" t="inlineStr">
        <is>
          <t>Rama Prabha</t>
        </is>
      </c>
      <c r="F72" s="5" t="inlineStr">
        <is>
          <t>Chamki</t>
        </is>
      </c>
      <c r="G72" s="5" t="inlineStr">
        <is>
          <t>Friend</t>
        </is>
      </c>
      <c r="H72" s="5" t="inlineStr">
        <is>
          <t>Medium</t>
        </is>
      </c>
      <c r="I72" s="5" t="inlineStr">
        <is>
          <t>The woman he protects from the goon Nandu, and who then helps him escape.</t>
        </is>
      </c>
      <c r="J72" s="5" t="inlineStr">
        <is>
          <t>Enables the break with his criminal household that the romance depends on.</t>
        </is>
      </c>
      <c r="K72" s="19" t="inlineStr">
        <is>
          <t>Protected by Kishan in the scuffle that lands him in Dr. Anand's clinic, and the one who helps him run from Laxman Dada.</t>
        </is>
      </c>
      <c r="L72" s="5" t="n"/>
      <c r="M72" s="5" t="inlineStr">
        <is>
          <t>SOURCE-012</t>
        </is>
      </c>
    </row>
    <row r="73" ht="49" customHeight="1">
      <c r="A73" s="15" t="inlineStr">
        <is>
          <t>CAST-072</t>
        </is>
      </c>
      <c r="B73" s="18" t="inlineStr">
        <is>
          <t>FILM-011</t>
        </is>
      </c>
      <c r="C73" s="5" t="inlineStr">
        <is>
          <t>Rangila Ratan</t>
        </is>
      </c>
      <c r="D73" s="17" t="n">
        <v>1976</v>
      </c>
      <c r="E73" s="5" t="inlineStr">
        <is>
          <t>Narendra Nath</t>
        </is>
      </c>
      <c r="F73" s="5" t="inlineStr">
        <is>
          <t>Nandu</t>
        </is>
      </c>
      <c r="G73" s="5" t="inlineStr">
        <is>
          <t>Antagonist</t>
        </is>
      </c>
      <c r="H73" s="5" t="inlineStr">
        <is>
          <t>Minor</t>
        </is>
      </c>
      <c r="I73" s="5" t="inlineStr">
        <is>
          <t>The goon whose assault on Chamki starts the hero's break with his criminal world.</t>
        </is>
      </c>
      <c r="J73" s="5" t="inlineStr">
        <is>
          <t>No part in the romance.</t>
        </is>
      </c>
      <c r="K73" s="19" t="inlineStr">
        <is>
          <t>The goon Kishan fights off Chamki, the scuffle that first brings him to Dr. Anand's clinic.</t>
        </is>
      </c>
      <c r="L73" s="5" t="n"/>
      <c r="M73" s="5" t="inlineStr">
        <is>
          <t>SOURCE-012</t>
        </is>
      </c>
    </row>
    <row r="74" ht="49" customHeight="1">
      <c r="A74" s="15" t="inlineStr">
        <is>
          <t>CAST-073</t>
        </is>
      </c>
      <c r="B74" s="18" t="inlineStr">
        <is>
          <t>FILM-012</t>
        </is>
      </c>
      <c r="C74" s="5" t="inlineStr">
        <is>
          <t>Ginny Aur Johnny</t>
        </is>
      </c>
      <c r="D74" s="17" t="n">
        <v>1976</v>
      </c>
      <c r="E74" s="5" t="inlineStr">
        <is>
          <t>Mehmood</t>
        </is>
      </c>
      <c r="F74" s="5" t="inlineStr">
        <is>
          <t>Johnny</t>
        </is>
      </c>
      <c r="G74" s="5" t="inlineStr">
        <is>
          <t>Co-lead</t>
        </is>
      </c>
      <c r="H74" s="5" t="inlineStr">
        <is>
          <t>Major</t>
        </is>
      </c>
      <c r="I74" s="5" t="inlineStr">
        <is>
          <t>The film's protagonist; Kapoor's guest walk-on has no contact with the story.</t>
        </is>
      </c>
      <c r="J74" s="5" t="inlineStr">
        <is>
          <t>Carries what romance the film has, alongside Helen's character, outside Kapoor's appearance.</t>
        </is>
      </c>
      <c r="K74" s="19" t="inlineStr">
        <is>
          <t>A con man who works the houses of the recently dead, selling holy books in their names, and is saddled with the orphaned Ginny on a journey to an Ooty orphanage.</t>
        </is>
      </c>
      <c r="L74" s="5" t="n"/>
      <c r="M74" s="5" t="inlineStr">
        <is>
          <t>SOURCE-013</t>
        </is>
      </c>
    </row>
    <row r="75" ht="49" customHeight="1">
      <c r="A75" s="15" t="inlineStr">
        <is>
          <t>CAST-074</t>
        </is>
      </c>
      <c r="B75" s="18" t="inlineStr">
        <is>
          <t>FILM-012</t>
        </is>
      </c>
      <c r="C75" s="5" t="inlineStr">
        <is>
          <t>Ginny Aur Johnny</t>
        </is>
      </c>
      <c r="D75" s="17" t="n">
        <v>1976</v>
      </c>
      <c r="E75" s="5" t="inlineStr">
        <is>
          <t>Baby Ginni</t>
        </is>
      </c>
      <c r="F75" s="5" t="inlineStr">
        <is>
          <t>Ginni</t>
        </is>
      </c>
      <c r="G75" s="5" t="inlineStr">
        <is>
          <t>Co-lead</t>
        </is>
      </c>
      <c r="H75" s="5" t="inlineStr">
        <is>
          <t>Major</t>
        </is>
      </c>
      <c r="I75" s="5" t="inlineStr">
        <is>
          <t>The child at the centre of the film Kapoor passes through.</t>
        </is>
      </c>
      <c r="J75" s="5" t="inlineStr">
        <is>
          <t>No part in any romance.</t>
        </is>
      </c>
      <c r="K75" s="19" t="inlineStr">
        <is>
          <t>A nine-year-old left alone by her mother's death in an accident, whom the villagers hand to a con man to deliver to an orphanage.</t>
        </is>
      </c>
      <c r="L75" s="5" t="n"/>
      <c r="M75" s="5" t="inlineStr">
        <is>
          <t>SOURCE-013</t>
        </is>
      </c>
    </row>
    <row r="76" ht="34" customHeight="1">
      <c r="A76" s="15" t="inlineStr">
        <is>
          <t>CAST-075</t>
        </is>
      </c>
      <c r="B76" s="18" t="inlineStr">
        <is>
          <t>FILM-012</t>
        </is>
      </c>
      <c r="C76" s="5" t="inlineStr">
        <is>
          <t>Ginny Aur Johnny</t>
        </is>
      </c>
      <c r="D76" s="17" t="n">
        <v>1976</v>
      </c>
      <c r="E76" s="5" t="inlineStr">
        <is>
          <t>Hema Malini</t>
        </is>
      </c>
      <c r="F76" s="5" t="inlineStr">
        <is>
          <t>Rosie, Ginny's mother</t>
        </is>
      </c>
      <c r="G76" s="5" t="inlineStr">
        <is>
          <t>Supporting</t>
        </is>
      </c>
      <c r="H76" s="5" t="inlineStr">
        <is>
          <t>Medium</t>
        </is>
      </c>
      <c r="I76" s="5" t="inlineStr">
        <is>
          <t>The mother whose death sets the film's journey going.</t>
        </is>
      </c>
      <c r="J76" s="5" t="inlineStr">
        <is>
          <t>No part in any romance.</t>
        </is>
      </c>
      <c r="K76" s="19" t="inlineStr">
        <is>
          <t>Ginny's mother, killed in an accident before the journey begins, and the death Johnny learns of on one of his visits.</t>
        </is>
      </c>
      <c r="L76" s="5" t="n"/>
      <c r="M76" s="5" t="inlineStr">
        <is>
          <t>SOURCE-013</t>
        </is>
      </c>
    </row>
    <row r="77" ht="34" customHeight="1">
      <c r="A77" s="15" t="inlineStr">
        <is>
          <t>CAST-076</t>
        </is>
      </c>
      <c r="B77" s="18" t="inlineStr">
        <is>
          <t>FILM-012</t>
        </is>
      </c>
      <c r="C77" s="5" t="inlineStr">
        <is>
          <t>Ginny Aur Johnny</t>
        </is>
      </c>
      <c r="D77" s="17" t="n">
        <v>1976</v>
      </c>
      <c r="E77" s="5" t="inlineStr">
        <is>
          <t>Amjad Khan</t>
        </is>
      </c>
      <c r="F77" s="5" t="inlineStr">
        <is>
          <t>Gabbar Singh</t>
        </is>
      </c>
      <c r="G77" s="5" t="inlineStr">
        <is>
          <t>Antagonist</t>
        </is>
      </c>
      <c r="H77" s="5" t="inlineStr">
        <is>
          <t>Medium</t>
        </is>
      </c>
      <c r="I77" s="5" t="inlineStr">
        <is>
          <t>The credited antagonist of the journey plot.</t>
        </is>
      </c>
      <c r="J77" s="5" t="inlineStr">
        <is>
          <t>No part in any romance.</t>
        </is>
      </c>
      <c r="K77" s="19" t="inlineStr">
        <is>
          <t>Credited as Gabbar Singh, with Imtiaz Khan as an inspector who is his brother, in the comic film's villain register.</t>
        </is>
      </c>
      <c r="L77" s="5" t="n"/>
      <c r="M77" s="5" t="inlineStr">
        <is>
          <t>SOURCE-013</t>
        </is>
      </c>
    </row>
    <row r="78" ht="34" customHeight="1">
      <c r="A78" s="15" t="inlineStr">
        <is>
          <t>CAST-077</t>
        </is>
      </c>
      <c r="B78" s="18" t="inlineStr">
        <is>
          <t>FILM-012</t>
        </is>
      </c>
      <c r="C78" s="5" t="inlineStr">
        <is>
          <t>Ginny Aur Johnny</t>
        </is>
      </c>
      <c r="D78" s="17" t="n">
        <v>1976</v>
      </c>
      <c r="E78" s="5" t="inlineStr">
        <is>
          <t>Helen</t>
        </is>
      </c>
      <c r="F78" s="5" t="inlineStr">
        <is>
          <t>Johnny's girlfriend</t>
        </is>
      </c>
      <c r="G78" s="5" t="inlineStr">
        <is>
          <t>Supporting</t>
        </is>
      </c>
      <c r="H78" s="5" t="inlineStr">
        <is>
          <t>Minor</t>
        </is>
      </c>
      <c r="I78" s="5" t="inlineStr">
        <is>
          <t>Attached to the protagonist rather than to Kapoor's walk-on.</t>
        </is>
      </c>
      <c r="J78" s="5" t="inlineStr">
        <is>
          <t>The film's romantic interest, in a plot organised around the child.</t>
        </is>
      </c>
      <c r="K78" s="19" t="inlineStr">
        <is>
          <t>Johnny's girlfriend, credited in the comedy around the con man's reluctant guardianship.</t>
        </is>
      </c>
      <c r="L78" s="5" t="n"/>
      <c r="M78" s="5" t="inlineStr">
        <is>
          <t>SOURCE-013</t>
        </is>
      </c>
    </row>
    <row r="79" ht="49" customHeight="1">
      <c r="A79" s="15" t="inlineStr">
        <is>
          <t>CAST-078</t>
        </is>
      </c>
      <c r="B79" s="18" t="inlineStr">
        <is>
          <t>FILM-012</t>
        </is>
      </c>
      <c r="C79" s="5" t="inlineStr">
        <is>
          <t>Ginny Aur Johnny</t>
        </is>
      </c>
      <c r="D79" s="17" t="n">
        <v>1976</v>
      </c>
      <c r="E79" s="5" t="inlineStr">
        <is>
          <t>Rajesh Khanna</t>
        </is>
      </c>
      <c r="F79" s="5" t="inlineStr">
        <is>
          <t>Inspector</t>
        </is>
      </c>
      <c r="G79" s="5" t="inlineStr">
        <is>
          <t>Cameo</t>
        </is>
      </c>
      <c r="H79" s="5" t="inlineStr">
        <is>
          <t>Minor</t>
        </is>
      </c>
      <c r="I79" s="5" t="inlineStr">
        <is>
          <t>A star special appearance in the same register as Kapoor's guest role.</t>
        </is>
      </c>
      <c r="J79" s="5" t="inlineStr">
        <is>
          <t>No part in any romance.</t>
        </is>
      </c>
      <c r="K79" s="19" t="inlineStr">
        <is>
          <t>A special appearance as the inspector, one of a line of star walk-ons that includes Kapoor, Randhir Kapoor, Vinod Mehra and Rakesh Roshan.</t>
        </is>
      </c>
      <c r="L79" s="5" t="n"/>
      <c r="M79" s="5" t="inlineStr">
        <is>
          <t>SOURCE-013</t>
        </is>
      </c>
    </row>
    <row r="80" ht="34" customHeight="1">
      <c r="A80" s="15" t="inlineStr">
        <is>
          <t>CAST-079</t>
        </is>
      </c>
      <c r="B80" s="18" t="inlineStr">
        <is>
          <t>FILM-012</t>
        </is>
      </c>
      <c r="C80" s="5" t="inlineStr">
        <is>
          <t>Ginny Aur Johnny</t>
        </is>
      </c>
      <c r="D80" s="17" t="n">
        <v>1976</v>
      </c>
      <c r="E80" s="5" t="inlineStr">
        <is>
          <t>Randhir Kapoor</t>
        </is>
      </c>
      <c r="F80" s="5" t="inlineStr">
        <is>
          <t>Dabbu</t>
        </is>
      </c>
      <c r="G80" s="5" t="inlineStr">
        <is>
          <t>Cameo</t>
        </is>
      </c>
      <c r="H80" s="5" t="inlineStr">
        <is>
          <t>Minor</t>
        </is>
      </c>
      <c r="I80" s="5" t="inlineStr">
        <is>
          <t>A star walk-on beside Kapoor's own, and his elder brother.</t>
        </is>
      </c>
      <c r="J80" s="5" t="inlineStr">
        <is>
          <t>No part in any romance.</t>
        </is>
      </c>
      <c r="K80" s="19" t="inlineStr">
        <is>
          <t>Credited as Dabbu, his own family nickname, in the film's row of guest appearances.</t>
        </is>
      </c>
      <c r="L80" s="5" t="n"/>
      <c r="M80" s="5" t="inlineStr">
        <is>
          <t>SOURCE-013</t>
        </is>
      </c>
    </row>
    <row r="81" ht="49" customHeight="1">
      <c r="A81" s="15" t="inlineStr">
        <is>
          <t>CAST-080</t>
        </is>
      </c>
      <c r="B81" s="18" t="inlineStr">
        <is>
          <t>FILM-013</t>
        </is>
      </c>
      <c r="C81" s="5" t="inlineStr">
        <is>
          <t>Laila Majnu</t>
        </is>
      </c>
      <c r="D81" s="17" t="n">
        <v>1976</v>
      </c>
      <c r="E81" s="5" t="inlineStr">
        <is>
          <t>Ranjeeta Kaur</t>
        </is>
      </c>
      <c r="F81" s="5" t="inlineStr">
        <is>
          <t>Laila</t>
        </is>
      </c>
      <c r="G81" s="5" t="inlineStr">
        <is>
          <t>Co-lead</t>
        </is>
      </c>
      <c r="H81" s="5" t="inlineStr">
        <is>
          <t>Major</t>
        </is>
      </c>
      <c r="I81" s="5" t="inlineStr">
        <is>
          <t>The other half of a bond so literal that a blow to one draws blood from the other.</t>
        </is>
      </c>
      <c r="J81" s="5" t="inlineStr">
        <is>
          <t>The whole of the pairing in Romances, and the film's title role opposite Majnu.</t>
        </is>
      </c>
      <c r="K81" s="19" t="inlineStr">
        <is>
          <t>Born to the rival Sharwari clan, loved by Qais from childhood, kept from school for her reputation, married to a prince who cannot displace Majnu, and dead at the end with him.</t>
        </is>
      </c>
      <c r="L81" s="5" t="inlineStr">
        <is>
          <t>Kaur's breakthrough, in one of the most frequently filmed Laila-Majnu adaptations.</t>
        </is>
      </c>
      <c r="M81" s="5" t="inlineStr">
        <is>
          <t>SOURCE-011</t>
        </is>
      </c>
    </row>
    <row r="82" ht="49" customHeight="1">
      <c r="A82" s="15" t="inlineStr">
        <is>
          <t>CAST-081</t>
        </is>
      </c>
      <c r="B82" s="18" t="inlineStr">
        <is>
          <t>FILM-013</t>
        </is>
      </c>
      <c r="C82" s="5" t="inlineStr">
        <is>
          <t>Laila Majnu</t>
        </is>
      </c>
      <c r="D82" s="17" t="n">
        <v>1976</v>
      </c>
      <c r="E82" s="5" t="inlineStr">
        <is>
          <t>Danny Denzongpa</t>
        </is>
      </c>
      <c r="F82" s="5" t="inlineStr">
        <is>
          <t>Prince Bahksh</t>
        </is>
      </c>
      <c r="G82" s="5" t="inlineStr">
        <is>
          <t>Romantic rival</t>
        </is>
      </c>
      <c r="H82" s="5" t="inlineStr">
        <is>
          <t>Major</t>
        </is>
      </c>
      <c r="I82" s="5" t="inlineStr">
        <is>
          <t>The husband who holds Laila legally while Majnu holds her entirely.</t>
        </is>
      </c>
      <c r="J82" s="5" t="inlineStr">
        <is>
          <t>The rival the marriage installs, and the one who understands the lovers only when it is too late.</t>
        </is>
      </c>
      <c r="K82" s="19" t="inlineStr">
        <is>
          <t>The prince Laila is married to, who cannot take Majnu's place and whose late understanding of their love arrives after it can change nothing.</t>
        </is>
      </c>
      <c r="L82" s="5" t="n"/>
      <c r="M82" s="5" t="inlineStr">
        <is>
          <t>SOURCE-011</t>
        </is>
      </c>
    </row>
    <row r="83" ht="49" customHeight="1">
      <c r="A83" s="15" t="inlineStr">
        <is>
          <t>CAST-082</t>
        </is>
      </c>
      <c r="B83" s="18" t="inlineStr">
        <is>
          <t>FILM-013</t>
        </is>
      </c>
      <c r="C83" s="5" t="inlineStr">
        <is>
          <t>Laila Majnu</t>
        </is>
      </c>
      <c r="D83" s="17" t="n">
        <v>1976</v>
      </c>
      <c r="E83" s="5" t="inlineStr">
        <is>
          <t>Ranjeet Bedi</t>
        </is>
      </c>
      <c r="F83" s="5" t="inlineStr">
        <is>
          <t>Tabrez</t>
        </is>
      </c>
      <c r="G83" s="5" t="inlineStr">
        <is>
          <t>Antagonist</t>
        </is>
      </c>
      <c r="H83" s="5" t="inlineStr">
        <is>
          <t>Major</t>
        </is>
      </c>
      <c r="I83" s="5" t="inlineStr">
        <is>
          <t>Laila's hot-tempered brother, killed by Qais in revenge for his father, which earns the exile.</t>
        </is>
      </c>
      <c r="J83" s="5" t="inlineStr">
        <is>
          <t>Converts a clan feud into blood guilt and makes the separation permanent.</t>
        </is>
      </c>
      <c r="K83" s="19" t="inlineStr">
        <is>
          <t>Laila's brother, already at odds with Qais before either knows who the other is, and the killing of whom turns Qais into the exiled Majnu.</t>
        </is>
      </c>
      <c r="L83" s="5" t="n"/>
      <c r="M83" s="5" t="inlineStr">
        <is>
          <t>SOURCE-011</t>
        </is>
      </c>
    </row>
    <row r="84" ht="49" customHeight="1">
      <c r="A84" s="15" t="inlineStr">
        <is>
          <t>CAST-083</t>
        </is>
      </c>
      <c r="B84" s="18" t="inlineStr">
        <is>
          <t>FILM-013</t>
        </is>
      </c>
      <c r="C84" s="5" t="inlineStr">
        <is>
          <t>Laila Majnu</t>
        </is>
      </c>
      <c r="D84" s="17" t="n">
        <v>1976</v>
      </c>
      <c r="E84" s="5" t="inlineStr">
        <is>
          <t>Iftekhar</t>
        </is>
      </c>
      <c r="F84" s="5" t="inlineStr">
        <is>
          <t>Emir Sharwari, Laila's father</t>
        </is>
      </c>
      <c r="G84" s="5" t="inlineStr">
        <is>
          <t>Family</t>
        </is>
      </c>
      <c r="H84" s="5" t="inlineStr">
        <is>
          <t>Major</t>
        </is>
      </c>
      <c r="I84" s="5" t="inlineStr">
        <is>
          <t>The head of the rival clan, who stops his daughter's schooling and her life with Qais.</t>
        </is>
      </c>
      <c r="J84" s="5" t="inlineStr">
        <is>
          <t>The first and most sustained external opposition, acting for a clan rather than himself.</t>
        </is>
      </c>
      <c r="K84" s="19" t="inlineStr">
        <is>
          <t>Laila's father, who fears for her reputation when the bleeding-hand story spreads, takes her out of the madarsa, and with the Amari head agrees to separate the children.</t>
        </is>
      </c>
      <c r="L84" s="5" t="n"/>
      <c r="M84" s="5" t="inlineStr">
        <is>
          <t>SOURCE-011</t>
        </is>
      </c>
    </row>
    <row r="85" ht="49" customHeight="1">
      <c r="A85" s="15" t="inlineStr">
        <is>
          <t>CAST-084</t>
        </is>
      </c>
      <c r="B85" s="18" t="inlineStr">
        <is>
          <t>FILM-013</t>
        </is>
      </c>
      <c r="C85" s="5" t="inlineStr">
        <is>
          <t>Laila Majnu</t>
        </is>
      </c>
      <c r="D85" s="17" t="n">
        <v>1976</v>
      </c>
      <c r="E85" s="5" t="inlineStr">
        <is>
          <t>Kamal Kapoor</t>
        </is>
      </c>
      <c r="F85" s="5" t="inlineStr">
        <is>
          <t>Amari</t>
        </is>
      </c>
      <c r="G85" s="5" t="inlineStr">
        <is>
          <t>Family</t>
        </is>
      </c>
      <c r="H85" s="5" t="inlineStr">
        <is>
          <t>Medium</t>
        </is>
      </c>
      <c r="I85" s="5" t="inlineStr">
        <is>
          <t>Qais's own clan head, party to the separation and the father whose death Qais avenges.</t>
        </is>
      </c>
      <c r="J85" s="5" t="inlineStr">
        <is>
          <t>The other half of the clan agreement that keeps the lovers apart.</t>
        </is>
      </c>
      <c r="K85" s="19" t="inlineStr">
        <is>
          <t>The head of the Amari clan, who conceives of the two families joined by blood rather than love, and in whose cause Qais kills Tabrez.</t>
        </is>
      </c>
      <c r="L85" s="5" t="n"/>
      <c r="M85" s="5" t="inlineStr">
        <is>
          <t>SOURCE-011</t>
        </is>
      </c>
    </row>
    <row r="86" ht="34" customHeight="1">
      <c r="A86" s="15" t="inlineStr">
        <is>
          <t>CAST-085</t>
        </is>
      </c>
      <c r="B86" s="18" t="inlineStr">
        <is>
          <t>FILM-013</t>
        </is>
      </c>
      <c r="C86" s="5" t="inlineStr">
        <is>
          <t>Laila Majnu</t>
        </is>
      </c>
      <c r="D86" s="17" t="n">
        <v>1976</v>
      </c>
      <c r="E86" s="5" t="inlineStr">
        <is>
          <t>Aruna Irani</t>
        </is>
      </c>
      <c r="F86" s="5" t="inlineStr">
        <is>
          <t>Zarina</t>
        </is>
      </c>
      <c r="G86" s="5" t="inlineStr">
        <is>
          <t>Supporting</t>
        </is>
      </c>
      <c r="H86" s="5" t="inlineStr">
        <is>
          <t>Medium</t>
        </is>
      </c>
      <c r="I86" s="5" t="inlineStr">
        <is>
          <t>A credited presence in the world the lovers meet secretly in.</t>
        </is>
      </c>
      <c r="J86" s="5" t="inlineStr">
        <is>
          <t>Attends the clandestine courtship rather than driving it.</t>
        </is>
      </c>
      <c r="K86" s="19" t="inlineStr">
        <is>
          <t>Zarina, credited among the women around Laila in the marketplace and town where the lovers meet again as adults.</t>
        </is>
      </c>
      <c r="L86" s="5" t="n"/>
      <c r="M86" s="5" t="inlineStr">
        <is>
          <t>SOURCE-011</t>
        </is>
      </c>
    </row>
    <row r="87" ht="34" customHeight="1">
      <c r="A87" s="15" t="inlineStr">
        <is>
          <t>CAST-086</t>
        </is>
      </c>
      <c r="B87" s="18" t="inlineStr">
        <is>
          <t>FILM-013</t>
        </is>
      </c>
      <c r="C87" s="5" t="inlineStr">
        <is>
          <t>Laila Majnu</t>
        </is>
      </c>
      <c r="D87" s="17" t="n">
        <v>1976</v>
      </c>
      <c r="E87" s="5" t="inlineStr">
        <is>
          <t>Achala Sachdeva</t>
        </is>
      </c>
      <c r="F87" s="5" t="inlineStr">
        <is>
          <t>Laila's mother</t>
        </is>
      </c>
      <c r="G87" s="5" t="inlineStr">
        <is>
          <t>Family</t>
        </is>
      </c>
      <c r="H87" s="5" t="inlineStr">
        <is>
          <t>Minor</t>
        </is>
      </c>
      <c r="I87" s="5" t="inlineStr">
        <is>
          <t>Laila's mother, in the household that confines her.</t>
        </is>
      </c>
      <c r="J87" s="5" t="inlineStr">
        <is>
          <t>Part of the family enclosure the romance is conducted against.</t>
        </is>
      </c>
      <c r="K87" s="19" t="inlineStr">
        <is>
          <t>Laila's mother, credited with her grandmother in the household that keeps her from Qais.</t>
        </is>
      </c>
      <c r="L87" s="5" t="n"/>
      <c r="M87" s="5" t="inlineStr">
        <is>
          <t>SOURCE-011</t>
        </is>
      </c>
    </row>
    <row r="88" ht="64" customHeight="1">
      <c r="A88" s="15" t="inlineStr">
        <is>
          <t>CAST-087</t>
        </is>
      </c>
      <c r="B88" s="18" t="inlineStr">
        <is>
          <t>FILM-014</t>
        </is>
      </c>
      <c r="C88" s="5" t="inlineStr">
        <is>
          <t>Amar Akbar Anthony</t>
        </is>
      </c>
      <c r="D88" s="17" t="n">
        <v>1977</v>
      </c>
      <c r="E88" s="5" t="inlineStr">
        <is>
          <t>Amitabh Bachchan</t>
        </is>
      </c>
      <c r="F88" s="5" t="inlineStr">
        <is>
          <t>Anthony Gonsalves</t>
        </is>
      </c>
      <c r="G88" s="5" t="inlineStr">
        <is>
          <t>Co-lead</t>
        </is>
      </c>
      <c r="H88" s="5" t="inlineStr">
        <is>
          <t>Major</t>
        </is>
      </c>
      <c r="I88" s="5" t="inlineStr">
        <is>
          <t>The middle brother, raised Christian, and the trio's comic and dramatic centre of gravity.</t>
        </is>
      </c>
      <c r="J88" s="5" t="inlineStr">
        <is>
          <t>Carries the film's most famous courtship, of Jenny, in parallel with Akbar's of Salma.</t>
        </is>
      </c>
      <c r="K88" s="19" t="inlineStr">
        <is>
          <t>Separated as a child while looking for food for the baby, raised by Father Gonsalves, and grown into a bootlegger whose courtship of Jenny and drunken mirror monologue became the film's signature.</t>
        </is>
      </c>
      <c r="L88" s="5" t="inlineStr">
        <is>
          <t>Won Bachchan the Filmfare Award for Best Actor and remains among his best-known performances.</t>
        </is>
      </c>
      <c r="M88" s="5" t="inlineStr">
        <is>
          <t>SOURCE-015</t>
        </is>
      </c>
    </row>
    <row r="89" ht="49" customHeight="1">
      <c r="A89" s="15" t="inlineStr">
        <is>
          <t>CAST-088</t>
        </is>
      </c>
      <c r="B89" s="18" t="inlineStr">
        <is>
          <t>FILM-014</t>
        </is>
      </c>
      <c r="C89" s="5" t="inlineStr">
        <is>
          <t>Amar Akbar Anthony</t>
        </is>
      </c>
      <c r="D89" s="17" t="n">
        <v>1977</v>
      </c>
      <c r="E89" s="5" t="inlineStr">
        <is>
          <t>Vinod Khanna</t>
        </is>
      </c>
      <c r="F89" s="5" t="inlineStr">
        <is>
          <t>Amar Khanna</t>
        </is>
      </c>
      <c r="G89" s="5" t="inlineStr">
        <is>
          <t>Co-lead</t>
        </is>
      </c>
      <c r="H89" s="5" t="inlineStr">
        <is>
          <t>Major</t>
        </is>
      </c>
      <c r="I89" s="5" t="inlineStr">
        <is>
          <t>The eldest brother, raised Hindu as a policeman's son, and the law in a family of outlaws.</t>
        </is>
      </c>
      <c r="J89" s="5" t="inlineStr">
        <is>
          <t>Holds the third romance, with Lakshmi, the most sober of the three.</t>
        </is>
      </c>
      <c r="K89" s="19" t="inlineStr">
        <is>
          <t>The eldest son, knocked down by Robert's goons while chasing his father and adopted by Police Superintendent Khanna, who grows up to police the city his brothers work.</t>
        </is>
      </c>
      <c r="L89" s="5" t="n"/>
      <c r="M89" s="5" t="inlineStr">
        <is>
          <t>SOURCE-015</t>
        </is>
      </c>
    </row>
    <row r="90" ht="49" customHeight="1">
      <c r="A90" s="15" t="inlineStr">
        <is>
          <t>CAST-089</t>
        </is>
      </c>
      <c r="B90" s="18" t="inlineStr">
        <is>
          <t>FILM-014</t>
        </is>
      </c>
      <c r="C90" s="5" t="inlineStr">
        <is>
          <t>Amar Akbar Anthony</t>
        </is>
      </c>
      <c r="D90" s="17" t="n">
        <v>1977</v>
      </c>
      <c r="E90" s="5" t="inlineStr">
        <is>
          <t>Neetu Singh</t>
        </is>
      </c>
      <c r="F90" s="5" t="inlineStr">
        <is>
          <t>Dr. Salma Ali</t>
        </is>
      </c>
      <c r="G90" s="5" t="inlineStr">
        <is>
          <t>Co-lead</t>
        </is>
      </c>
      <c r="H90" s="5" t="inlineStr">
        <is>
          <t>Major</t>
        </is>
      </c>
      <c r="I90" s="5" t="inlineStr">
        <is>
          <t>Akbar's love, courted over her father's objections.</t>
        </is>
      </c>
      <c r="J90" s="5" t="inlineStr">
        <is>
          <t>The whole of the pairing in Romances, and the thread that gives Akbar his qawwalis.</t>
        </is>
      </c>
      <c r="K90" s="19" t="inlineStr">
        <is>
          <t>A doctor courted by the qawwal Akbar against the wishes of her father Taiyyab Ali, and professionally placed to matter in the plot's medical climax.</t>
        </is>
      </c>
      <c r="L90" s="5" t="n"/>
      <c r="M90" s="5" t="inlineStr">
        <is>
          <t>SOURCE-015</t>
        </is>
      </c>
    </row>
    <row r="91" ht="49" customHeight="1">
      <c r="A91" s="15" t="inlineStr">
        <is>
          <t>CAST-090</t>
        </is>
      </c>
      <c r="B91" s="18" t="inlineStr">
        <is>
          <t>FILM-014</t>
        </is>
      </c>
      <c r="C91" s="5" t="inlineStr">
        <is>
          <t>Amar Akbar Anthony</t>
        </is>
      </c>
      <c r="D91" s="17" t="n">
        <v>1977</v>
      </c>
      <c r="E91" s="5" t="inlineStr">
        <is>
          <t>Nirupa Roy</t>
        </is>
      </c>
      <c r="F91" s="5" t="inlineStr">
        <is>
          <t>Bharati</t>
        </is>
      </c>
      <c r="G91" s="5" t="inlineStr">
        <is>
          <t>Family</t>
        </is>
      </c>
      <c r="H91" s="5" t="inlineStr">
        <is>
          <t>Major</t>
        </is>
      </c>
      <c r="I91" s="5" t="inlineStr">
        <is>
          <t>The mother of all three brothers, blind and unrecognised by any of them.</t>
        </is>
      </c>
      <c r="J91" s="5" t="inlineStr">
        <is>
          <t>Outside the romances; the object of the plot's reunion rather than of courtship.</t>
        </is>
      </c>
      <c r="K91" s="19" t="inlineStr">
        <is>
          <t>A tubercular wife who leaves a suicide note in shame, survives blinded and separated, and is saved by a simultaneous transfusion from three sons who do not know her.</t>
        </is>
      </c>
      <c r="L91" s="5" t="n"/>
      <c r="M91" s="5" t="inlineStr">
        <is>
          <t>SOURCE-015</t>
        </is>
      </c>
    </row>
    <row r="92" ht="49" customHeight="1">
      <c r="A92" s="15" t="inlineStr">
        <is>
          <t>CAST-091</t>
        </is>
      </c>
      <c r="B92" s="18" t="inlineStr">
        <is>
          <t>FILM-014</t>
        </is>
      </c>
      <c r="C92" s="5" t="inlineStr">
        <is>
          <t>Amar Akbar Anthony</t>
        </is>
      </c>
      <c r="D92" s="17" t="n">
        <v>1977</v>
      </c>
      <c r="E92" s="5" t="inlineStr">
        <is>
          <t>Pran</t>
        </is>
      </c>
      <c r="F92" s="5" t="inlineStr">
        <is>
          <t>Kishanlal</t>
        </is>
      </c>
      <c r="G92" s="5" t="inlineStr">
        <is>
          <t>Family</t>
        </is>
      </c>
      <c r="H92" s="5" t="inlineStr">
        <is>
          <t>Major</t>
        </is>
      </c>
      <c r="I92" s="5" t="inlineStr">
        <is>
          <t>The father whose flight scatters the three boys.</t>
        </is>
      </c>
      <c r="J92" s="5" t="inlineStr">
        <is>
          <t>No part in the courtships.</t>
        </is>
      </c>
      <c r="K92" s="19" t="inlineStr">
        <is>
          <t>A chauffeur jailed for his employer's hit-and-run, who turns on Robert, flees with his gold, leaves his sons at a Gandhi statue to mislead the pursuit, and is believed dead.</t>
        </is>
      </c>
      <c r="L92" s="5" t="n"/>
      <c r="M92" s="5" t="inlineStr">
        <is>
          <t>SOURCE-015</t>
        </is>
      </c>
    </row>
    <row r="93" ht="49" customHeight="1">
      <c r="A93" s="15" t="inlineStr">
        <is>
          <t>CAST-092</t>
        </is>
      </c>
      <c r="B93" s="18" t="inlineStr">
        <is>
          <t>FILM-014</t>
        </is>
      </c>
      <c r="C93" s="5" t="inlineStr">
        <is>
          <t>Amar Akbar Anthony</t>
        </is>
      </c>
      <c r="D93" s="17" t="n">
        <v>1977</v>
      </c>
      <c r="E93" s="5" t="inlineStr">
        <is>
          <t>Parveen Babi</t>
        </is>
      </c>
      <c r="F93" s="5" t="inlineStr">
        <is>
          <t>Jenny</t>
        </is>
      </c>
      <c r="G93" s="5" t="inlineStr">
        <is>
          <t>Supporting</t>
        </is>
      </c>
      <c r="H93" s="5" t="inlineStr">
        <is>
          <t>Major</t>
        </is>
      </c>
      <c r="I93" s="5" t="inlineStr">
        <is>
          <t>Anthony's love, and so part of the parallel romance beside Akbar's.</t>
        </is>
      </c>
      <c r="J93" s="5" t="inlineStr">
        <is>
          <t>One of the film's three courtships, run alongside the Akbar-Salma pairing.</t>
        </is>
      </c>
      <c r="K93" s="19" t="inlineStr">
        <is>
          <t>Robert's daughter, guarded by the wrestler Zebisko, and courted by Anthony in the film's most quoted comic scenes.</t>
        </is>
      </c>
      <c r="L93" s="5" t="n"/>
      <c r="M93" s="5" t="inlineStr">
        <is>
          <t>SOURCE-015</t>
        </is>
      </c>
    </row>
    <row r="94" ht="34" customHeight="1">
      <c r="A94" s="15" t="inlineStr">
        <is>
          <t>CAST-093</t>
        </is>
      </c>
      <c r="B94" s="18" t="inlineStr">
        <is>
          <t>FILM-014</t>
        </is>
      </c>
      <c r="C94" s="5" t="inlineStr">
        <is>
          <t>Amar Akbar Anthony</t>
        </is>
      </c>
      <c r="D94" s="17" t="n">
        <v>1977</v>
      </c>
      <c r="E94" s="5" t="inlineStr">
        <is>
          <t>Shabana Azmi</t>
        </is>
      </c>
      <c r="F94" s="5" t="inlineStr">
        <is>
          <t>Lakshmi</t>
        </is>
      </c>
      <c r="G94" s="5" t="inlineStr">
        <is>
          <t>Supporting</t>
        </is>
      </c>
      <c r="H94" s="5" t="inlineStr">
        <is>
          <t>Major</t>
        </is>
      </c>
      <c r="I94" s="5" t="inlineStr">
        <is>
          <t>Amar's love, in the third of the three parallel romances.</t>
        </is>
      </c>
      <c r="J94" s="5" t="inlineStr">
        <is>
          <t>Completes the symmetry of one romance per brother.</t>
        </is>
      </c>
      <c r="K94" s="19" t="inlineStr">
        <is>
          <t>The woman in Amar's thread, living with her grandmother, whose story runs alongside the two more comic courtships.</t>
        </is>
      </c>
      <c r="L94" s="5" t="n"/>
      <c r="M94" s="5" t="inlineStr">
        <is>
          <t>SOURCE-015</t>
        </is>
      </c>
    </row>
    <row r="95" ht="49" customHeight="1">
      <c r="A95" s="15" t="inlineStr">
        <is>
          <t>CAST-094</t>
        </is>
      </c>
      <c r="B95" s="18" t="inlineStr">
        <is>
          <t>FILM-014</t>
        </is>
      </c>
      <c r="C95" s="5" t="inlineStr">
        <is>
          <t>Amar Akbar Anthony</t>
        </is>
      </c>
      <c r="D95" s="17" t="n">
        <v>1977</v>
      </c>
      <c r="E95" s="5" t="inlineStr">
        <is>
          <t>Jeevan</t>
        </is>
      </c>
      <c r="F95" s="5" t="inlineStr">
        <is>
          <t>Robert and Albert</t>
        </is>
      </c>
      <c r="G95" s="5" t="inlineStr">
        <is>
          <t>Antagonist</t>
        </is>
      </c>
      <c r="H95" s="5" t="inlineStr">
        <is>
          <t>Major</t>
        </is>
      </c>
      <c r="I95" s="5" t="inlineStr">
        <is>
          <t>The crime lord whose hit-and-run and betrayal scatter the family, and whose daughter Anthony loves.</t>
        </is>
      </c>
      <c r="J95" s="5" t="inlineStr">
        <is>
          <t>Stands behind the Anthony-Jenny romance as its external obstacle.</t>
        </is>
      </c>
      <c r="K95" s="19" t="inlineStr">
        <is>
          <t>Robert, the smuggler who lets his chauffeur take the blame and disowns him, played with a twin brother Albert whose voice is dubbed by Tom Alter.</t>
        </is>
      </c>
      <c r="L95" s="5" t="n"/>
      <c r="M95" s="5" t="inlineStr">
        <is>
          <t>SOURCE-015</t>
        </is>
      </c>
    </row>
    <row r="96" ht="49" customHeight="1">
      <c r="A96" s="15" t="inlineStr">
        <is>
          <t>CAST-095</t>
        </is>
      </c>
      <c r="B96" s="18" t="inlineStr">
        <is>
          <t>FILM-014</t>
        </is>
      </c>
      <c r="C96" s="5" t="inlineStr">
        <is>
          <t>Amar Akbar Anthony</t>
        </is>
      </c>
      <c r="D96" s="17" t="n">
        <v>1977</v>
      </c>
      <c r="E96" s="5" t="inlineStr">
        <is>
          <t>Mukri</t>
        </is>
      </c>
      <c r="F96" s="5" t="inlineStr">
        <is>
          <t>Taiyyab Ali</t>
        </is>
      </c>
      <c r="G96" s="5" t="inlineStr">
        <is>
          <t>Family</t>
        </is>
      </c>
      <c r="H96" s="5" t="inlineStr">
        <is>
          <t>Medium</t>
        </is>
      </c>
      <c r="I96" s="5" t="inlineStr">
        <is>
          <t>Salma's father, and the opposition Akbar sings against.</t>
        </is>
      </c>
      <c r="J96" s="5" t="inlineStr">
        <is>
          <t>The whole of the external opposition to Kapoor's pairing, and the target of the song that names him.</t>
        </is>
      </c>
      <c r="K96" s="19" t="inlineStr">
        <is>
          <t>Salma's father, who refuses the qawwal's suit and is answered with 'Taiyyab Ali Pyar Ka Dushman', the song that made the character proverbial.</t>
        </is>
      </c>
      <c r="L96" s="5" t="n"/>
      <c r="M96" s="5" t="inlineStr">
        <is>
          <t>SOURCE-015</t>
        </is>
      </c>
    </row>
    <row r="97" ht="64" customHeight="1">
      <c r="A97" s="15" t="inlineStr">
        <is>
          <t>CAST-096</t>
        </is>
      </c>
      <c r="B97" s="18" t="inlineStr">
        <is>
          <t>FILM-015</t>
        </is>
      </c>
      <c r="C97" s="5" t="inlineStr">
        <is>
          <t>Hum Kisise Kum Naheen</t>
        </is>
      </c>
      <c r="D97" s="17" t="n">
        <v>1977</v>
      </c>
      <c r="E97" s="5" t="inlineStr">
        <is>
          <t>Kaajal Kiran</t>
        </is>
      </c>
      <c r="F97" s="5" t="inlineStr">
        <is>
          <t>Kajal Kisharina</t>
        </is>
      </c>
      <c r="G97" s="5" t="inlineStr">
        <is>
          <t>Co-lead</t>
        </is>
      </c>
      <c r="H97" s="5" t="inlineStr">
        <is>
          <t>Major</t>
        </is>
      </c>
      <c r="I97" s="5" t="inlineStr">
        <is>
          <t>The woman Rajesh sets out to trap by pretending to love her, on a false account of her father.</t>
        </is>
      </c>
      <c r="J97" s="5" t="inlineStr">
        <is>
          <t>The whole of the pairing in Romances, and the point at which the deception collides with her existing attachment.</t>
        </is>
      </c>
      <c r="K97" s="19" t="inlineStr">
        <is>
          <t>Kishorilal's motherless daughter, promised years earlier to Sanjay and courted under false pretences by Rajesh; the article both pairs her with Sanjay at the end and pairs Rajesh off, without reconciling the two.</t>
        </is>
      </c>
      <c r="L97" s="5" t="n"/>
      <c r="M97" s="5" t="inlineStr">
        <is>
          <t>SOURCE-016</t>
        </is>
      </c>
    </row>
    <row r="98" ht="49" customHeight="1">
      <c r="A98" s="15" t="inlineStr">
        <is>
          <t>CAST-097</t>
        </is>
      </c>
      <c r="B98" s="18" t="inlineStr">
        <is>
          <t>FILM-015</t>
        </is>
      </c>
      <c r="C98" s="5" t="inlineStr">
        <is>
          <t>Hum Kisise Kum Naheen</t>
        </is>
      </c>
      <c r="D98" s="17" t="n">
        <v>1977</v>
      </c>
      <c r="E98" s="5" t="inlineStr">
        <is>
          <t>Tariq Khan</t>
        </is>
      </c>
      <c r="F98" s="5" t="inlineStr">
        <is>
          <t>Sanjay Kumar</t>
        </is>
      </c>
      <c r="G98" s="5" t="inlineStr">
        <is>
          <t>Romantic rival</t>
        </is>
      </c>
      <c r="H98" s="5" t="inlineStr">
        <is>
          <t>Major</t>
        </is>
      </c>
      <c r="I98" s="5" t="inlineStr">
        <is>
          <t>The man with the older claim on Kajal, and the unwitting carrier of the diamonds.</t>
        </is>
      </c>
      <c r="J98" s="5" t="inlineStr">
        <is>
          <t>The existing attachment Rajesh's manufactured courtship runs into.</t>
        </is>
      </c>
      <c r="K98" s="19" t="inlineStr">
        <is>
          <t>The son of the man who sheltered Kishorilal, promised Kajal before her father's fortunes changed, and the cyclist in whose toolbox the diamond belt is hidden.</t>
        </is>
      </c>
      <c r="L98" s="5" t="n"/>
      <c r="M98" s="5" t="inlineStr">
        <is>
          <t>SOURCE-016</t>
        </is>
      </c>
    </row>
    <row r="99" ht="49" customHeight="1">
      <c r="A99" s="15" t="inlineStr">
        <is>
          <t>CAST-098</t>
        </is>
      </c>
      <c r="B99" s="18" t="inlineStr">
        <is>
          <t>FILM-015</t>
        </is>
      </c>
      <c r="C99" s="5" t="inlineStr">
        <is>
          <t>Hum Kisise Kum Naheen</t>
        </is>
      </c>
      <c r="D99" s="17" t="n">
        <v>1977</v>
      </c>
      <c r="E99" s="5" t="inlineStr">
        <is>
          <t>Amjad Khan</t>
        </is>
      </c>
      <c r="F99" s="5" t="inlineStr">
        <is>
          <t>Saudagar Singh</t>
        </is>
      </c>
      <c r="G99" s="5" t="inlineStr">
        <is>
          <t>Antagonist</t>
        </is>
      </c>
      <c r="H99" s="5" t="inlineStr">
        <is>
          <t>Major</t>
        </is>
      </c>
      <c r="I99" s="5" t="inlineStr">
        <is>
          <t>The chief pursuer of the diamonds that were meant for Rajesh.</t>
        </is>
      </c>
      <c r="J99" s="5" t="inlineStr">
        <is>
          <t>The external danger that keeps the deception plot moving over the courtship.</t>
        </is>
      </c>
      <c r="K99" s="19" t="inlineStr">
        <is>
          <t>The leader of the goons hunting the diamond belt from the airport onward, the film's principal threat.</t>
        </is>
      </c>
      <c r="L99" s="5" t="n"/>
      <c r="M99" s="5" t="inlineStr">
        <is>
          <t>SOURCE-016</t>
        </is>
      </c>
    </row>
    <row r="100" ht="49" customHeight="1">
      <c r="A100" s="15" t="inlineStr">
        <is>
          <t>CAST-099</t>
        </is>
      </c>
      <c r="B100" s="18" t="inlineStr">
        <is>
          <t>FILM-015</t>
        </is>
      </c>
      <c r="C100" s="5" t="inlineStr">
        <is>
          <t>Hum Kisise Kum Naheen</t>
        </is>
      </c>
      <c r="D100" s="17" t="n">
        <v>1977</v>
      </c>
      <c r="E100" s="5" t="inlineStr">
        <is>
          <t>Kamal Kapoor</t>
        </is>
      </c>
      <c r="F100" s="5" t="inlineStr">
        <is>
          <t>Kishorilal</t>
        </is>
      </c>
      <c r="G100" s="5" t="inlineStr">
        <is>
          <t>Authority figure</t>
        </is>
      </c>
      <c r="H100" s="5" t="inlineStr">
        <is>
          <t>Major</t>
        </is>
      </c>
      <c r="I100" s="5" t="inlineStr">
        <is>
          <t>The man who takes the dying father's belt, and whose daughter Rajesh is told to target.</t>
        </is>
      </c>
      <c r="J100" s="5" t="inlineStr">
        <is>
          <t>Both the cause of the false courtship and the broken promise that strands Sanjay and Kajal.</t>
        </is>
      </c>
      <c r="K100" s="19" t="inlineStr">
        <is>
          <t>A businessman who receives the diamond belt from a dying stranger, hides it in a cycle shed under pursuit, and whose insult to his old benefactors sets the romantic tangle going.</t>
        </is>
      </c>
      <c r="L100" s="5" t="n"/>
      <c r="M100" s="5" t="inlineStr">
        <is>
          <t>SOURCE-016</t>
        </is>
      </c>
    </row>
    <row r="101" ht="34" customHeight="1">
      <c r="A101" s="15" t="inlineStr">
        <is>
          <t>CAST-100</t>
        </is>
      </c>
      <c r="B101" s="18" t="inlineStr">
        <is>
          <t>FILM-015</t>
        </is>
      </c>
      <c r="C101" s="5" t="inlineStr">
        <is>
          <t>Hum Kisise Kum Naheen</t>
        </is>
      </c>
      <c r="D101" s="17" t="n">
        <v>1977</v>
      </c>
      <c r="E101" s="5" t="inlineStr">
        <is>
          <t>Om Shivpuri</t>
        </is>
      </c>
      <c r="F101" s="5" t="inlineStr">
        <is>
          <t>Ram Kumar</t>
        </is>
      </c>
      <c r="G101" s="5" t="inlineStr">
        <is>
          <t>Supporting</t>
        </is>
      </c>
      <c r="H101" s="5" t="inlineStr">
        <is>
          <t>Medium</t>
        </is>
      </c>
      <c r="I101" s="5" t="inlineStr">
        <is>
          <t>Credited in the older generation whose broken promise drives the plot.</t>
        </is>
      </c>
      <c r="J101" s="5" t="inlineStr">
        <is>
          <t>Part of the family arrangement that the courtship disturbs.</t>
        </is>
      </c>
      <c r="K101" s="19" t="inlineStr">
        <is>
          <t>Ram Kumar, credited among the fathers whose dealings fix the younger characters' claims on each other.</t>
        </is>
      </c>
      <c r="L101" s="5" t="n"/>
      <c r="M101" s="5" t="inlineStr">
        <is>
          <t>SOURCE-016</t>
        </is>
      </c>
    </row>
    <row r="102" ht="34" customHeight="1">
      <c r="A102" s="15" t="inlineStr">
        <is>
          <t>CAST-101</t>
        </is>
      </c>
      <c r="B102" s="18" t="inlineStr">
        <is>
          <t>FILM-015</t>
        </is>
      </c>
      <c r="C102" s="5" t="inlineStr">
        <is>
          <t>Hum Kisise Kum Naheen</t>
        </is>
      </c>
      <c r="D102" s="17" t="n">
        <v>1977</v>
      </c>
      <c r="E102" s="5" t="inlineStr">
        <is>
          <t>Zeenat Aman</t>
        </is>
      </c>
      <c r="F102" s="5" t="inlineStr">
        <is>
          <t>Sunita</t>
        </is>
      </c>
      <c r="G102" s="5" t="inlineStr">
        <is>
          <t>Cameo</t>
        </is>
      </c>
      <c r="H102" s="5" t="inlineStr">
        <is>
          <t>Medium</t>
        </is>
      </c>
      <c r="I102" s="5" t="inlineStr">
        <is>
          <t>A special appearance in the film's star register.</t>
        </is>
      </c>
      <c r="J102" s="5" t="inlineStr">
        <is>
          <t>Credited with a father of her own but outside the central courtship.</t>
        </is>
      </c>
      <c r="K102" s="19" t="inlineStr">
        <is>
          <t>A special appearance as Sunita, credited with Ajit Khan as her father.</t>
        </is>
      </c>
      <c r="L102" s="5" t="n"/>
      <c r="M102" s="5" t="inlineStr">
        <is>
          <t>SOURCE-016</t>
        </is>
      </c>
    </row>
    <row r="103" ht="49" customHeight="1">
      <c r="A103" s="15" t="inlineStr">
        <is>
          <t>CAST-102</t>
        </is>
      </c>
      <c r="B103" s="18" t="inlineStr">
        <is>
          <t>FILM-015</t>
        </is>
      </c>
      <c r="C103" s="5" t="inlineStr">
        <is>
          <t>Hum Kisise Kum Naheen</t>
        </is>
      </c>
      <c r="D103" s="17" t="n">
        <v>1977</v>
      </c>
      <c r="E103" s="5" t="inlineStr">
        <is>
          <t>Murad</t>
        </is>
      </c>
      <c r="F103" s="5" t="inlineStr">
        <is>
          <t>Rajesh's father</t>
        </is>
      </c>
      <c r="G103" s="5" t="inlineStr">
        <is>
          <t>Family</t>
        </is>
      </c>
      <c r="H103" s="5" t="inlineStr">
        <is>
          <t>Minor</t>
        </is>
      </c>
      <c r="I103" s="5" t="inlineStr">
        <is>
          <t>The father whose death in the air begins the whole plot.</t>
        </is>
      </c>
      <c r="J103" s="5" t="inlineStr">
        <is>
          <t>The inheritance that makes Rajesh a target, and so the courtship possible.</t>
        </is>
      </c>
      <c r="K103" s="19" t="inlineStr">
        <is>
          <t>A wealthy man who sells his African estate for diamonds and dies of a heart attack in the aircraft washroom, asking a fellow passenger to carry the belt to his son.</t>
        </is>
      </c>
      <c r="L103" s="5" t="n"/>
      <c r="M103" s="5" t="inlineStr">
        <is>
          <t>SOURCE-016</t>
        </is>
      </c>
    </row>
    <row r="104" ht="64" customHeight="1">
      <c r="A104" s="15" t="inlineStr">
        <is>
          <t>CAST-103</t>
        </is>
      </c>
      <c r="B104" s="18" t="inlineStr">
        <is>
          <t>FILM-016</t>
        </is>
      </c>
      <c r="C104" s="5" t="inlineStr">
        <is>
          <t>Doosra Aadmi</t>
        </is>
      </c>
      <c r="D104" s="17" t="n">
        <v>1977</v>
      </c>
      <c r="E104" s="5" t="inlineStr">
        <is>
          <t>Raakhee Gulzar</t>
        </is>
      </c>
      <c r="F104" s="5" t="inlineStr">
        <is>
          <t>Nisha</t>
        </is>
      </c>
      <c r="G104" s="5" t="inlineStr">
        <is>
          <t>Co-lead</t>
        </is>
      </c>
      <c r="H104" s="5" t="inlineStr">
        <is>
          <t>Major</t>
        </is>
      </c>
      <c r="I104" s="5" t="inlineStr">
        <is>
          <t>The advertising woman Karan hires, and who is drawn to him because he resembles the man she lost.</t>
        </is>
      </c>
      <c r="J104" s="5" t="inlineStr">
        <is>
          <t>The first pairing in Romances, in which Kapoor's character is a substitute rather than himself.</t>
        </is>
      </c>
      <c r="K104" s="19" t="inlineStr">
        <is>
          <t>An accomplished advertising professional turned recluse after her boyfriend's death, who takes a job with Karan's agency and finds in her married employer the likeness of the dead man.</t>
        </is>
      </c>
      <c r="L104" s="5" t="inlineStr">
        <is>
          <t>Won Raakhee the Filmfare Award for Best Supporting Actress.</t>
        </is>
      </c>
      <c r="M104" s="5" t="inlineStr">
        <is>
          <t>SOURCE-017</t>
        </is>
      </c>
    </row>
    <row r="105" ht="49" customHeight="1">
      <c r="A105" s="15" t="inlineStr">
        <is>
          <t>CAST-104</t>
        </is>
      </c>
      <c r="B105" s="18" t="inlineStr">
        <is>
          <t>FILM-016</t>
        </is>
      </c>
      <c r="C105" s="5" t="inlineStr">
        <is>
          <t>Doosra Aadmi</t>
        </is>
      </c>
      <c r="D105" s="17" t="n">
        <v>1977</v>
      </c>
      <c r="E105" s="5" t="inlineStr">
        <is>
          <t>Neetu Singh</t>
        </is>
      </c>
      <c r="F105" s="5" t="inlineStr">
        <is>
          <t>Timsy Saxena</t>
        </is>
      </c>
      <c r="G105" s="5" t="inlineStr">
        <is>
          <t>Co-lead</t>
        </is>
      </c>
      <c r="H105" s="5" t="inlineStr">
        <is>
          <t>Major</t>
        </is>
      </c>
      <c r="I105" s="5" t="inlineStr">
        <is>
          <t>Karan's recent wife, watching the attachment to Nisha grow.</t>
        </is>
      </c>
      <c r="J105" s="5" t="inlineStr">
        <is>
          <t>The second pairing in Romances, a marriage under strain by the other woman's claim.</t>
        </is>
      </c>
      <c r="K105" s="19" t="inlineStr">
        <is>
          <t>Karan's young wife, married shortly before the film opens, whose position is the measure of what the attachment to Nisha costs.</t>
        </is>
      </c>
      <c r="L105" s="5" t="n"/>
      <c r="M105" s="5" t="inlineStr">
        <is>
          <t>SOURCE-017</t>
        </is>
      </c>
    </row>
    <row r="106" ht="49" customHeight="1">
      <c r="A106" s="15" t="inlineStr">
        <is>
          <t>CAST-105</t>
        </is>
      </c>
      <c r="B106" s="18" t="inlineStr">
        <is>
          <t>FILM-016</t>
        </is>
      </c>
      <c r="C106" s="5" t="inlineStr">
        <is>
          <t>Doosra Aadmi</t>
        </is>
      </c>
      <c r="D106" s="17" t="n">
        <v>1977</v>
      </c>
      <c r="E106" s="5" t="inlineStr">
        <is>
          <t>Shashi Kapoor</t>
        </is>
      </c>
      <c r="F106" s="5" t="inlineStr">
        <is>
          <t>Shashi Sehgal</t>
        </is>
      </c>
      <c r="G106" s="5" t="inlineStr">
        <is>
          <t>Supporting</t>
        </is>
      </c>
      <c r="H106" s="5" t="inlineStr">
        <is>
          <t>Major</t>
        </is>
      </c>
      <c r="I106" s="5" t="inlineStr">
        <is>
          <t>The dead lover Karan resembles, and so the reason Nisha turns to him at all.</t>
        </is>
      </c>
      <c r="J106" s="5" t="inlineStr">
        <is>
          <t>The absent third party on whom the first pairing rests; the synopsis also gives the surname as Saigal.</t>
        </is>
      </c>
      <c r="K106" s="19" t="inlineStr">
        <is>
          <t>Nisha's boyfriend, killed before the main action, whose likeness in Karan is the whole basis of the relationship that follows.</t>
        </is>
      </c>
      <c r="L106" s="5" t="n"/>
      <c r="M106" s="5" t="inlineStr">
        <is>
          <t>SOURCE-017</t>
        </is>
      </c>
    </row>
    <row r="107" ht="34" customHeight="1">
      <c r="A107" s="15" t="inlineStr">
        <is>
          <t>CAST-106</t>
        </is>
      </c>
      <c r="B107" s="18" t="inlineStr">
        <is>
          <t>FILM-016</t>
        </is>
      </c>
      <c r="C107" s="5" t="inlineStr">
        <is>
          <t>Doosra Aadmi</t>
        </is>
      </c>
      <c r="D107" s="17" t="n">
        <v>1977</v>
      </c>
      <c r="E107" s="5" t="inlineStr">
        <is>
          <t>Deven Verma</t>
        </is>
      </c>
      <c r="F107" s="5" t="inlineStr">
        <is>
          <t>Timsy's uncle</t>
        </is>
      </c>
      <c r="G107" s="5" t="inlineStr">
        <is>
          <t>Family</t>
        </is>
      </c>
      <c r="H107" s="5" t="inlineStr">
        <is>
          <t>Medium</t>
        </is>
      </c>
      <c r="I107" s="5" t="inlineStr">
        <is>
          <t>Timsy's uncle, part of the family watching the new marriage.</t>
        </is>
      </c>
      <c r="J107" s="5" t="inlineStr">
        <is>
          <t>Family pressure on the marriage rather than on the affair.</t>
        </is>
      </c>
      <c r="K107" s="19" t="inlineStr">
        <is>
          <t>Timsy's uncle, credited among the relatives around the young couple's household.</t>
        </is>
      </c>
      <c r="L107" s="5" t="n"/>
      <c r="M107" s="5" t="inlineStr">
        <is>
          <t>SOURCE-017</t>
        </is>
      </c>
    </row>
    <row r="108" ht="49" customHeight="1">
      <c r="A108" s="15" t="inlineStr">
        <is>
          <t>CAST-107</t>
        </is>
      </c>
      <c r="B108" s="18" t="inlineStr">
        <is>
          <t>FILM-016</t>
        </is>
      </c>
      <c r="C108" s="5" t="inlineStr">
        <is>
          <t>Doosra Aadmi</t>
        </is>
      </c>
      <c r="D108" s="17" t="n">
        <v>1977</v>
      </c>
      <c r="E108" s="5" t="inlineStr">
        <is>
          <t>Parikshat Sahni</t>
        </is>
      </c>
      <c r="F108" s="5" t="inlineStr">
        <is>
          <t>Bhisham</t>
        </is>
      </c>
      <c r="G108" s="5" t="inlineStr">
        <is>
          <t>Supporting</t>
        </is>
      </c>
      <c r="H108" s="5" t="inlineStr">
        <is>
          <t>Medium</t>
        </is>
      </c>
      <c r="I108" s="5" t="inlineStr">
        <is>
          <t>A credited supporting figure in the professional world the film is set in.</t>
        </is>
      </c>
      <c r="J108" s="5" t="inlineStr">
        <is>
          <t>Peripheral to both pairings.</t>
        </is>
      </c>
      <c r="K108" s="19" t="inlineStr">
        <is>
          <t>Bhisham, credited in the advertising milieu where Karan employs Nisha.</t>
        </is>
      </c>
      <c r="L108" s="5" t="n"/>
      <c r="M108" s="5" t="inlineStr">
        <is>
          <t>SOURCE-017</t>
        </is>
      </c>
    </row>
    <row r="109" ht="34" customHeight="1">
      <c r="A109" s="15" t="inlineStr">
        <is>
          <t>CAST-108</t>
        </is>
      </c>
      <c r="B109" s="18" t="inlineStr">
        <is>
          <t>FILM-016</t>
        </is>
      </c>
      <c r="C109" s="5" t="inlineStr">
        <is>
          <t>Doosra Aadmi</t>
        </is>
      </c>
      <c r="D109" s="17" t="n">
        <v>1977</v>
      </c>
      <c r="E109" s="5" t="inlineStr">
        <is>
          <t>Satyen Kappu</t>
        </is>
      </c>
      <c r="F109" s="5" t="inlineStr">
        <is>
          <t>Ram Prasad Saxena</t>
        </is>
      </c>
      <c r="G109" s="5" t="inlineStr">
        <is>
          <t>Family</t>
        </is>
      </c>
      <c r="H109" s="5" t="inlineStr">
        <is>
          <t>Medium</t>
        </is>
      </c>
      <c r="I109" s="5" t="inlineStr">
        <is>
          <t>Karan's father.</t>
        </is>
      </c>
      <c r="J109" s="5" t="inlineStr">
        <is>
          <t>The family standing that the marriage is held to.</t>
        </is>
      </c>
      <c r="K109" s="19" t="inlineStr">
        <is>
          <t>Karan's father, credited with Gita Siddharth as Mrs. Saxena in the household the marriage belongs to.</t>
        </is>
      </c>
      <c r="L109" s="5" t="n"/>
      <c r="M109" s="5" t="inlineStr">
        <is>
          <t>SOURCE-017</t>
        </is>
      </c>
    </row>
    <row r="110" ht="34" customHeight="1">
      <c r="A110" s="15" t="inlineStr">
        <is>
          <t>CAST-109</t>
        </is>
      </c>
      <c r="B110" s="18" t="inlineStr">
        <is>
          <t>FILM-016</t>
        </is>
      </c>
      <c r="C110" s="5" t="inlineStr">
        <is>
          <t>Doosra Aadmi</t>
        </is>
      </c>
      <c r="D110" s="17" t="n">
        <v>1977</v>
      </c>
      <c r="E110" s="5" t="inlineStr">
        <is>
          <t>Gita Siddharth</t>
        </is>
      </c>
      <c r="F110" s="5" t="inlineStr">
        <is>
          <t>Mrs. Saxena</t>
        </is>
      </c>
      <c r="G110" s="5" t="inlineStr">
        <is>
          <t>Family</t>
        </is>
      </c>
      <c r="H110" s="5" t="inlineStr">
        <is>
          <t>Minor</t>
        </is>
      </c>
      <c r="I110" s="5" t="inlineStr">
        <is>
          <t>Karan's mother.</t>
        </is>
      </c>
      <c r="J110" s="5" t="inlineStr">
        <is>
          <t>Family background to the strained marriage.</t>
        </is>
      </c>
      <c r="K110" s="19" t="inlineStr">
        <is>
          <t>Mrs. Saxena, Karan's mother, credited in the family the new marriage is set within.</t>
        </is>
      </c>
      <c r="L110" s="5" t="n"/>
      <c r="M110" s="5" t="inlineStr">
        <is>
          <t>SOURCE-017</t>
        </is>
      </c>
    </row>
    <row r="111" ht="49" customHeight="1">
      <c r="A111" s="15" t="inlineStr">
        <is>
          <t>CAST-110</t>
        </is>
      </c>
      <c r="B111" s="18" t="inlineStr">
        <is>
          <t>FILM-017</t>
        </is>
      </c>
      <c r="C111" s="5" t="inlineStr">
        <is>
          <t>Chala Murari Hero Banne</t>
        </is>
      </c>
      <c r="D111" s="17" t="n">
        <v>1977</v>
      </c>
      <c r="E111" s="5" t="inlineStr">
        <is>
          <t>Asrani</t>
        </is>
      </c>
      <c r="F111" s="5" t="inlineStr">
        <is>
          <t>Murari / Amit</t>
        </is>
      </c>
      <c r="G111" s="5" t="inlineStr">
        <is>
          <t>Co-lead</t>
        </is>
      </c>
      <c r="H111" s="5" t="inlineStr">
        <is>
          <t>Major</t>
        </is>
      </c>
      <c r="I111" s="5" t="inlineStr">
        <is>
          <t>The film's protagonist; Kapoor appears as himself in the row of star walk-ons and has no part in the story.</t>
        </is>
      </c>
      <c r="J111" s="5" t="inlineStr">
        <is>
          <t>Holds the film's only romance, with Mary.</t>
        </is>
      </c>
      <c r="K111" s="19" t="inlineStr">
        <is>
          <t>A cloth-merchant's son who runs away to Bombay, becomes a successful actor under the name Amit, is accused in scandals, and is cleared in time to marry.</t>
        </is>
      </c>
      <c r="L111" s="5" t="n"/>
      <c r="M111" s="5" t="inlineStr">
        <is>
          <t>SOURCE-018</t>
        </is>
      </c>
    </row>
    <row r="112" ht="49" customHeight="1">
      <c r="A112" s="15" t="inlineStr">
        <is>
          <t>CAST-111</t>
        </is>
      </c>
      <c r="B112" s="18" t="inlineStr">
        <is>
          <t>FILM-017</t>
        </is>
      </c>
      <c r="C112" s="5" t="inlineStr">
        <is>
          <t>Chala Murari Hero Banne</t>
        </is>
      </c>
      <c r="D112" s="17" t="n">
        <v>1977</v>
      </c>
      <c r="E112" s="5" t="inlineStr">
        <is>
          <t>Bindiya Goswami</t>
        </is>
      </c>
      <c r="F112" s="5" t="inlineStr">
        <is>
          <t>Mary</t>
        </is>
      </c>
      <c r="G112" s="5" t="inlineStr">
        <is>
          <t>Co-lead</t>
        </is>
      </c>
      <c r="H112" s="5" t="inlineStr">
        <is>
          <t>Major</t>
        </is>
      </c>
      <c r="I112" s="5" t="inlineStr">
        <is>
          <t>The protagonist's love, outside Kapoor's appearance.</t>
        </is>
      </c>
      <c r="J112" s="5" t="inlineStr">
        <is>
          <t>The whole of the film's romance: she leaves during the scandals and returns for the marriage.</t>
        </is>
      </c>
      <c r="K112" s="19" t="inlineStr">
        <is>
          <t>Murari's love interest, who leaves him when the scandals break and reunites with him once he is proved innocent.</t>
        </is>
      </c>
      <c r="L112" s="5" t="n"/>
      <c r="M112" s="5" t="inlineStr">
        <is>
          <t>SOURCE-018</t>
        </is>
      </c>
    </row>
    <row r="113" ht="34" customHeight="1">
      <c r="A113" s="15" t="inlineStr">
        <is>
          <t>CAST-112</t>
        </is>
      </c>
      <c r="B113" s="18" t="inlineStr">
        <is>
          <t>FILM-017</t>
        </is>
      </c>
      <c r="C113" s="5" t="inlineStr">
        <is>
          <t>Chala Murari Hero Banne</t>
        </is>
      </c>
      <c r="D113" s="17" t="n">
        <v>1977</v>
      </c>
      <c r="E113" s="5" t="inlineStr">
        <is>
          <t>A. K. Hangal</t>
        </is>
      </c>
      <c r="F113" s="5" t="inlineStr">
        <is>
          <t>Murari's father</t>
        </is>
      </c>
      <c r="G113" s="5" t="inlineStr">
        <is>
          <t>Family</t>
        </is>
      </c>
      <c r="H113" s="5" t="inlineStr">
        <is>
          <t>Medium</t>
        </is>
      </c>
      <c r="I113" s="5" t="inlineStr">
        <is>
          <t>The father whose cloth shop the protagonist runs away from.</t>
        </is>
      </c>
      <c r="J113" s="5" t="inlineStr">
        <is>
          <t>No part in the romance.</t>
        </is>
      </c>
      <c r="K113" s="19" t="inlineStr">
        <is>
          <t>A cloth-shop owner who wants his son in the business rather than in films, the opposition the story starts from.</t>
        </is>
      </c>
      <c r="L113" s="5" t="n"/>
      <c r="M113" s="5" t="inlineStr">
        <is>
          <t>SOURCE-018</t>
        </is>
      </c>
    </row>
    <row r="114" ht="34" customHeight="1">
      <c r="A114" s="15" t="inlineStr">
        <is>
          <t>CAST-113</t>
        </is>
      </c>
      <c r="B114" s="18" t="inlineStr">
        <is>
          <t>FILM-017</t>
        </is>
      </c>
      <c r="C114" s="5" t="inlineStr">
        <is>
          <t>Chala Murari Hero Banne</t>
        </is>
      </c>
      <c r="D114" s="17" t="n">
        <v>1977</v>
      </c>
      <c r="E114" s="5" t="inlineStr">
        <is>
          <t>Amitabh Bachchan</t>
        </is>
      </c>
      <c r="F114" s="5" t="inlineStr">
        <is>
          <t>Himself</t>
        </is>
      </c>
      <c r="G114" s="5" t="inlineStr">
        <is>
          <t>Self appearance</t>
        </is>
      </c>
      <c r="H114" s="5" t="inlineStr">
        <is>
          <t>Minor</t>
        </is>
      </c>
      <c r="I114" s="5" t="inlineStr">
        <is>
          <t>A star self-appearance in the same satirical register as Kapoor's.</t>
        </is>
      </c>
      <c r="J114" s="5" t="inlineStr">
        <is>
          <t>No part in the romance.</t>
        </is>
      </c>
      <c r="K114" s="19" t="inlineStr">
        <is>
          <t>Appears as himself among the stars the film parades past its aspiring actor.</t>
        </is>
      </c>
      <c r="L114" s="5" t="n"/>
      <c r="M114" s="5" t="inlineStr">
        <is>
          <t>SOURCE-018</t>
        </is>
      </c>
    </row>
    <row r="115" ht="34" customHeight="1">
      <c r="A115" s="15" t="inlineStr">
        <is>
          <t>CAST-114</t>
        </is>
      </c>
      <c r="B115" s="18" t="inlineStr">
        <is>
          <t>FILM-017</t>
        </is>
      </c>
      <c r="C115" s="5" t="inlineStr">
        <is>
          <t>Chala Murari Hero Banne</t>
        </is>
      </c>
      <c r="D115" s="17" t="n">
        <v>1977</v>
      </c>
      <c r="E115" s="5" t="inlineStr">
        <is>
          <t>Dharmendra</t>
        </is>
      </c>
      <c r="F115" s="5" t="inlineStr">
        <is>
          <t>Himself</t>
        </is>
      </c>
      <c r="G115" s="5" t="inlineStr">
        <is>
          <t>Self appearance</t>
        </is>
      </c>
      <c r="H115" s="5" t="inlineStr">
        <is>
          <t>Minor</t>
        </is>
      </c>
      <c r="I115" s="5" t="inlineStr">
        <is>
          <t>A star self-appearance alongside Kapoor's.</t>
        </is>
      </c>
      <c r="J115" s="5" t="inlineStr">
        <is>
          <t>No part in the romance.</t>
        </is>
      </c>
      <c r="K115" s="19" t="inlineStr">
        <is>
          <t>Appears as himself, one of the industry figures the satire uses to measure Murari's ambition.</t>
        </is>
      </c>
      <c r="L115" s="5" t="n"/>
      <c r="M115" s="5" t="inlineStr">
        <is>
          <t>SOURCE-018</t>
        </is>
      </c>
    </row>
    <row r="116" ht="49" customHeight="1">
      <c r="A116" s="15" t="inlineStr">
        <is>
          <t>CAST-115</t>
        </is>
      </c>
      <c r="B116" s="18" t="inlineStr">
        <is>
          <t>FILM-017</t>
        </is>
      </c>
      <c r="C116" s="5" t="inlineStr">
        <is>
          <t>Chala Murari Hero Banne</t>
        </is>
      </c>
      <c r="D116" s="17" t="n">
        <v>1977</v>
      </c>
      <c r="E116" s="5" t="inlineStr">
        <is>
          <t>Neetu Singh</t>
        </is>
      </c>
      <c r="F116" s="5" t="inlineStr">
        <is>
          <t>Herself</t>
        </is>
      </c>
      <c r="G116" s="5" t="inlineStr">
        <is>
          <t>Self appearance</t>
        </is>
      </c>
      <c r="H116" s="5" t="inlineStr">
        <is>
          <t>Minor</t>
        </is>
      </c>
      <c r="I116" s="5" t="inlineStr">
        <is>
          <t>A star self-appearance credited directly beside Kapoor's.</t>
        </is>
      </c>
      <c r="J116" s="5" t="inlineStr">
        <is>
          <t>No part in the romance.</t>
        </is>
      </c>
      <c r="K116" s="19" t="inlineStr">
        <is>
          <t>Appears as herself next to Kapoor in the film's line of guest appearances, two years before their regular pairing was established on screen.</t>
        </is>
      </c>
      <c r="L116" s="5" t="n"/>
      <c r="M116" s="5" t="inlineStr">
        <is>
          <t>SOURCE-018</t>
        </is>
      </c>
    </row>
    <row r="117" ht="64" customHeight="1">
      <c r="A117" s="15" t="inlineStr">
        <is>
          <t>CAST-116</t>
        </is>
      </c>
      <c r="B117" s="18" t="inlineStr">
        <is>
          <t>FILM-018</t>
        </is>
      </c>
      <c r="C117" s="5" t="inlineStr">
        <is>
          <t>Naya Daur</t>
        </is>
      </c>
      <c r="D117" s="17" t="n">
        <v>1978</v>
      </c>
      <c r="E117" s="5" t="inlineStr">
        <is>
          <t>Bhavana Bhatt</t>
        </is>
      </c>
      <c r="F117" s="5" t="inlineStr">
        <is>
          <t>Kiran Mehta</t>
        </is>
      </c>
      <c r="G117" s="5" t="inlineStr">
        <is>
          <t>Co-lead</t>
        </is>
      </c>
      <c r="H117" s="5" t="inlineStr">
        <is>
          <t>Major</t>
        </is>
      </c>
      <c r="I117" s="5" t="inlineStr">
        <is>
          <t>Credited opposite Kapoor as the female lead; the article carries no plot section, so the relationship is undocumented.</t>
        </is>
      </c>
      <c r="J117" s="5" t="inlineStr">
        <is>
          <t>The filmography records a major romance for this film, but no synopsis survives to describe it, which is why there is no Romances row.</t>
        </is>
      </c>
      <c r="K117" s="19" t="inlineStr">
        <is>
          <t>Credited as Kiran Mehta opposite Kapoor's Mahesh Chopra, with Madan Puri as her father; nothing about the part beyond the names is documented.</t>
        </is>
      </c>
      <c r="L117" s="5" t="n"/>
      <c r="M117" s="5" t="inlineStr">
        <is>
          <t>SOURCE-019</t>
        </is>
      </c>
    </row>
    <row r="118" ht="49" customHeight="1">
      <c r="A118" s="15" t="inlineStr">
        <is>
          <t>CAST-117</t>
        </is>
      </c>
      <c r="B118" s="18" t="inlineStr">
        <is>
          <t>FILM-018</t>
        </is>
      </c>
      <c r="C118" s="5" t="inlineStr">
        <is>
          <t>Naya Daur</t>
        </is>
      </c>
      <c r="D118" s="17" t="n">
        <v>1978</v>
      </c>
      <c r="E118" s="5" t="inlineStr">
        <is>
          <t>Danny Denzongpa</t>
        </is>
      </c>
      <c r="F118" s="5" t="inlineStr">
        <is>
          <t>Mark</t>
        </is>
      </c>
      <c r="G118" s="5" t="inlineStr">
        <is>
          <t>Antagonist</t>
        </is>
      </c>
      <c r="H118" s="5" t="inlineStr">
        <is>
          <t>Major</t>
        </is>
      </c>
      <c r="I118" s="5" t="inlineStr">
        <is>
          <t>Credited as one of the film's two antagonists; the article has no plot section.</t>
        </is>
      </c>
      <c r="J118" s="5" t="inlineStr">
        <is>
          <t>Undocumented.</t>
        </is>
      </c>
      <c r="K118" s="19" t="inlineStr">
        <is>
          <t>Credited as Mark, with Ranjeet as Ronnie, in a cast list the article gives without any synopsis.</t>
        </is>
      </c>
      <c r="L118" s="5" t="n"/>
      <c r="M118" s="5" t="inlineStr">
        <is>
          <t>SOURCE-019</t>
        </is>
      </c>
    </row>
    <row r="119" ht="49" customHeight="1">
      <c r="A119" s="15" t="inlineStr">
        <is>
          <t>CAST-118</t>
        </is>
      </c>
      <c r="B119" s="18" t="inlineStr">
        <is>
          <t>FILM-018</t>
        </is>
      </c>
      <c r="C119" s="5" t="inlineStr">
        <is>
          <t>Naya Daur</t>
        </is>
      </c>
      <c r="D119" s="17" t="n">
        <v>1978</v>
      </c>
      <c r="E119" s="5" t="inlineStr">
        <is>
          <t>Ranjeet</t>
        </is>
      </c>
      <c r="F119" s="5" t="inlineStr">
        <is>
          <t>Ronnie</t>
        </is>
      </c>
      <c r="G119" s="5" t="inlineStr">
        <is>
          <t>Antagonist</t>
        </is>
      </c>
      <c r="H119" s="5" t="inlineStr">
        <is>
          <t>Major</t>
        </is>
      </c>
      <c r="I119" s="5" t="inlineStr">
        <is>
          <t>Credited as an antagonist with two goons of his own in the cast list; no plot is documented.</t>
        </is>
      </c>
      <c r="J119" s="5" t="inlineStr">
        <is>
          <t>Undocumented.</t>
        </is>
      </c>
      <c r="K119" s="19" t="inlineStr">
        <is>
          <t>Credited as Ronnie, with Sharat Saxena and Raj Tilak as his goons, in an article that has no synopsis.</t>
        </is>
      </c>
      <c r="L119" s="5" t="n"/>
      <c r="M119" s="5" t="inlineStr">
        <is>
          <t>SOURCE-019</t>
        </is>
      </c>
    </row>
    <row r="120" ht="49" customHeight="1">
      <c r="A120" s="15" t="inlineStr">
        <is>
          <t>CAST-119</t>
        </is>
      </c>
      <c r="B120" s="18" t="inlineStr">
        <is>
          <t>FILM-018</t>
        </is>
      </c>
      <c r="C120" s="5" t="inlineStr">
        <is>
          <t>Naya Daur</t>
        </is>
      </c>
      <c r="D120" s="17" t="n">
        <v>1978</v>
      </c>
      <c r="E120" s="5" t="inlineStr">
        <is>
          <t>Farida Jalal</t>
        </is>
      </c>
      <c r="F120" s="5" t="inlineStr">
        <is>
          <t>Jenny</t>
        </is>
      </c>
      <c r="G120" s="5" t="inlineStr">
        <is>
          <t>Supporting</t>
        </is>
      </c>
      <c r="H120" s="5" t="inlineStr">
        <is>
          <t>Medium</t>
        </is>
      </c>
      <c r="I120" s="5" t="inlineStr">
        <is>
          <t>Credited in support with a father of her own; the relationship is undocumented.</t>
        </is>
      </c>
      <c r="J120" s="5" t="inlineStr">
        <is>
          <t>Undocumented.</t>
        </is>
      </c>
      <c r="K120" s="19" t="inlineStr">
        <is>
          <t>Credited as Jenny, with Shreeram Lagoo as her father, in the film's undocumented supporting ranks.</t>
        </is>
      </c>
      <c r="L120" s="5" t="n"/>
      <c r="M120" s="5" t="inlineStr">
        <is>
          <t>SOURCE-019</t>
        </is>
      </c>
    </row>
    <row r="121" ht="34" customHeight="1">
      <c r="A121" s="15" t="inlineStr">
        <is>
          <t>CAST-120</t>
        </is>
      </c>
      <c r="B121" s="18" t="inlineStr">
        <is>
          <t>FILM-018</t>
        </is>
      </c>
      <c r="C121" s="5" t="inlineStr">
        <is>
          <t>Naya Daur</t>
        </is>
      </c>
      <c r="D121" s="17" t="n">
        <v>1978</v>
      </c>
      <c r="E121" s="5" t="inlineStr">
        <is>
          <t>Om Prakash</t>
        </is>
      </c>
      <c r="F121" s="5" t="inlineStr">
        <is>
          <t>Mr. Chopra</t>
        </is>
      </c>
      <c r="G121" s="5" t="inlineStr">
        <is>
          <t>Family</t>
        </is>
      </c>
      <c r="H121" s="5" t="inlineStr">
        <is>
          <t>Medium</t>
        </is>
      </c>
      <c r="I121" s="5" t="inlineStr">
        <is>
          <t>Credited as the father of Kapoor's character.</t>
        </is>
      </c>
      <c r="J121" s="5" t="inlineStr">
        <is>
          <t>Undocumented.</t>
        </is>
      </c>
      <c r="K121" s="19" t="inlineStr">
        <is>
          <t>Credited as Mr. Chopra, with Purnima as Shanti Chopra, the family of Kapoor's Mahesh; no plot section describes them.</t>
        </is>
      </c>
      <c r="L121" s="5" t="n"/>
      <c r="M121" s="5" t="inlineStr">
        <is>
          <t>SOURCE-019</t>
        </is>
      </c>
    </row>
    <row r="122" ht="49" customHeight="1">
      <c r="A122" s="15" t="inlineStr">
        <is>
          <t>CAST-121</t>
        </is>
      </c>
      <c r="B122" s="18" t="inlineStr">
        <is>
          <t>FILM-018</t>
        </is>
      </c>
      <c r="C122" s="5" t="inlineStr">
        <is>
          <t>Naya Daur</t>
        </is>
      </c>
      <c r="D122" s="17" t="n">
        <v>1978</v>
      </c>
      <c r="E122" s="5" t="inlineStr">
        <is>
          <t>Madan Puri</t>
        </is>
      </c>
      <c r="F122" s="5" t="inlineStr">
        <is>
          <t>Mr. Mehta</t>
        </is>
      </c>
      <c r="G122" s="5" t="inlineStr">
        <is>
          <t>Family</t>
        </is>
      </c>
      <c r="H122" s="5" t="inlineStr">
        <is>
          <t>Medium</t>
        </is>
      </c>
      <c r="I122" s="5" t="inlineStr">
        <is>
          <t>Credited as the female lead's father.</t>
        </is>
      </c>
      <c r="J122" s="5" t="inlineStr">
        <is>
          <t>Undocumented, though the position implies the usual family authority over the match.</t>
        </is>
      </c>
      <c r="K122" s="19" t="inlineStr">
        <is>
          <t>Credited as Mr. Mehta, father of Kiran, in an article with no synopsis.</t>
        </is>
      </c>
      <c r="L122" s="5" t="n"/>
      <c r="M122" s="5" t="inlineStr">
        <is>
          <t>SOURCE-019</t>
        </is>
      </c>
    </row>
    <row r="123" ht="64" customHeight="1">
      <c r="A123" s="15" t="inlineStr">
        <is>
          <t>CAST-122</t>
        </is>
      </c>
      <c r="B123" s="18" t="inlineStr">
        <is>
          <t>FILM-019</t>
        </is>
      </c>
      <c r="C123" s="5" t="inlineStr">
        <is>
          <t>Anjane Mein</t>
        </is>
      </c>
      <c r="D123" s="17" t="n">
        <v>1978</v>
      </c>
      <c r="E123" s="5" t="inlineStr">
        <is>
          <t>Neetu Singh</t>
        </is>
      </c>
      <c r="F123" s="5" t="inlineStr">
        <is>
          <t>Rani</t>
        </is>
      </c>
      <c r="G123" s="5" t="inlineStr">
        <is>
          <t>Co-lead</t>
        </is>
      </c>
      <c r="H123" s="5" t="inlineStr">
        <is>
          <t>Major</t>
        </is>
      </c>
      <c r="I123" s="5" t="inlineStr">
        <is>
          <t>Credited opposite Kapoor's Raja as the female lead; the article is an infobox, a cast list and a soundtrack with no plot.</t>
        </is>
      </c>
      <c r="J123" s="5" t="inlineStr">
        <is>
          <t>The filmography records a major romance, but nothing about it is documented, which is why there is no Romances row.</t>
        </is>
      </c>
      <c r="K123" s="19" t="inlineStr">
        <is>
          <t>Credited as Rani opposite Kapoor's Raja in one of their regular pairings of the period; no synopsis survives to say what the part is.</t>
        </is>
      </c>
      <c r="L123" s="5" t="n"/>
      <c r="M123" s="5" t="inlineStr">
        <is>
          <t>SOURCE-021</t>
        </is>
      </c>
    </row>
    <row r="124" ht="49" customHeight="1">
      <c r="A124" s="15" t="inlineStr">
        <is>
          <t>CAST-123</t>
        </is>
      </c>
      <c r="B124" s="18" t="inlineStr">
        <is>
          <t>FILM-019</t>
        </is>
      </c>
      <c r="C124" s="5" t="inlineStr">
        <is>
          <t>Anjane Mein</t>
        </is>
      </c>
      <c r="D124" s="17" t="n">
        <v>1978</v>
      </c>
      <c r="E124" s="5" t="inlineStr">
        <is>
          <t>Ranjeet</t>
        </is>
      </c>
      <c r="F124" s="5" t="inlineStr">
        <is>
          <t>Ranjeet</t>
        </is>
      </c>
      <c r="G124" s="5" t="inlineStr">
        <is>
          <t>Antagonist</t>
        </is>
      </c>
      <c r="H124" s="5" t="inlineStr">
        <is>
          <t>Major</t>
        </is>
      </c>
      <c r="I124" s="5" t="inlineStr">
        <is>
          <t>Credited as the antagonist under his own name; undocumented beyond the cast list.</t>
        </is>
      </c>
      <c r="J124" s="5" t="inlineStr">
        <is>
          <t>Undocumented.</t>
        </is>
      </c>
      <c r="K124" s="19" t="inlineStr">
        <is>
          <t>Credited as Ranjeet, the film's antagonist, in an article with no plot section.</t>
        </is>
      </c>
      <c r="L124" s="5" t="n"/>
      <c r="M124" s="5" t="inlineStr">
        <is>
          <t>SOURCE-021</t>
        </is>
      </c>
    </row>
    <row r="125" ht="49" customHeight="1">
      <c r="A125" s="15" t="inlineStr">
        <is>
          <t>CAST-124</t>
        </is>
      </c>
      <c r="B125" s="18" t="inlineStr">
        <is>
          <t>FILM-019</t>
        </is>
      </c>
      <c r="C125" s="5" t="inlineStr">
        <is>
          <t>Anjane Mein</t>
        </is>
      </c>
      <c r="D125" s="17" t="n">
        <v>1978</v>
      </c>
      <c r="E125" s="5" t="inlineStr">
        <is>
          <t>Nirupa Roy</t>
        </is>
      </c>
      <c r="F125" s="5" t="inlineStr">
        <is>
          <t>Mrs. Shanti Lal</t>
        </is>
      </c>
      <c r="G125" s="5" t="inlineStr">
        <is>
          <t>Family</t>
        </is>
      </c>
      <c r="H125" s="5" t="inlineStr">
        <is>
          <t>Medium</t>
        </is>
      </c>
      <c r="I125" s="5" t="inlineStr">
        <is>
          <t>Credited in the film's mother role, opposite Satyendra Kapoor's Manohar Lal.</t>
        </is>
      </c>
      <c r="J125" s="5" t="inlineStr">
        <is>
          <t>Undocumented.</t>
        </is>
      </c>
      <c r="K125" s="19" t="inlineStr">
        <is>
          <t>Credited as Mrs. Shanti Lal in the family register the actress worked in throughout the decade; no synopsis documents the part.</t>
        </is>
      </c>
      <c r="L125" s="5" t="n"/>
      <c r="M125" s="5" t="inlineStr">
        <is>
          <t>SOURCE-021</t>
        </is>
      </c>
    </row>
    <row r="126" ht="64" customHeight="1">
      <c r="A126" s="15" t="inlineStr">
        <is>
          <t>CAST-125</t>
        </is>
      </c>
      <c r="B126" s="18" t="inlineStr">
        <is>
          <t>FILM-019</t>
        </is>
      </c>
      <c r="C126" s="5" t="inlineStr">
        <is>
          <t>Anjane Mein</t>
        </is>
      </c>
      <c r="D126" s="17" t="n">
        <v>1978</v>
      </c>
      <c r="E126" s="5" t="inlineStr">
        <is>
          <t>Asha Sachdev</t>
        </is>
      </c>
      <c r="F126" s="5" t="inlineStr">
        <is>
          <t>Rita</t>
        </is>
      </c>
      <c r="G126" s="5" t="inlineStr">
        <is>
          <t>Supporting</t>
        </is>
      </c>
      <c r="H126" s="5" t="inlineStr">
        <is>
          <t>Medium</t>
        </is>
      </c>
      <c r="I126" s="5" t="inlineStr">
        <is>
          <t>Credited in support; the relationship is undocumented.</t>
        </is>
      </c>
      <c r="J126" s="5" t="inlineStr">
        <is>
          <t>Undocumented, though the second female credit in a romantic drama of the period usually marks a rival or friend.</t>
        </is>
      </c>
      <c r="K126" s="19" t="inlineStr">
        <is>
          <t>Credited as Rita, the film's second female part, with no plot section to place her.</t>
        </is>
      </c>
      <c r="L126" s="5" t="n"/>
      <c r="M126" s="5" t="inlineStr">
        <is>
          <t>SOURCE-021</t>
        </is>
      </c>
    </row>
    <row r="127" ht="34" customHeight="1">
      <c r="A127" s="15" t="inlineStr">
        <is>
          <t>CAST-126</t>
        </is>
      </c>
      <c r="B127" s="18" t="inlineStr">
        <is>
          <t>FILM-019</t>
        </is>
      </c>
      <c r="C127" s="5" t="inlineStr">
        <is>
          <t>Anjane Mein</t>
        </is>
      </c>
      <c r="D127" s="17" t="n">
        <v>1978</v>
      </c>
      <c r="E127" s="5" t="inlineStr">
        <is>
          <t>Satyendra Kapoor</t>
        </is>
      </c>
      <c r="F127" s="5" t="inlineStr">
        <is>
          <t>Manohar Lal</t>
        </is>
      </c>
      <c r="G127" s="5" t="inlineStr">
        <is>
          <t>Family</t>
        </is>
      </c>
      <c r="H127" s="5" t="inlineStr">
        <is>
          <t>Medium</t>
        </is>
      </c>
      <c r="I127" s="5" t="inlineStr">
        <is>
          <t>Credited with Nirupa Roy as the film's parental pair.</t>
        </is>
      </c>
      <c r="J127" s="5" t="inlineStr">
        <is>
          <t>Undocumented.</t>
        </is>
      </c>
      <c r="K127" s="19" t="inlineStr">
        <is>
          <t>Credited as Manohar Lal, opposite Nirupa Roy's Mrs. Shanti Lal, in an undocumented family plot.</t>
        </is>
      </c>
      <c r="L127" s="5" t="n"/>
      <c r="M127" s="5" t="inlineStr">
        <is>
          <t>SOURCE-021</t>
        </is>
      </c>
    </row>
    <row r="128" ht="34" customHeight="1">
      <c r="A128" s="15" t="inlineStr">
        <is>
          <t>CAST-127</t>
        </is>
      </c>
      <c r="B128" s="18" t="inlineStr">
        <is>
          <t>FILM-019</t>
        </is>
      </c>
      <c r="C128" s="5" t="inlineStr">
        <is>
          <t>Anjane Mein</t>
        </is>
      </c>
      <c r="D128" s="17" t="n">
        <v>1978</v>
      </c>
      <c r="E128" s="5" t="inlineStr">
        <is>
          <t>Jagdeep</t>
        </is>
      </c>
      <c r="F128" s="5" t="inlineStr">
        <is>
          <t>Abdullah</t>
        </is>
      </c>
      <c r="G128" s="5" t="inlineStr">
        <is>
          <t>Comic support</t>
        </is>
      </c>
      <c r="H128" s="5" t="inlineStr">
        <is>
          <t>Minor</t>
        </is>
      </c>
      <c r="I128" s="5" t="inlineStr">
        <is>
          <t>Credited in the comic register; undocumented.</t>
        </is>
      </c>
      <c r="J128" s="5" t="inlineStr">
        <is>
          <t>Undocumented.</t>
        </is>
      </c>
      <c r="K128" s="19" t="inlineStr">
        <is>
          <t>Credited as Abdullah, the comic part, in an article with no synopsis.</t>
        </is>
      </c>
      <c r="L128" s="5" t="n"/>
      <c r="M128" s="5" t="inlineStr">
        <is>
          <t>SOURCE-021</t>
        </is>
      </c>
    </row>
    <row r="129" ht="34" customHeight="1">
      <c r="A129" s="15" t="inlineStr">
        <is>
          <t>CAST-128</t>
        </is>
      </c>
      <c r="B129" s="18" t="inlineStr">
        <is>
          <t>FILM-019</t>
        </is>
      </c>
      <c r="C129" s="5" t="inlineStr">
        <is>
          <t>Anjane Mein</t>
        </is>
      </c>
      <c r="D129" s="17" t="n">
        <v>1978</v>
      </c>
      <c r="E129" s="5" t="inlineStr">
        <is>
          <t>Ramesh Deo</t>
        </is>
      </c>
      <c r="F129" s="5" t="inlineStr">
        <is>
          <t>Inspector Gavaskar</t>
        </is>
      </c>
      <c r="G129" s="5" t="inlineStr">
        <is>
          <t>Authority figure</t>
        </is>
      </c>
      <c r="H129" s="5" t="inlineStr">
        <is>
          <t>Minor</t>
        </is>
      </c>
      <c r="I129" s="5" t="inlineStr">
        <is>
          <t>Credited as the film's police authority; undocumented.</t>
        </is>
      </c>
      <c r="J129" s="5" t="inlineStr">
        <is>
          <t>Undocumented.</t>
        </is>
      </c>
      <c r="K129" s="19" t="inlineStr">
        <is>
          <t>Credited as Inspector Gavaskar, the law in an otherwise undocumented plot.</t>
        </is>
      </c>
      <c r="L129" s="5" t="n"/>
      <c r="M129" s="5" t="inlineStr">
        <is>
          <t>SOURCE-021</t>
        </is>
      </c>
    </row>
    <row r="130" ht="49" customHeight="1">
      <c r="A130" s="15" t="inlineStr">
        <is>
          <t>CAST-129</t>
        </is>
      </c>
      <c r="B130" s="18" t="inlineStr">
        <is>
          <t>FILM-020</t>
        </is>
      </c>
      <c r="C130" s="5" t="inlineStr">
        <is>
          <t>Pati Patni Aur Woh</t>
        </is>
      </c>
      <c r="D130" s="17" t="n">
        <v>1978</v>
      </c>
      <c r="E130" s="5" t="inlineStr">
        <is>
          <t>Sanjeev Kumar</t>
        </is>
      </c>
      <c r="F130" s="5" t="inlineStr">
        <is>
          <t>Ranjeet Chhadha</t>
        </is>
      </c>
      <c r="G130" s="5" t="inlineStr">
        <is>
          <t>Co-lead</t>
        </is>
      </c>
      <c r="H130" s="5" t="inlineStr">
        <is>
          <t>Major</t>
        </is>
      </c>
      <c r="I130" s="5" t="inlineStr">
        <is>
          <t>The film's protagonist; Kapoor appears only in the song 'Tere Naam Tere Naam', outside the story.</t>
        </is>
      </c>
      <c r="J130" s="5" t="inlineStr">
        <is>
          <t>Holds both of the film's relationships, the marriage and the deception.</t>
        </is>
      </c>
      <c r="K130" s="19" t="inlineStr">
        <is>
          <t>A salesman turned sales manager who invents a cancer-stricken wife in order to seduce his secretary, in a comedy the film frames against Adam, Eve and the apple.</t>
        </is>
      </c>
      <c r="L130" s="5" t="inlineStr">
        <is>
          <t>Won Sanjeev Kumar the Filmfare Award for Best Actor.</t>
        </is>
      </c>
      <c r="M130" s="5" t="inlineStr">
        <is>
          <t>SOURCE-022</t>
        </is>
      </c>
    </row>
    <row r="131" ht="64" customHeight="1">
      <c r="A131" s="15" t="inlineStr">
        <is>
          <t>CAST-130</t>
        </is>
      </c>
      <c r="B131" s="18" t="inlineStr">
        <is>
          <t>FILM-020</t>
        </is>
      </c>
      <c r="C131" s="5" t="inlineStr">
        <is>
          <t>Pati Patni Aur Woh</t>
        </is>
      </c>
      <c r="D131" s="17" t="n">
        <v>1978</v>
      </c>
      <c r="E131" s="5" t="inlineStr">
        <is>
          <t>Vidya Sinha</t>
        </is>
      </c>
      <c r="F131" s="5" t="inlineStr">
        <is>
          <t>Sharda Chhadha</t>
        </is>
      </c>
      <c r="G131" s="5" t="inlineStr">
        <is>
          <t>Co-lead</t>
        </is>
      </c>
      <c r="H131" s="5" t="inlineStr">
        <is>
          <t>Major</t>
        </is>
      </c>
      <c r="I131" s="5" t="inlineStr">
        <is>
          <t>The protagonist's wife, the 'Eve' of the film's framing.</t>
        </is>
      </c>
      <c r="J131" s="5" t="inlineStr">
        <is>
          <t>The marriage the deception is run against.</t>
        </is>
      </c>
      <c r="K131" s="19" t="inlineStr">
        <is>
          <t>Met when her husband-to-be collides with her bicycle, married into years of apparent marital contentment, and reinvented by him as a dying wife to serve his pursuit of his secretary.</t>
        </is>
      </c>
      <c r="L131" s="5" t="n"/>
      <c r="M131" s="5" t="inlineStr">
        <is>
          <t>SOURCE-022</t>
        </is>
      </c>
    </row>
    <row r="132" ht="49" customHeight="1">
      <c r="A132" s="15" t="inlineStr">
        <is>
          <t>CAST-131</t>
        </is>
      </c>
      <c r="B132" s="18" t="inlineStr">
        <is>
          <t>FILM-020</t>
        </is>
      </c>
      <c r="C132" s="5" t="inlineStr">
        <is>
          <t>Pati Patni Aur Woh</t>
        </is>
      </c>
      <c r="D132" s="17" t="n">
        <v>1978</v>
      </c>
      <c r="E132" s="5" t="inlineStr">
        <is>
          <t>Ranjeeta Kaur</t>
        </is>
      </c>
      <c r="F132" s="5" t="inlineStr">
        <is>
          <t>Nirmala Deshpande</t>
        </is>
      </c>
      <c r="G132" s="5" t="inlineStr">
        <is>
          <t>Supporting</t>
        </is>
      </c>
      <c r="H132" s="5" t="inlineStr">
        <is>
          <t>Major</t>
        </is>
      </c>
      <c r="I132" s="5" t="inlineStr">
        <is>
          <t>The secretary the protagonist deceives.</t>
        </is>
      </c>
      <c r="J132" s="5" t="inlineStr">
        <is>
          <t>The 'apple' of the film's framing, and the object of the false courtship.</t>
        </is>
      </c>
      <c r="K132" s="19" t="inlineStr">
        <is>
          <t>An honest young woman making ends meet, who knows nothing of her employer's marriage or his intentions and is courted on a story about a dying wife.</t>
        </is>
      </c>
      <c r="L132" s="5" t="n"/>
      <c r="M132" s="5" t="inlineStr">
        <is>
          <t>SOURCE-022</t>
        </is>
      </c>
    </row>
    <row r="133" ht="34" customHeight="1">
      <c r="A133" s="15" t="inlineStr">
        <is>
          <t>CAST-132</t>
        </is>
      </c>
      <c r="B133" s="18" t="inlineStr">
        <is>
          <t>FILM-020</t>
        </is>
      </c>
      <c r="C133" s="5" t="inlineStr">
        <is>
          <t>Pati Patni Aur Woh</t>
        </is>
      </c>
      <c r="D133" s="17" t="n">
        <v>1978</v>
      </c>
      <c r="E133" s="5" t="inlineStr">
        <is>
          <t>Asrani</t>
        </is>
      </c>
      <c r="F133" s="5" t="inlineStr">
        <is>
          <t>Abdul Karim Durrani</t>
        </is>
      </c>
      <c r="G133" s="5" t="inlineStr">
        <is>
          <t>Comic support</t>
        </is>
      </c>
      <c r="H133" s="5" t="inlineStr">
        <is>
          <t>Medium</t>
        </is>
      </c>
      <c r="I133" s="5" t="inlineStr">
        <is>
          <t>The protagonist's comic companion in the office plot.</t>
        </is>
      </c>
      <c r="J133" s="5" t="inlineStr">
        <is>
          <t>Attends the deception in the comic register.</t>
        </is>
      </c>
      <c r="K133" s="19" t="inlineStr">
        <is>
          <t>Abdul Karim Durrani, the comic support around the husband's scheme.</t>
        </is>
      </c>
      <c r="L133" s="5" t="n"/>
      <c r="M133" s="5" t="inlineStr">
        <is>
          <t>SOURCE-022</t>
        </is>
      </c>
    </row>
    <row r="134" ht="49" customHeight="1">
      <c r="A134" s="15" t="inlineStr">
        <is>
          <t>CAST-133</t>
        </is>
      </c>
      <c r="B134" s="18" t="inlineStr">
        <is>
          <t>FILM-020</t>
        </is>
      </c>
      <c r="C134" s="5" t="inlineStr">
        <is>
          <t>Pati Patni Aur Woh</t>
        </is>
      </c>
      <c r="D134" s="17" t="n">
        <v>1978</v>
      </c>
      <c r="E134" s="5" t="inlineStr">
        <is>
          <t>Neetu Singh</t>
        </is>
      </c>
      <c r="F134" s="5" t="inlineStr">
        <is>
          <t>Herself</t>
        </is>
      </c>
      <c r="G134" s="5" t="inlineStr">
        <is>
          <t>Cameo</t>
        </is>
      </c>
      <c r="H134" s="5" t="inlineStr">
        <is>
          <t>Minor</t>
        </is>
      </c>
      <c r="I134" s="5" t="inlineStr">
        <is>
          <t>A song cameo with no part in the story, credited in the same number as Kapoor.</t>
        </is>
      </c>
      <c r="J134" s="5" t="inlineStr">
        <is>
          <t>Appears inside a song rather than in either relationship.</t>
        </is>
      </c>
      <c r="K134" s="19" t="inlineStr">
        <is>
          <t>Credited, with Kapoor, as a cameo in the song 'Tere Naam Tere Naam', the pair's appearance standing outside the plot entirely.</t>
        </is>
      </c>
      <c r="L134" s="5" t="n"/>
      <c r="M134" s="5" t="inlineStr">
        <is>
          <t>SOURCE-022</t>
        </is>
      </c>
    </row>
    <row r="135" ht="34" customHeight="1">
      <c r="A135" s="15" t="inlineStr">
        <is>
          <t>CAST-134</t>
        </is>
      </c>
      <c r="B135" s="18" t="inlineStr">
        <is>
          <t>FILM-020</t>
        </is>
      </c>
      <c r="C135" s="5" t="inlineStr">
        <is>
          <t>Pati Patni Aur Woh</t>
        </is>
      </c>
      <c r="D135" s="17" t="n">
        <v>1978</v>
      </c>
      <c r="E135" s="5" t="inlineStr">
        <is>
          <t>Parveen Babi</t>
        </is>
      </c>
      <c r="F135" s="5" t="inlineStr">
        <is>
          <t>Neeta</t>
        </is>
      </c>
      <c r="G135" s="5" t="inlineStr">
        <is>
          <t>Cameo</t>
        </is>
      </c>
      <c r="H135" s="5" t="inlineStr">
        <is>
          <t>Minor</t>
        </is>
      </c>
      <c r="I135" s="5" t="inlineStr">
        <is>
          <t>A credited cameo in the film's star register.</t>
        </is>
      </c>
      <c r="J135" s="5" t="inlineStr">
        <is>
          <t>No part in the marriage or the deception.</t>
        </is>
      </c>
      <c r="K135" s="19" t="inlineStr">
        <is>
          <t>Credited as Neeta in a cameo, alongside the film's other guest appearances.</t>
        </is>
      </c>
      <c r="L135" s="5" t="n"/>
      <c r="M135" s="5" t="inlineStr">
        <is>
          <t>SOURCE-022</t>
        </is>
      </c>
    </row>
    <row r="136" ht="34" customHeight="1">
      <c r="A136" s="15" t="inlineStr">
        <is>
          <t>CAST-135</t>
        </is>
      </c>
      <c r="B136" s="18" t="inlineStr">
        <is>
          <t>FILM-020</t>
        </is>
      </c>
      <c r="C136" s="5" t="inlineStr">
        <is>
          <t>Pati Patni Aur Woh</t>
        </is>
      </c>
      <c r="D136" s="17" t="n">
        <v>1978</v>
      </c>
      <c r="E136" s="5" t="inlineStr">
        <is>
          <t>Om Shivpuri</t>
        </is>
      </c>
      <c r="F136" s="5" t="inlineStr">
        <is>
          <t>Sharda's father</t>
        </is>
      </c>
      <c r="G136" s="5" t="inlineStr">
        <is>
          <t>Family</t>
        </is>
      </c>
      <c r="H136" s="5" t="inlineStr">
        <is>
          <t>Minor</t>
        </is>
      </c>
      <c r="I136" s="5" t="inlineStr">
        <is>
          <t>The wife's father, credited in the family the marriage was made in.</t>
        </is>
      </c>
      <c r="J136" s="5" t="inlineStr">
        <is>
          <t>Family background to the marriage under strain.</t>
        </is>
      </c>
      <c r="K136" s="19" t="inlineStr">
        <is>
          <t>Credited as Sharda's father, with Nana Palsikar as Nanaji in the household around the couple.</t>
        </is>
      </c>
      <c r="L136" s="5" t="n"/>
      <c r="M136" s="5" t="inlineStr">
        <is>
          <t>SOURCE-022</t>
        </is>
      </c>
    </row>
    <row r="137" ht="64" customHeight="1">
      <c r="A137" s="15" t="inlineStr">
        <is>
          <t>CAST-136</t>
        </is>
      </c>
      <c r="B137" s="18" t="inlineStr">
        <is>
          <t>FILM-021</t>
        </is>
      </c>
      <c r="C137" s="5" t="inlineStr">
        <is>
          <t>Phool Khile Hain Gulshan Gulshan</t>
        </is>
      </c>
      <c r="D137" s="17" t="n">
        <v>1978</v>
      </c>
      <c r="E137" s="5" t="inlineStr">
        <is>
          <t>Moushumi Chatterjee</t>
        </is>
      </c>
      <c r="F137" s="5" t="inlineStr">
        <is>
          <t>Shanti</t>
        </is>
      </c>
      <c r="G137" s="5" t="inlineStr">
        <is>
          <t>Co-lead</t>
        </is>
      </c>
      <c r="H137" s="5" t="inlineStr">
        <is>
          <t>Major</t>
        </is>
      </c>
      <c r="I137" s="5" t="inlineStr">
        <is>
          <t>Credited opposite Kapoor's Vishal Rai as the female lead; the article has no plot section, so the relationship is undocumented.</t>
        </is>
      </c>
      <c r="J137" s="5" t="inlineStr">
        <is>
          <t>The filmography records a major romance for this film, but no synopsis survives to describe it, which is why there is no Romances row.</t>
        </is>
      </c>
      <c r="K137" s="19" t="inlineStr">
        <is>
          <t>Credited as Shanti opposite Kapoor in the second of their three films together; nothing beyond the name is documented.</t>
        </is>
      </c>
      <c r="L137" s="5" t="n"/>
      <c r="M137" s="5" t="inlineStr">
        <is>
          <t>SOURCE-023</t>
        </is>
      </c>
    </row>
    <row r="138" ht="64" customHeight="1">
      <c r="A138" s="15" t="inlineStr">
        <is>
          <t>CAST-137</t>
        </is>
      </c>
      <c r="B138" s="18" t="inlineStr">
        <is>
          <t>FILM-021</t>
        </is>
      </c>
      <c r="C138" s="5" t="inlineStr">
        <is>
          <t>Phool Khile Hain Gulshan Gulshan</t>
        </is>
      </c>
      <c r="D138" s="17" t="n">
        <v>1978</v>
      </c>
      <c r="E138" s="5" t="inlineStr">
        <is>
          <t>Ashok Kumar</t>
        </is>
      </c>
      <c r="F138" s="5" t="inlineStr">
        <is>
          <t>Lala Ganpat Rai</t>
        </is>
      </c>
      <c r="G138" s="5" t="inlineStr">
        <is>
          <t>Family</t>
        </is>
      </c>
      <c r="H138" s="5" t="inlineStr">
        <is>
          <t>Major</t>
        </is>
      </c>
      <c r="I138" s="5" t="inlineStr">
        <is>
          <t>Top-billed, and sharing the surname of Kapoor's Vishal Rai, which places him as the family head; no synopsis confirms the relation.</t>
        </is>
      </c>
      <c r="J138" s="5" t="inlineStr">
        <is>
          <t>Undocumented.</t>
        </is>
      </c>
      <c r="K138" s="19" t="inlineStr">
        <is>
          <t>Credited first in the cast as Lala Ganpat Rai, the senior figure of the Rai household Kapoor's character belongs to by name.</t>
        </is>
      </c>
      <c r="L138" s="5" t="n"/>
      <c r="M138" s="5" t="inlineStr">
        <is>
          <t>SOURCE-023</t>
        </is>
      </c>
    </row>
    <row r="139" ht="49" customHeight="1">
      <c r="A139" s="15" t="inlineStr">
        <is>
          <t>CAST-138</t>
        </is>
      </c>
      <c r="B139" s="18" t="inlineStr">
        <is>
          <t>FILM-021</t>
        </is>
      </c>
      <c r="C139" s="5" t="inlineStr">
        <is>
          <t>Phool Khile Hain Gulshan Gulshan</t>
        </is>
      </c>
      <c r="D139" s="17" t="n">
        <v>1978</v>
      </c>
      <c r="E139" s="5" t="inlineStr">
        <is>
          <t>Amjad Khan</t>
        </is>
      </c>
      <c r="F139" s="5" t="inlineStr">
        <is>
          <t>Kalandar</t>
        </is>
      </c>
      <c r="G139" s="5" t="inlineStr">
        <is>
          <t>Antagonist</t>
        </is>
      </c>
      <c r="H139" s="5" t="inlineStr">
        <is>
          <t>Major</t>
        </is>
      </c>
      <c r="I139" s="5" t="inlineStr">
        <is>
          <t>Credited as one of the film's two antagonists; undocumented beyond the cast list.</t>
        </is>
      </c>
      <c r="J139" s="5" t="inlineStr">
        <is>
          <t>Undocumented.</t>
        </is>
      </c>
      <c r="K139" s="19" t="inlineStr">
        <is>
          <t>Credited as Kalandar, with Ranjeet's Bhiku Prasad as the other antagonist, in an article with no plot section.</t>
        </is>
      </c>
      <c r="L139" s="5" t="n"/>
      <c r="M139" s="5" t="inlineStr">
        <is>
          <t>SOURCE-023</t>
        </is>
      </c>
    </row>
    <row r="140" ht="34" customHeight="1">
      <c r="A140" s="15" t="inlineStr">
        <is>
          <t>CAST-139</t>
        </is>
      </c>
      <c r="B140" s="18" t="inlineStr">
        <is>
          <t>FILM-021</t>
        </is>
      </c>
      <c r="C140" s="5" t="inlineStr">
        <is>
          <t>Phool Khile Hain Gulshan Gulshan</t>
        </is>
      </c>
      <c r="D140" s="17" t="n">
        <v>1978</v>
      </c>
      <c r="E140" s="5" t="inlineStr">
        <is>
          <t>Ranjeet</t>
        </is>
      </c>
      <c r="F140" s="5" t="inlineStr">
        <is>
          <t>Bhiku Prasad</t>
        </is>
      </c>
      <c r="G140" s="5" t="inlineStr">
        <is>
          <t>Antagonist</t>
        </is>
      </c>
      <c r="H140" s="5" t="inlineStr">
        <is>
          <t>Major</t>
        </is>
      </c>
      <c r="I140" s="5" t="inlineStr">
        <is>
          <t>Credited as an antagonist; the article documents no plot.</t>
        </is>
      </c>
      <c r="J140" s="5" t="inlineStr">
        <is>
          <t>Undocumented.</t>
        </is>
      </c>
      <c r="K140" s="19" t="inlineStr">
        <is>
          <t>Credited as Bhiku Prasad, opposite Amjad Khan's Kalandar, in the film's undocumented opposition.</t>
        </is>
      </c>
      <c r="L140" s="5" t="n"/>
      <c r="M140" s="5" t="inlineStr">
        <is>
          <t>SOURCE-023</t>
        </is>
      </c>
    </row>
    <row r="141" ht="49" customHeight="1">
      <c r="A141" s="15" t="inlineStr">
        <is>
          <t>CAST-140</t>
        </is>
      </c>
      <c r="B141" s="18" t="inlineStr">
        <is>
          <t>FILM-021</t>
        </is>
      </c>
      <c r="C141" s="5" t="inlineStr">
        <is>
          <t>Phool Khile Hain Gulshan Gulshan</t>
        </is>
      </c>
      <c r="D141" s="17" t="n">
        <v>1978</v>
      </c>
      <c r="E141" s="5" t="inlineStr">
        <is>
          <t>Mithun Chakraborty</t>
        </is>
      </c>
      <c r="F141" s="5" t="inlineStr">
        <is>
          <t>Vishal's friend</t>
        </is>
      </c>
      <c r="G141" s="5" t="inlineStr">
        <is>
          <t>Friend</t>
        </is>
      </c>
      <c r="H141" s="5" t="inlineStr">
        <is>
          <t>Medium</t>
        </is>
      </c>
      <c r="I141" s="5" t="inlineStr">
        <is>
          <t>Credited as one of three friends of Kapoor's character.</t>
        </is>
      </c>
      <c r="J141" s="5" t="inlineStr">
        <is>
          <t>Undocumented.</t>
        </is>
      </c>
      <c r="K141" s="19" t="inlineStr">
        <is>
          <t>Credited as a friend of Vishal, with Asrani and Paintal in the same function, the year after his own debut and before his stardom.</t>
        </is>
      </c>
      <c r="L141" s="5" t="n"/>
      <c r="M141" s="5" t="inlineStr">
        <is>
          <t>SOURCE-023</t>
        </is>
      </c>
    </row>
    <row r="142" ht="34" customHeight="1">
      <c r="A142" s="15" t="inlineStr">
        <is>
          <t>CAST-141</t>
        </is>
      </c>
      <c r="B142" s="18" t="inlineStr">
        <is>
          <t>FILM-021</t>
        </is>
      </c>
      <c r="C142" s="5" t="inlineStr">
        <is>
          <t>Phool Khile Hain Gulshan Gulshan</t>
        </is>
      </c>
      <c r="D142" s="17" t="n">
        <v>1978</v>
      </c>
      <c r="E142" s="5" t="inlineStr">
        <is>
          <t>Shreeram Lagoo</t>
        </is>
      </c>
      <c r="F142" s="5" t="inlineStr">
        <is>
          <t>Laxmi Narayan</t>
        </is>
      </c>
      <c r="G142" s="5" t="inlineStr">
        <is>
          <t>Supporting</t>
        </is>
      </c>
      <c r="H142" s="5" t="inlineStr">
        <is>
          <t>Medium</t>
        </is>
      </c>
      <c r="I142" s="5" t="inlineStr">
        <is>
          <t>Credited second in the cast list; the relationship is undocumented.</t>
        </is>
      </c>
      <c r="J142" s="5" t="inlineStr">
        <is>
          <t>Undocumented.</t>
        </is>
      </c>
      <c r="K142" s="19" t="inlineStr">
        <is>
          <t>Credited as Laxmi Narayan, high in a cast list the article gives without any synopsis.</t>
        </is>
      </c>
      <c r="L142" s="5" t="n"/>
      <c r="M142" s="5" t="inlineStr">
        <is>
          <t>SOURCE-023</t>
        </is>
      </c>
    </row>
    <row r="143" ht="34" customHeight="1">
      <c r="A143" s="15" t="inlineStr">
        <is>
          <t>CAST-142</t>
        </is>
      </c>
      <c r="B143" s="18" t="inlineStr">
        <is>
          <t>FILM-021</t>
        </is>
      </c>
      <c r="C143" s="5" t="inlineStr">
        <is>
          <t>Phool Khile Hain Gulshan Gulshan</t>
        </is>
      </c>
      <c r="D143" s="17" t="n">
        <v>1978</v>
      </c>
      <c r="E143" s="5" t="inlineStr">
        <is>
          <t>Asrani</t>
        </is>
      </c>
      <c r="F143" s="5" t="inlineStr">
        <is>
          <t>Vishal's friend</t>
        </is>
      </c>
      <c r="G143" s="5" t="inlineStr">
        <is>
          <t>Comic support</t>
        </is>
      </c>
      <c r="H143" s="5" t="inlineStr">
        <is>
          <t>Medium</t>
        </is>
      </c>
      <c r="I143" s="5" t="inlineStr">
        <is>
          <t>Credited as a friend of Kapoor's character, in his usual comic register.</t>
        </is>
      </c>
      <c r="J143" s="5" t="inlineStr">
        <is>
          <t>Undocumented.</t>
        </is>
      </c>
      <c r="K143" s="19" t="inlineStr">
        <is>
          <t>Credited as one of Vishal's friends, with Mithun Chakraborty and Paintal, in an undocumented plot.</t>
        </is>
      </c>
      <c r="L143" s="5" t="n"/>
      <c r="M143" s="5" t="inlineStr">
        <is>
          <t>SOURCE-023</t>
        </is>
      </c>
    </row>
    <row r="144" ht="64" customHeight="1">
      <c r="A144" s="15" t="inlineStr">
        <is>
          <t>CAST-143</t>
        </is>
      </c>
      <c r="B144" s="18" t="inlineStr">
        <is>
          <t>FILM-022</t>
        </is>
      </c>
      <c r="C144" s="5" t="inlineStr">
        <is>
          <t>Badaltey Rishtey</t>
        </is>
      </c>
      <c r="D144" s="17" t="n">
        <v>1978</v>
      </c>
      <c r="E144" s="5" t="inlineStr">
        <is>
          <t>Reena Roy</t>
        </is>
      </c>
      <c r="F144" s="5" t="inlineStr">
        <is>
          <t>Savitri Thakur</t>
        </is>
      </c>
      <c r="G144" s="5" t="inlineStr">
        <is>
          <t>Co-lead</t>
        </is>
      </c>
      <c r="H144" s="5" t="inlineStr">
        <is>
          <t>Major</t>
        </is>
      </c>
      <c r="I144" s="5" t="inlineStr">
        <is>
          <t>The music teacher Manohar pursues from their first meeting, and whose love he converts into hatred.</t>
        </is>
      </c>
      <c r="J144" s="5" t="inlineStr">
        <is>
          <t>The whole of the pairing in Romances, which begins as courtship and turns into the object of an obsession.</t>
        </is>
      </c>
      <c r="K144" s="19" t="inlineStr">
        <is>
          <t>A music teacher who runs a school and tutors girls at home, courted by a man posing as an egg seller, loved in return, then married to Sagar and horrified by Manohar's offer to kill her husband.</t>
        </is>
      </c>
      <c r="L144" s="5" t="n"/>
      <c r="M144" s="5" t="inlineStr">
        <is>
          <t>SOURCE-020</t>
        </is>
      </c>
    </row>
    <row r="145" ht="64" customHeight="1">
      <c r="A145" s="15" t="inlineStr">
        <is>
          <t>CAST-144</t>
        </is>
      </c>
      <c r="B145" s="18" t="inlineStr">
        <is>
          <t>FILM-022</t>
        </is>
      </c>
      <c r="C145" s="5" t="inlineStr">
        <is>
          <t>Badaltey Rishtey</t>
        </is>
      </c>
      <c r="D145" s="17" t="n">
        <v>1978</v>
      </c>
      <c r="E145" s="5" t="inlineStr">
        <is>
          <t>Jeetendra</t>
        </is>
      </c>
      <c r="F145" s="5" t="inlineStr">
        <is>
          <t>Sagar Singh</t>
        </is>
      </c>
      <c r="G145" s="5" t="inlineStr">
        <is>
          <t>Romantic rival</t>
        </is>
      </c>
      <c r="H145" s="5" t="inlineStr">
        <is>
          <t>Major</t>
        </is>
      </c>
      <c r="I145" s="5" t="inlineStr">
        <is>
          <t>The wealthier suitor who wins Savitri, and whom Manohar then befriends in order to prove he could kill him at will.</t>
        </is>
      </c>
      <c r="J145" s="5" t="inlineStr">
        <is>
          <t>The rival the obsession is organised against, and the husband whose predicted death the plot turns on.</t>
        </is>
      </c>
      <c r="K145" s="19" t="inlineStr">
        <is>
          <t>A businessman returned from the United States whose sister is Savitri's pupil, who falls for her voice before he meets her, writes offering to become her student, and marries her.</t>
        </is>
      </c>
      <c r="L145" s="5" t="n"/>
      <c r="M145" s="5" t="inlineStr">
        <is>
          <t>SOURCE-020</t>
        </is>
      </c>
    </row>
    <row r="146" ht="64" customHeight="1">
      <c r="A146" s="15" t="inlineStr">
        <is>
          <t>CAST-145</t>
        </is>
      </c>
      <c r="B146" s="18" t="inlineStr">
        <is>
          <t>FILM-022</t>
        </is>
      </c>
      <c r="C146" s="5" t="inlineStr">
        <is>
          <t>Badaltey Rishtey</t>
        </is>
      </c>
      <c r="D146" s="17" t="n">
        <v>1978</v>
      </c>
      <c r="E146" s="5" t="inlineStr">
        <is>
          <t>Asrani</t>
        </is>
      </c>
      <c r="F146" s="5" t="inlineStr">
        <is>
          <t>Anup Chandra Thakur, called Chandar</t>
        </is>
      </c>
      <c r="G146" s="5" t="inlineStr">
        <is>
          <t>Family</t>
        </is>
      </c>
      <c r="H146" s="5" t="inlineStr">
        <is>
          <t>Medium</t>
        </is>
      </c>
      <c r="I146" s="5" t="inlineStr">
        <is>
          <t>Savitri's brother, in the household Manohar talks his way into.</t>
        </is>
      </c>
      <c r="J146" s="5" t="inlineStr">
        <is>
          <t>Part of the family the courtship has to pass through, and the subject of the astrologer's favourable prediction.</t>
        </is>
      </c>
      <c r="K146" s="19" t="inlineStr">
        <is>
          <t>A painting contractor who lives with his sister and mother, engaged to Savitri's friend, and the one the astrologer promises good times to.</t>
        </is>
      </c>
      <c r="L146" s="5" t="n"/>
      <c r="M146" s="5" t="inlineStr">
        <is>
          <t>SOURCE-020</t>
        </is>
      </c>
    </row>
    <row r="147" ht="49" customHeight="1">
      <c r="A147" s="15" t="inlineStr">
        <is>
          <t>CAST-146</t>
        </is>
      </c>
      <c r="B147" s="18" t="inlineStr">
        <is>
          <t>FILM-022</t>
        </is>
      </c>
      <c r="C147" s="5" t="inlineStr">
        <is>
          <t>Badaltey Rishtey</t>
        </is>
      </c>
      <c r="D147" s="17" t="n">
        <v>1978</v>
      </c>
      <c r="E147" s="5" t="inlineStr">
        <is>
          <t>A. K. Hangal</t>
        </is>
      </c>
      <c r="F147" s="5" t="inlineStr">
        <is>
          <t>Professor</t>
        </is>
      </c>
      <c r="G147" s="5" t="inlineStr">
        <is>
          <t>Supporting</t>
        </is>
      </c>
      <c r="H147" s="5" t="inlineStr">
        <is>
          <t>Medium</t>
        </is>
      </c>
      <c r="I147" s="5" t="inlineStr">
        <is>
          <t>The astrology expert whose predictions shape what the family does about Savitri's marriage.</t>
        </is>
      </c>
      <c r="J147" s="5" t="inlineStr">
        <is>
          <t>Supplies the prophecy of the husband's early death that gives the obsession its logic.</t>
        </is>
      </c>
      <c r="K147" s="19" t="inlineStr">
        <is>
          <t>An astrologer, father of Savitri's friend, who predicts good fortune for Chandar and a bad phase for his mother and refuses to say anything about Savitri.</t>
        </is>
      </c>
      <c r="L147" s="5" t="n"/>
      <c r="M147" s="5" t="inlineStr">
        <is>
          <t>SOURCE-020</t>
        </is>
      </c>
    </row>
    <row r="148" ht="49" customHeight="1">
      <c r="A148" s="15" t="inlineStr">
        <is>
          <t>CAST-147</t>
        </is>
      </c>
      <c r="B148" s="18" t="inlineStr">
        <is>
          <t>FILM-022</t>
        </is>
      </c>
      <c r="C148" s="5" t="inlineStr">
        <is>
          <t>Badaltey Rishtey</t>
        </is>
      </c>
      <c r="D148" s="17" t="n">
        <v>1978</v>
      </c>
      <c r="E148" s="5" t="inlineStr">
        <is>
          <t>Dina Pathak</t>
        </is>
      </c>
      <c r="F148" s="5" t="inlineStr">
        <is>
          <t>Mrs. Thakur</t>
        </is>
      </c>
      <c r="G148" s="5" t="inlineStr">
        <is>
          <t>Family</t>
        </is>
      </c>
      <c r="H148" s="5" t="inlineStr">
        <is>
          <t>Medium</t>
        </is>
      </c>
      <c r="I148" s="5" t="inlineStr">
        <is>
          <t>Savitri's mother, the family authority over the match.</t>
        </is>
      </c>
      <c r="J148" s="5" t="inlineStr">
        <is>
          <t>The household the wealthier suitor is preferred by.</t>
        </is>
      </c>
      <c r="K148" s="19" t="inlineStr">
        <is>
          <t>Savitri's mother, in the family the astrologer predicts a bad phase for, and the authority the marriage is arranged through.</t>
        </is>
      </c>
      <c r="L148" s="5" t="n"/>
      <c r="M148" s="5" t="inlineStr">
        <is>
          <t>SOURCE-020</t>
        </is>
      </c>
    </row>
    <row r="149" ht="34" customHeight="1">
      <c r="A149" s="15" t="inlineStr">
        <is>
          <t>CAST-148</t>
        </is>
      </c>
      <c r="B149" s="18" t="inlineStr">
        <is>
          <t>FILM-022</t>
        </is>
      </c>
      <c r="C149" s="5" t="inlineStr">
        <is>
          <t>Badaltey Rishtey</t>
        </is>
      </c>
      <c r="D149" s="17" t="n">
        <v>1978</v>
      </c>
      <c r="E149" s="5" t="inlineStr">
        <is>
          <t>Pinchoo Kapoor</t>
        </is>
      </c>
      <c r="F149" s="5" t="inlineStr">
        <is>
          <t>Colonel</t>
        </is>
      </c>
      <c r="G149" s="5" t="inlineStr">
        <is>
          <t>Authority figure</t>
        </is>
      </c>
      <c r="H149" s="5" t="inlineStr">
        <is>
          <t>Minor</t>
        </is>
      </c>
      <c r="I149" s="5" t="inlineStr">
        <is>
          <t>A credited authority figure in the world around the courtship.</t>
        </is>
      </c>
      <c r="J149" s="5" t="inlineStr">
        <is>
          <t>No documented part in the pairing.</t>
        </is>
      </c>
      <c r="K149" s="19" t="inlineStr">
        <is>
          <t>Credited as the Colonel, among the supporting ranks of the film's social world.</t>
        </is>
      </c>
      <c r="L149" s="5" t="n"/>
      <c r="M149" s="5" t="inlineStr">
        <is>
          <t>SOURCE-020</t>
        </is>
      </c>
    </row>
    <row r="150" ht="34" customHeight="1">
      <c r="A150" s="15" t="inlineStr">
        <is>
          <t>CAST-149</t>
        </is>
      </c>
      <c r="B150" s="18" t="inlineStr">
        <is>
          <t>FILM-022</t>
        </is>
      </c>
      <c r="C150" s="5" t="inlineStr">
        <is>
          <t>Badaltey Rishtey</t>
        </is>
      </c>
      <c r="D150" s="17" t="n">
        <v>1978</v>
      </c>
      <c r="E150" s="5" t="inlineStr">
        <is>
          <t>Shubha Khote</t>
        </is>
      </c>
      <c r="F150" s="5" t="inlineStr">
        <is>
          <t>Urmila Bipin Singh</t>
        </is>
      </c>
      <c r="G150" s="5" t="inlineStr">
        <is>
          <t>Supporting</t>
        </is>
      </c>
      <c r="H150" s="5" t="inlineStr">
        <is>
          <t>Minor</t>
        </is>
      </c>
      <c r="I150" s="5" t="inlineStr">
        <is>
          <t>A credited supporting presence; the synopsis does not place her.</t>
        </is>
      </c>
      <c r="J150" s="5" t="inlineStr">
        <is>
          <t>No documented part in the pairing.</t>
        </is>
      </c>
      <c r="K150" s="19" t="inlineStr">
        <is>
          <t>Credited as Urmila Bipin Singh, with Urmila Bhatt as Mrs. Raghuvir Singh, in the film's supporting households.</t>
        </is>
      </c>
      <c r="L150" s="5" t="n"/>
      <c r="M150" s="5" t="inlineStr">
        <is>
          <t>SOURCE-020</t>
        </is>
      </c>
    </row>
    <row r="151" ht="64" customHeight="1">
      <c r="A151" s="15" t="inlineStr">
        <is>
          <t>CAST-150</t>
        </is>
      </c>
      <c r="B151" s="18" t="inlineStr">
        <is>
          <t>FILM-023</t>
        </is>
      </c>
      <c r="C151" s="5" t="inlineStr">
        <is>
          <t>Sargam</t>
        </is>
      </c>
      <c r="D151" s="17" t="n">
        <v>1979</v>
      </c>
      <c r="E151" s="5" t="inlineStr">
        <is>
          <t>Jaya Prada</t>
        </is>
      </c>
      <c r="F151" s="5" t="inlineStr">
        <is>
          <t>Hema Pradhan</t>
        </is>
      </c>
      <c r="G151" s="5" t="inlineStr">
        <is>
          <t>Co-lead</t>
        </is>
      </c>
      <c r="H151" s="5" t="inlineStr">
        <is>
          <t>Major</t>
        </is>
      </c>
      <c r="I151" s="5" t="inlineStr">
        <is>
          <t>The mute daughter of Raju's old schoolmaster, whom he cheers, defends and finally takes away from the house she is thrown out of.</t>
        </is>
      </c>
      <c r="J151" s="5" t="inlineStr">
        <is>
          <t>The whole of the pairing in Romances, in which protection rather than courtship is the dominant note.</t>
        </is>
      </c>
      <c r="K151" s="19" t="inlineStr">
        <is>
          <t>A mute girl who outdances her stepsister and is forbidden to dance for it, loses her father, is turned out by her stepmother, and is supported by Raju until the family is reconciled.</t>
        </is>
      </c>
      <c r="L151" s="5" t="inlineStr">
        <is>
          <t>Jaya Prada's Hindi-film breakthrough, and the role the film's dafli songs are built around.</t>
        </is>
      </c>
      <c r="M151" s="5" t="inlineStr">
        <is>
          <t>SOURCE-024</t>
        </is>
      </c>
    </row>
    <row r="152" ht="64" customHeight="1">
      <c r="A152" s="15" t="inlineStr">
        <is>
          <t>CAST-151</t>
        </is>
      </c>
      <c r="B152" s="18" t="inlineStr">
        <is>
          <t>FILM-023</t>
        </is>
      </c>
      <c r="C152" s="5" t="inlineStr">
        <is>
          <t>Sargam</t>
        </is>
      </c>
      <c r="D152" s="17" t="n">
        <v>1979</v>
      </c>
      <c r="E152" s="5" t="inlineStr">
        <is>
          <t>Shashikala</t>
        </is>
      </c>
      <c r="F152" s="5" t="inlineStr">
        <is>
          <t>Savitri Pradhan, the stepmother</t>
        </is>
      </c>
      <c r="G152" s="5" t="inlineStr">
        <is>
          <t>Antagonist</t>
        </is>
      </c>
      <c r="H152" s="5" t="inlineStr">
        <is>
          <t>Major</t>
        </is>
      </c>
      <c r="I152" s="5" t="inlineStr">
        <is>
          <t>The household authority Raju's protection of Hema is conducted against.</t>
        </is>
      </c>
      <c r="J152" s="5" t="inlineStr">
        <is>
          <t>The principal external opposition, and the figure the ending reconciles.</t>
        </is>
      </c>
      <c r="K152" s="19" t="inlineStr">
        <is>
          <t>A stepmother who wants stardom for her own daughter, forbids Hema to learn dance when the girl proves the better talent, turns her out when the father dies, and is reconciled at the end.</t>
        </is>
      </c>
      <c r="L152" s="5" t="n"/>
      <c r="M152" s="5" t="inlineStr">
        <is>
          <t>SOURCE-024</t>
        </is>
      </c>
    </row>
    <row r="153" ht="49" customHeight="1">
      <c r="A153" s="15" t="inlineStr">
        <is>
          <t>CAST-152</t>
        </is>
      </c>
      <c r="B153" s="18" t="inlineStr">
        <is>
          <t>FILM-023</t>
        </is>
      </c>
      <c r="C153" s="5" t="inlineStr">
        <is>
          <t>Sargam</t>
        </is>
      </c>
      <c r="D153" s="17" t="n">
        <v>1979</v>
      </c>
      <c r="E153" s="5" t="inlineStr">
        <is>
          <t>Shreeram Lagoo</t>
        </is>
      </c>
      <c r="F153" s="5" t="inlineStr">
        <is>
          <t>Masterji Chintamani Pradhan</t>
        </is>
      </c>
      <c r="G153" s="5" t="inlineStr">
        <is>
          <t>Mentor</t>
        </is>
      </c>
      <c r="H153" s="5" t="inlineStr">
        <is>
          <t>Major</t>
        </is>
      </c>
      <c r="I153" s="5" t="inlineStr">
        <is>
          <t>Raju's old schoolteacher, whose visit brings him into the house, and Hema's father.</t>
        </is>
      </c>
      <c r="J153" s="5" t="inlineStr">
        <is>
          <t>His death removes the one protection Hema has and makes Raju's the only one left.</t>
        </is>
      </c>
      <c r="K153" s="19" t="inlineStr">
        <is>
          <t>A schoolteacher whose former pupil Raju keeps coming back to see, and whose death leaves his mute daughter at her stepmother's mercy.</t>
        </is>
      </c>
      <c r="L153" s="5" t="n"/>
      <c r="M153" s="5" t="inlineStr">
        <is>
          <t>SOURCE-024</t>
        </is>
      </c>
    </row>
    <row r="154" ht="64" customHeight="1">
      <c r="A154" s="15" t="inlineStr">
        <is>
          <t>CAST-153</t>
        </is>
      </c>
      <c r="B154" s="18" t="inlineStr">
        <is>
          <t>FILM-023</t>
        </is>
      </c>
      <c r="C154" s="5" t="inlineStr">
        <is>
          <t>Sargam</t>
        </is>
      </c>
      <c r="D154" s="17" t="n">
        <v>1979</v>
      </c>
      <c r="E154" s="5" t="inlineStr">
        <is>
          <t>Aruna Irani</t>
        </is>
      </c>
      <c r="F154" s="5" t="inlineStr">
        <is>
          <t>Kusum</t>
        </is>
      </c>
      <c r="G154" s="5" t="inlineStr">
        <is>
          <t>Supporting</t>
        </is>
      </c>
      <c r="H154" s="5" t="inlineStr">
        <is>
          <t>Medium</t>
        </is>
      </c>
      <c r="I154" s="5" t="inlineStr">
        <is>
          <t>The woman Raju rescues one night from a man, and whose account of her husband explains the film's second antagonist.</t>
        </is>
      </c>
      <c r="J154" s="5" t="inlineStr">
        <is>
          <t>Outside the pairing, but the source of the grudge that threatens Raju at the climax.</t>
        </is>
      </c>
      <c r="K154" s="19" t="inlineStr">
        <is>
          <t>A woman forced by her husband Prakash to spend the night with another man, saved by Raju, and the reason Prakash hunts him.</t>
        </is>
      </c>
      <c r="L154" s="5" t="n"/>
      <c r="M154" s="5" t="inlineStr">
        <is>
          <t>SOURCE-024</t>
        </is>
      </c>
    </row>
    <row r="155" ht="49" customHeight="1">
      <c r="A155" s="15" t="inlineStr">
        <is>
          <t>CAST-154</t>
        </is>
      </c>
      <c r="B155" s="18" t="inlineStr">
        <is>
          <t>FILM-023</t>
        </is>
      </c>
      <c r="C155" s="5" t="inlineStr">
        <is>
          <t>Sargam</t>
        </is>
      </c>
      <c r="D155" s="17" t="n">
        <v>1979</v>
      </c>
      <c r="E155" s="5" t="inlineStr">
        <is>
          <t>Shakti Kapoor</t>
        </is>
      </c>
      <c r="F155" s="5" t="inlineStr">
        <is>
          <t>Prakash</t>
        </is>
      </c>
      <c r="G155" s="5" t="inlineStr">
        <is>
          <t>Antagonist</t>
        </is>
      </c>
      <c r="H155" s="5" t="inlineStr">
        <is>
          <t>Medium</t>
        </is>
      </c>
      <c r="I155" s="5" t="inlineStr">
        <is>
          <t>Kusum's husband, who holds a grudge for the rescue and attacks Raju at the end.</t>
        </is>
      </c>
      <c r="J155" s="5" t="inlineStr">
        <is>
          <t>Supplies the physical danger of the climax rather than opposition to the pairing.</t>
        </is>
      </c>
      <c r="K155" s="19" t="inlineStr">
        <is>
          <t>The man who prostituted his wife, humiliated by Raju's intervention, and who attacks him in the final scenes before the police arrive.</t>
        </is>
      </c>
      <c r="L155" s="5" t="n"/>
      <c r="M155" s="5" t="inlineStr">
        <is>
          <t>SOURCE-024</t>
        </is>
      </c>
    </row>
    <row r="156" ht="49" customHeight="1">
      <c r="A156" s="15" t="inlineStr">
        <is>
          <t>CAST-155</t>
        </is>
      </c>
      <c r="B156" s="18" t="inlineStr">
        <is>
          <t>FILM-023</t>
        </is>
      </c>
      <c r="C156" s="5" t="inlineStr">
        <is>
          <t>Sargam</t>
        </is>
      </c>
      <c r="D156" s="17" t="n">
        <v>1979</v>
      </c>
      <c r="E156" s="5" t="inlineStr">
        <is>
          <t>Rajni Sharma</t>
        </is>
      </c>
      <c r="F156" s="5" t="inlineStr">
        <is>
          <t>Champa Pradhan</t>
        </is>
      </c>
      <c r="G156" s="5" t="inlineStr">
        <is>
          <t>Family</t>
        </is>
      </c>
      <c r="H156" s="5" t="inlineStr">
        <is>
          <t>Medium</t>
        </is>
      </c>
      <c r="I156" s="5" t="inlineStr">
        <is>
          <t>Hema's stepsister, the daughter her mother is pushing towards stardom.</t>
        </is>
      </c>
      <c r="J156" s="5" t="inlineStr">
        <is>
          <t>Part of the household opposition, and reconciled with it at the end.</t>
        </is>
      </c>
      <c r="K156" s="19" t="inlineStr">
        <is>
          <t>The stepsister given classical dance lessons, outshone by Hema, and taken to the city with her mother on a search for work that turns out to be a con.</t>
        </is>
      </c>
      <c r="L156" s="5" t="n"/>
      <c r="M156" s="5" t="inlineStr">
        <is>
          <t>SOURCE-024</t>
        </is>
      </c>
    </row>
    <row r="157" ht="34" customHeight="1">
      <c r="A157" s="15" t="inlineStr">
        <is>
          <t>CAST-156</t>
        </is>
      </c>
      <c r="B157" s="18" t="inlineStr">
        <is>
          <t>FILM-023</t>
        </is>
      </c>
      <c r="C157" s="5" t="inlineStr">
        <is>
          <t>Sargam</t>
        </is>
      </c>
      <c r="D157" s="17" t="n">
        <v>1979</v>
      </c>
      <c r="E157" s="5" t="inlineStr">
        <is>
          <t>Leela Mishra</t>
        </is>
      </c>
      <c r="F157" s="5" t="inlineStr">
        <is>
          <t>Mausi</t>
        </is>
      </c>
      <c r="G157" s="5" t="inlineStr">
        <is>
          <t>Family</t>
        </is>
      </c>
      <c r="H157" s="5" t="inlineStr">
        <is>
          <t>Minor</t>
        </is>
      </c>
      <c r="I157" s="5" t="inlineStr">
        <is>
          <t>A credited family presence in the village world of the film.</t>
        </is>
      </c>
      <c r="J157" s="5" t="inlineStr">
        <is>
          <t>No direct part in the pairing.</t>
        </is>
      </c>
      <c r="K157" s="19" t="inlineStr">
        <is>
          <t>Credited as Mausi, in the village household register the actress specialised in.</t>
        </is>
      </c>
      <c r="L157" s="5" t="n"/>
      <c r="M157" s="5" t="inlineStr">
        <is>
          <t>SOURCE-024</t>
        </is>
      </c>
    </row>
    <row r="158" ht="49" customHeight="1">
      <c r="A158" s="15" t="inlineStr">
        <is>
          <t>CAST-157</t>
        </is>
      </c>
      <c r="B158" s="18" t="inlineStr">
        <is>
          <t>FILM-024</t>
        </is>
      </c>
      <c r="C158" s="5" t="inlineStr">
        <is>
          <t>Salaam Memsaab</t>
        </is>
      </c>
      <c r="D158" s="17" t="n">
        <v>1979</v>
      </c>
      <c r="E158" s="5" t="inlineStr">
        <is>
          <t>Zarina Wahab</t>
        </is>
      </c>
      <c r="F158" s="5" t="inlineStr">
        <is>
          <t>Radha</t>
        </is>
      </c>
      <c r="G158" s="5" t="inlineStr">
        <is>
          <t>Co-lead</t>
        </is>
      </c>
      <c r="H158" s="5" t="inlineStr">
        <is>
          <t>Major</t>
        </is>
      </c>
      <c r="I158" s="5" t="inlineStr">
        <is>
          <t>The film's female protagonist; Kapoor's guest appearance stands outside the story.</t>
        </is>
      </c>
      <c r="J158" s="5" t="inlineStr">
        <is>
          <t>Carries what romantic interest the film has, outside Kapoor's appearance.</t>
        </is>
      </c>
      <c r="K158" s="19" t="inlineStr">
        <is>
          <t>A street singer content with hard work and her own life, set against her partner's appetite for quick wealth.</t>
        </is>
      </c>
      <c r="L158" s="5" t="n"/>
      <c r="M158" s="5" t="inlineStr">
        <is>
          <t>SOURCE-027</t>
        </is>
      </c>
    </row>
    <row r="159" ht="49" customHeight="1">
      <c r="A159" s="15" t="inlineStr">
        <is>
          <t>CAST-158</t>
        </is>
      </c>
      <c r="B159" s="18" t="inlineStr">
        <is>
          <t>FILM-024</t>
        </is>
      </c>
      <c r="C159" s="5" t="inlineStr">
        <is>
          <t>Salaam Memsaab</t>
        </is>
      </c>
      <c r="D159" s="17" t="n">
        <v>1979</v>
      </c>
      <c r="E159" s="5" t="inlineStr">
        <is>
          <t>Asrani</t>
        </is>
      </c>
      <c r="F159" s="5" t="inlineStr">
        <is>
          <t>Sunder</t>
        </is>
      </c>
      <c r="G159" s="5" t="inlineStr">
        <is>
          <t>Co-lead</t>
        </is>
      </c>
      <c r="H159" s="5" t="inlineStr">
        <is>
          <t>Major</t>
        </is>
      </c>
      <c r="I159" s="5" t="inlineStr">
        <is>
          <t>The film's protagonist, in a story Kapoor only passes through.</t>
        </is>
      </c>
      <c r="J159" s="5" t="inlineStr">
        <is>
          <t>Holds the film's central relationship with Radha.</t>
        </is>
      </c>
      <c r="K159" s="19" t="inlineStr">
        <is>
          <t>A street singer outside the Taj Mahal hotel who dreams of quick riches and gets a temporary taste of them by winning a week's stay at a five-star hotel.</t>
        </is>
      </c>
      <c r="L159" s="5" t="n"/>
      <c r="M159" s="5" t="inlineStr">
        <is>
          <t>SOURCE-027</t>
        </is>
      </c>
    </row>
    <row r="160" ht="34" customHeight="1">
      <c r="A160" s="15" t="inlineStr">
        <is>
          <t>CAST-159</t>
        </is>
      </c>
      <c r="B160" s="18" t="inlineStr">
        <is>
          <t>FILM-024</t>
        </is>
      </c>
      <c r="C160" s="5" t="inlineStr">
        <is>
          <t>Salaam Memsaab</t>
        </is>
      </c>
      <c r="D160" s="17" t="n">
        <v>1979</v>
      </c>
      <c r="E160" s="5" t="inlineStr">
        <is>
          <t>Sunil Dutt</t>
        </is>
      </c>
      <c r="F160" s="5" t="inlineStr">
        <is>
          <t>Himself</t>
        </is>
      </c>
      <c r="G160" s="5" t="inlineStr">
        <is>
          <t>Cameo</t>
        </is>
      </c>
      <c r="H160" s="5" t="inlineStr">
        <is>
          <t>Minor</t>
        </is>
      </c>
      <c r="I160" s="5" t="inlineStr">
        <is>
          <t>A star guest appearance in the same register as Kapoor's.</t>
        </is>
      </c>
      <c r="J160" s="5" t="inlineStr">
        <is>
          <t>No part in the story.</t>
        </is>
      </c>
      <c r="K160" s="19" t="inlineStr">
        <is>
          <t>Credited as a guest appearance alongside Kapoor's, in a film whose plot belongs to the street singers.</t>
        </is>
      </c>
      <c r="L160" s="5" t="n"/>
      <c r="M160" s="5" t="inlineStr">
        <is>
          <t>SOURCE-027</t>
        </is>
      </c>
    </row>
    <row r="161" ht="34" customHeight="1">
      <c r="A161" s="15" t="inlineStr">
        <is>
          <t>CAST-160</t>
        </is>
      </c>
      <c r="B161" s="18" t="inlineStr">
        <is>
          <t>FILM-024</t>
        </is>
      </c>
      <c r="C161" s="5" t="inlineStr">
        <is>
          <t>Salaam Memsaab</t>
        </is>
      </c>
      <c r="D161" s="17" t="n">
        <v>1979</v>
      </c>
      <c r="E161" s="5" t="inlineStr">
        <is>
          <t>Yogeeta Bali</t>
        </is>
      </c>
      <c r="F161" s="5" t="inlineStr">
        <is>
          <t>Sunita Sarit</t>
        </is>
      </c>
      <c r="G161" s="5" t="inlineStr">
        <is>
          <t>Supporting</t>
        </is>
      </c>
      <c r="H161" s="5" t="inlineStr">
        <is>
          <t>Medium</t>
        </is>
      </c>
      <c r="I161" s="5" t="inlineStr">
        <is>
          <t>Credited in the wealthy world the protagonist briefly enters.</t>
        </is>
      </c>
      <c r="J161" s="5" t="inlineStr">
        <is>
          <t>No documented part in the central relationship.</t>
        </is>
      </c>
      <c r="K161" s="19" t="inlineStr">
        <is>
          <t>Credited as Sunita Sarit, among the rich and famous Sunder comes into contact with at the hotel.</t>
        </is>
      </c>
      <c r="L161" s="5" t="n"/>
      <c r="M161" s="5" t="inlineStr">
        <is>
          <t>SOURCE-027</t>
        </is>
      </c>
    </row>
    <row r="162" ht="34" customHeight="1">
      <c r="A162" s="15" t="inlineStr">
        <is>
          <t>CAST-161</t>
        </is>
      </c>
      <c r="B162" s="18" t="inlineStr">
        <is>
          <t>FILM-024</t>
        </is>
      </c>
      <c r="C162" s="5" t="inlineStr">
        <is>
          <t>Salaam Memsaab</t>
        </is>
      </c>
      <c r="D162" s="17" t="n">
        <v>1979</v>
      </c>
      <c r="E162" s="5" t="inlineStr">
        <is>
          <t>Ranjeet</t>
        </is>
      </c>
      <c r="F162" s="5" t="inlineStr">
        <is>
          <t>Gopal</t>
        </is>
      </c>
      <c r="G162" s="5" t="inlineStr">
        <is>
          <t>Antagonist</t>
        </is>
      </c>
      <c r="H162" s="5" t="inlineStr">
        <is>
          <t>Medium</t>
        </is>
      </c>
      <c r="I162" s="5" t="inlineStr">
        <is>
          <t>The film's credited antagonist, opposite the street singers.</t>
        </is>
      </c>
      <c r="J162" s="5" t="inlineStr">
        <is>
          <t>No documented part in the central relationship.</t>
        </is>
      </c>
      <c r="K162" s="19" t="inlineStr">
        <is>
          <t>Credited as Gopal, in the opposition around the hotel world the film satirises.</t>
        </is>
      </c>
      <c r="L162" s="5" t="n"/>
      <c r="M162" s="5" t="inlineStr">
        <is>
          <t>SOURCE-027</t>
        </is>
      </c>
    </row>
    <row r="163" ht="34" customHeight="1">
      <c r="A163" s="15" t="inlineStr">
        <is>
          <t>CAST-162</t>
        </is>
      </c>
      <c r="B163" s="18" t="inlineStr">
        <is>
          <t>FILM-024</t>
        </is>
      </c>
      <c r="C163" s="5" t="inlineStr">
        <is>
          <t>Salaam Memsaab</t>
        </is>
      </c>
      <c r="D163" s="17" t="n">
        <v>1979</v>
      </c>
      <c r="E163" s="5" t="inlineStr">
        <is>
          <t>Rehman</t>
        </is>
      </c>
      <c r="F163" s="5" t="inlineStr">
        <is>
          <t>Mr. Mehra</t>
        </is>
      </c>
      <c r="G163" s="5" t="inlineStr">
        <is>
          <t>Authority figure</t>
        </is>
      </c>
      <c r="H163" s="5" t="inlineStr">
        <is>
          <t>Minor</t>
        </is>
      </c>
      <c r="I163" s="5" t="inlineStr">
        <is>
          <t>A credited figure of the wealthy milieu.</t>
        </is>
      </c>
      <c r="J163" s="5" t="inlineStr">
        <is>
          <t>No part in the story's relationships.</t>
        </is>
      </c>
      <c r="K163" s="19" t="inlineStr">
        <is>
          <t>Credited as Mr. Mehra, among the film's rich characters, with Tom Alter and Dalip Tahil in smaller parts.</t>
        </is>
      </c>
      <c r="L163" s="5" t="n"/>
      <c r="M163" s="5" t="inlineStr">
        <is>
          <t>SOURCE-027</t>
        </is>
      </c>
    </row>
    <row r="164" ht="94" customHeight="1">
      <c r="A164" s="15" t="inlineStr">
        <is>
          <t>CAST-163</t>
        </is>
      </c>
      <c r="B164" s="18" t="inlineStr">
        <is>
          <t>FILM-025</t>
        </is>
      </c>
      <c r="C164" s="5" t="inlineStr">
        <is>
          <t>Jhoota Kahin Ka</t>
        </is>
      </c>
      <c r="D164" s="17" t="n">
        <v>1979</v>
      </c>
      <c r="E164" s="5" t="inlineStr">
        <is>
          <t>Neetu Singh</t>
        </is>
      </c>
      <c r="F164" s="5" t="inlineStr">
        <is>
          <t>Sheetal Khanna</t>
        </is>
      </c>
      <c r="G164" s="5" t="inlineStr">
        <is>
          <t>Co-lead</t>
        </is>
      </c>
      <c r="H164" s="5" t="inlineStr">
        <is>
          <t>Major</t>
        </is>
      </c>
      <c r="I164" s="5" t="inlineStr">
        <is>
          <t>The wealthy woman Ajay's whole confidence game is aimed at, and whose possible marriage to him triggers the conspiracy against him.</t>
        </is>
      </c>
      <c r="J164" s="5" t="inlineStr">
        <is>
          <t>The whole of the pairing in Romances, founded on his lies and damaged by them; the cast list confusingly credits her as 'Anita Verma / Sheetal Khanna' while also listing Neelima as Anita Verma.</t>
        </is>
      </c>
      <c r="K164" s="19" t="inlineStr">
        <is>
          <t>The heiress Ajay dreams of marrying and Vikram works for and hopes to marry, and the prize over which the two estranged brothers are set against each other.</t>
        </is>
      </c>
      <c r="L164" s="5" t="n"/>
      <c r="M164" s="5" t="inlineStr">
        <is>
          <t>SOURCE-025</t>
        </is>
      </c>
    </row>
    <row r="165" ht="64" customHeight="1">
      <c r="A165" s="15" t="inlineStr">
        <is>
          <t>CAST-164</t>
        </is>
      </c>
      <c r="B165" s="18" t="inlineStr">
        <is>
          <t>FILM-025</t>
        </is>
      </c>
      <c r="C165" s="5" t="inlineStr">
        <is>
          <t>Jhoota Kahin Ka</t>
        </is>
      </c>
      <c r="D165" s="17" t="n">
        <v>1979</v>
      </c>
      <c r="E165" s="5" t="inlineStr">
        <is>
          <t>Rakesh Roshan</t>
        </is>
      </c>
      <c r="F165" s="5" t="inlineStr">
        <is>
          <t>Vijay Rai, as Vikram</t>
        </is>
      </c>
      <c r="G165" s="5" t="inlineStr">
        <is>
          <t>Antagonist</t>
        </is>
      </c>
      <c r="H165" s="5" t="inlineStr">
        <is>
          <t>Major</t>
        </is>
      </c>
      <c r="I165" s="5" t="inlineStr">
        <is>
          <t>Ajay's own brother, separated in the shipwreck and now living under another name as his rival and his framer.</t>
        </is>
      </c>
      <c r="J165" s="5" t="inlineStr">
        <is>
          <t>The rival claim on Sheetal, and the author of the frame that wrecks Ajay's standing with her.</t>
        </is>
      </c>
      <c r="K165" s="19" t="inlineStr">
        <is>
          <t>The lost Rai son, grown up as Vikram in Sheetal Khanna's employ, who refuses to marry the pregnant Mala, is blackmailed over her death, and teams up with the blackmailer against his brother.</t>
        </is>
      </c>
      <c r="L165" s="5" t="n"/>
      <c r="M165" s="5" t="inlineStr">
        <is>
          <t>SOURCE-025</t>
        </is>
      </c>
    </row>
    <row r="166" ht="49" customHeight="1">
      <c r="A166" s="15" t="inlineStr">
        <is>
          <t>CAST-165</t>
        </is>
      </c>
      <c r="B166" s="18" t="inlineStr">
        <is>
          <t>FILM-025</t>
        </is>
      </c>
      <c r="C166" s="5" t="inlineStr">
        <is>
          <t>Jhoota Kahin Ka</t>
        </is>
      </c>
      <c r="D166" s="17" t="n">
        <v>1979</v>
      </c>
      <c r="E166" s="5" t="inlineStr">
        <is>
          <t>Prem Chopra</t>
        </is>
      </c>
      <c r="F166" s="5" t="inlineStr">
        <is>
          <t>Prem</t>
        </is>
      </c>
      <c r="G166" s="5" t="inlineStr">
        <is>
          <t>Antagonist</t>
        </is>
      </c>
      <c r="H166" s="5" t="inlineStr">
        <is>
          <t>Major</t>
        </is>
      </c>
      <c r="I166" s="5" t="inlineStr">
        <is>
          <t>The blackmailer who joins Vikram against Ajay.</t>
        </is>
      </c>
      <c r="J166" s="5" t="inlineStr">
        <is>
          <t>Part of the machinery that destroys the courtship.</t>
        </is>
      </c>
      <c r="K166" s="19" t="inlineStr">
        <is>
          <t>A man who claims to have seen Vikram kill Mala, blackmails him over it, and then allies with him to frame Ajay when Sheetal's marriage threatens their plans.</t>
        </is>
      </c>
      <c r="L166" s="5" t="n"/>
      <c r="M166" s="5" t="inlineStr">
        <is>
          <t>SOURCE-025</t>
        </is>
      </c>
    </row>
    <row r="167" ht="49" customHeight="1">
      <c r="A167" s="15" t="inlineStr">
        <is>
          <t>CAST-166</t>
        </is>
      </c>
      <c r="B167" s="18" t="inlineStr">
        <is>
          <t>FILM-025</t>
        </is>
      </c>
      <c r="C167" s="5" t="inlineStr">
        <is>
          <t>Jhoota Kahin Ka</t>
        </is>
      </c>
      <c r="D167" s="17" t="n">
        <v>1979</v>
      </c>
      <c r="E167" s="5" t="inlineStr">
        <is>
          <t>Om Shivpuri</t>
        </is>
      </c>
      <c r="F167" s="5" t="inlineStr">
        <is>
          <t>Rai</t>
        </is>
      </c>
      <c r="G167" s="5" t="inlineStr">
        <is>
          <t>Family</t>
        </is>
      </c>
      <c r="H167" s="5" t="inlineStr">
        <is>
          <t>Medium</t>
        </is>
      </c>
      <c r="I167" s="5" t="inlineStr">
        <is>
          <t>Ajay's father, separated from him in the shipwreck and raised into wealth elsewhere.</t>
        </is>
      </c>
      <c r="J167" s="5" t="inlineStr">
        <is>
          <t>Belongs to the lost-family plot rather than to the courtship.</t>
        </is>
      </c>
      <c r="K167" s="19" t="inlineStr">
        <is>
          <t>The father of the Rai family, rescued from the wreck by Jagatnarayan Khanna, treated well and made a business partner while his sons grow up apart.</t>
        </is>
      </c>
      <c r="L167" s="5" t="n"/>
      <c r="M167" s="5" t="inlineStr">
        <is>
          <t>SOURCE-025</t>
        </is>
      </c>
    </row>
    <row r="168" ht="34" customHeight="1">
      <c r="A168" s="15" t="inlineStr">
        <is>
          <t>CAST-167</t>
        </is>
      </c>
      <c r="B168" s="18" t="inlineStr">
        <is>
          <t>FILM-025</t>
        </is>
      </c>
      <c r="C168" s="5" t="inlineStr">
        <is>
          <t>Jhoota Kahin Ka</t>
        </is>
      </c>
      <c r="D168" s="17" t="n">
        <v>1979</v>
      </c>
      <c r="E168" s="5" t="inlineStr">
        <is>
          <t>Indrani Mukherjee</t>
        </is>
      </c>
      <c r="F168" s="5" t="inlineStr">
        <is>
          <t>Mrs. Shanti Rai</t>
        </is>
      </c>
      <c r="G168" s="5" t="inlineStr">
        <is>
          <t>Family</t>
        </is>
      </c>
      <c r="H168" s="5" t="inlineStr">
        <is>
          <t>Medium</t>
        </is>
      </c>
      <c r="I168" s="5" t="inlineStr">
        <is>
          <t>The mother who stays with Ajay after the shipwreck.</t>
        </is>
      </c>
      <c r="J168" s="5" t="inlineStr">
        <is>
          <t>Outside the courtship.</t>
        </is>
      </c>
      <c r="K168" s="19" t="inlineStr">
        <is>
          <t>Ajay's mother, the one member of the family who remains with him after the ship capsizes.</t>
        </is>
      </c>
      <c r="L168" s="5" t="n"/>
      <c r="M168" s="5" t="inlineStr">
        <is>
          <t>SOURCE-025</t>
        </is>
      </c>
    </row>
    <row r="169" ht="49" customHeight="1">
      <c r="A169" s="15" t="inlineStr">
        <is>
          <t>CAST-168</t>
        </is>
      </c>
      <c r="B169" s="18" t="inlineStr">
        <is>
          <t>FILM-025</t>
        </is>
      </c>
      <c r="C169" s="5" t="inlineStr">
        <is>
          <t>Jhoota Kahin Ka</t>
        </is>
      </c>
      <c r="D169" s="17" t="n">
        <v>1979</v>
      </c>
      <c r="E169" s="5" t="inlineStr">
        <is>
          <t>Pinchoo Kapoor</t>
        </is>
      </c>
      <c r="F169" s="5" t="inlineStr">
        <is>
          <t>Jagatnarayan Khanna</t>
        </is>
      </c>
      <c r="G169" s="5" t="inlineStr">
        <is>
          <t>Authority figure</t>
        </is>
      </c>
      <c r="H169" s="5" t="inlineStr">
        <is>
          <t>Medium</t>
        </is>
      </c>
      <c r="I169" s="5" t="inlineStr">
        <is>
          <t>The wealthy man who rescues Ajay's father, and whose family name the heiress carries.</t>
        </is>
      </c>
      <c r="J169" s="5" t="inlineStr">
        <is>
          <t>Stands behind the fortune the courtship is aimed at.</t>
        </is>
      </c>
      <c r="K169" s="19" t="inlineStr">
        <is>
          <t>A wealthy man who pulls Rai from the sea, takes him home and makes him a business partner, linking the two halves of the plot.</t>
        </is>
      </c>
      <c r="L169" s="5" t="n"/>
      <c r="M169" s="5" t="inlineStr">
        <is>
          <t>SOURCE-025</t>
        </is>
      </c>
    </row>
    <row r="170" ht="49" customHeight="1">
      <c r="A170" s="15" t="inlineStr">
        <is>
          <t>CAST-169</t>
        </is>
      </c>
      <c r="B170" s="18" t="inlineStr">
        <is>
          <t>FILM-025</t>
        </is>
      </c>
      <c r="C170" s="5" t="inlineStr">
        <is>
          <t>Jhoota Kahin Ka</t>
        </is>
      </c>
      <c r="D170" s="17" t="n">
        <v>1979</v>
      </c>
      <c r="E170" s="5" t="inlineStr">
        <is>
          <t>Gauri Verma</t>
        </is>
      </c>
      <c r="F170" s="5" t="inlineStr">
        <is>
          <t>Mala</t>
        </is>
      </c>
      <c r="G170" s="5" t="inlineStr">
        <is>
          <t>Supporting</t>
        </is>
      </c>
      <c r="H170" s="5" t="inlineStr">
        <is>
          <t>Medium</t>
        </is>
      </c>
      <c r="I170" s="5" t="inlineStr">
        <is>
          <t>Outside Ajay's story, but the murder that drives the plot against him.</t>
        </is>
      </c>
      <c r="J170" s="5" t="inlineStr">
        <is>
          <t>Her death supplies the leverage that destroys Ajay's courtship.</t>
        </is>
      </c>
      <c r="K170" s="19" t="inlineStr">
        <is>
          <t>The woman Vikram has an affair with, who is refused marriage when she becomes pregnant and is killed shortly after the quarrel.</t>
        </is>
      </c>
      <c r="L170" s="5" t="n"/>
      <c r="M170" s="5" t="inlineStr">
        <is>
          <t>SOURCE-025</t>
        </is>
      </c>
    </row>
    <row r="171" ht="34" customHeight="1">
      <c r="A171" s="15" t="inlineStr">
        <is>
          <t>CAST-170</t>
        </is>
      </c>
      <c r="B171" s="18" t="inlineStr">
        <is>
          <t>FILM-025</t>
        </is>
      </c>
      <c r="C171" s="5" t="inlineStr">
        <is>
          <t>Jhoota Kahin Ka</t>
        </is>
      </c>
      <c r="D171" s="17" t="n">
        <v>1979</v>
      </c>
      <c r="E171" s="5" t="inlineStr">
        <is>
          <t>Iftekhar</t>
        </is>
      </c>
      <c r="F171" s="5" t="inlineStr">
        <is>
          <t>Police Inspector Shyam Kumar</t>
        </is>
      </c>
      <c r="G171" s="5" t="inlineStr">
        <is>
          <t>Authority figure</t>
        </is>
      </c>
      <c r="H171" s="5" t="inlineStr">
        <is>
          <t>Minor</t>
        </is>
      </c>
      <c r="I171" s="5" t="inlineStr">
        <is>
          <t>The investigating authority the frame is designed to satisfy.</t>
        </is>
      </c>
      <c r="J171" s="5" t="inlineStr">
        <is>
          <t>No direct part in the courtship.</t>
        </is>
      </c>
      <c r="K171" s="19" t="inlineStr">
        <is>
          <t>The police inspector on Mala's murder, in the plot that uses Ajay's reputation as a liar against him.</t>
        </is>
      </c>
      <c r="L171" s="5" t="n"/>
      <c r="M171" s="5" t="inlineStr">
        <is>
          <t>SOURCE-025</t>
        </is>
      </c>
    </row>
    <row r="172" ht="64" customHeight="1">
      <c r="A172" s="15" t="inlineStr">
        <is>
          <t>CAST-171</t>
        </is>
      </c>
      <c r="B172" s="18" t="inlineStr">
        <is>
          <t>FILM-026</t>
        </is>
      </c>
      <c r="C172" s="5" t="inlineStr">
        <is>
          <t>Duniya Meri Jeb Mein</t>
        </is>
      </c>
      <c r="D172" s="17" t="n">
        <v>1979</v>
      </c>
      <c r="E172" s="5" t="inlineStr">
        <is>
          <t>Shashi Kapoor</t>
        </is>
      </c>
      <c r="F172" s="5" t="inlineStr">
        <is>
          <t>Karan Khanna</t>
        </is>
      </c>
      <c r="G172" s="5" t="inlineStr">
        <is>
          <t>Co-lead</t>
        </is>
      </c>
      <c r="H172" s="5" t="inlineStr">
        <is>
          <t>Major</t>
        </is>
      </c>
      <c r="I172" s="5" t="inlineStr">
        <is>
          <t>Vishal's elder brother, the source of the wealth he believes in, and the man he nurses after the accident.</t>
        </is>
      </c>
      <c r="J172" s="5" t="inlineStr">
        <is>
          <t>His exposure destroys the standing on which the settled match rests.</t>
        </is>
      </c>
      <c r="K172" s="19" t="inlineStr">
        <is>
          <t>Believed by his brother to be a businessman, run over by a lorry and left without both legs, and revealed to have been a circus trapeze artist, a robbery suspect and the suspected killer of his brother's prospective father-in-law.</t>
        </is>
      </c>
      <c r="L172" s="5" t="n"/>
      <c r="M172" s="5" t="inlineStr">
        <is>
          <t>SOURCE-026</t>
        </is>
      </c>
    </row>
    <row r="173" ht="49" customHeight="1">
      <c r="A173" s="15" t="inlineStr">
        <is>
          <t>CAST-172</t>
        </is>
      </c>
      <c r="B173" s="18" t="inlineStr">
        <is>
          <t>FILM-026</t>
        </is>
      </c>
      <c r="C173" s="5" t="inlineStr">
        <is>
          <t>Duniya Meri Jeb Mein</t>
        </is>
      </c>
      <c r="D173" s="17" t="n">
        <v>1979</v>
      </c>
      <c r="E173" s="5" t="inlineStr">
        <is>
          <t>Neetu Singh</t>
        </is>
      </c>
      <c r="F173" s="5" t="inlineStr">
        <is>
          <t>Neeta</t>
        </is>
      </c>
      <c r="G173" s="5" t="inlineStr">
        <is>
          <t>Co-lead</t>
        </is>
      </c>
      <c r="H173" s="5" t="inlineStr">
        <is>
          <t>Major</t>
        </is>
      </c>
      <c r="I173" s="5" t="inlineStr">
        <is>
          <t>The heiress Vishal loves and is formally engaged to before her father is killed.</t>
        </is>
      </c>
      <c r="J173" s="5" t="inlineStr">
        <is>
          <t>The whole of the pairing in Romances, settled by the fathers and then undermined by the brother's secret.</t>
        </is>
      </c>
      <c r="K173" s="19" t="inlineStr">
        <is>
          <t>The only daughter of the wealthy widower Gulabchand, matched with Vishal by agreement between her father and his brother, and orphaned by the murder that implicates that brother.</t>
        </is>
      </c>
      <c r="L173" s="5" t="n"/>
      <c r="M173" s="5" t="inlineStr">
        <is>
          <t>SOURCE-026</t>
        </is>
      </c>
    </row>
    <row r="174" ht="49" customHeight="1">
      <c r="A174" s="15" t="inlineStr">
        <is>
          <t>CAST-173</t>
        </is>
      </c>
      <c r="B174" s="18" t="inlineStr">
        <is>
          <t>FILM-026</t>
        </is>
      </c>
      <c r="C174" s="5" t="inlineStr">
        <is>
          <t>Duniya Meri Jeb Mein</t>
        </is>
      </c>
      <c r="D174" s="17" t="n">
        <v>1979</v>
      </c>
      <c r="E174" s="5" t="inlineStr">
        <is>
          <t>Raj Mehra</t>
        </is>
      </c>
      <c r="F174" s="5" t="inlineStr">
        <is>
          <t>Gulabchand</t>
        </is>
      </c>
      <c r="G174" s="5" t="inlineStr">
        <is>
          <t>Family</t>
        </is>
      </c>
      <c r="H174" s="5" t="inlineStr">
        <is>
          <t>Medium</t>
        </is>
      </c>
      <c r="I174" s="5" t="inlineStr">
        <is>
          <t>Neeta's father, who settles the match with Vishal's brother and is then killed.</t>
        </is>
      </c>
      <c r="J174" s="5" t="inlineStr">
        <is>
          <t>Both the maker of the match and, by his murder, the reason it collapses.</t>
        </is>
      </c>
      <c r="K174" s="19" t="inlineStr">
        <is>
          <t>A wealthy widower who finalises his daughter's marriage with Karan and is killed, in a crime Karan is then suspected of.</t>
        </is>
      </c>
      <c r="L174" s="5" t="n"/>
      <c r="M174" s="5" t="inlineStr">
        <is>
          <t>SOURCE-026</t>
        </is>
      </c>
    </row>
    <row r="175" ht="49" customHeight="1">
      <c r="A175" s="15" t="inlineStr">
        <is>
          <t>CAST-174</t>
        </is>
      </c>
      <c r="B175" s="18" t="inlineStr">
        <is>
          <t>FILM-026</t>
        </is>
      </c>
      <c r="C175" s="5" t="inlineStr">
        <is>
          <t>Duniya Meri Jeb Mein</t>
        </is>
      </c>
      <c r="D175" s="17" t="n">
        <v>1979</v>
      </c>
      <c r="E175" s="5" t="inlineStr">
        <is>
          <t>Ranjeet</t>
        </is>
      </c>
      <c r="F175" s="5" t="inlineStr">
        <is>
          <t>Rawat</t>
        </is>
      </c>
      <c r="G175" s="5" t="inlineStr">
        <is>
          <t>Antagonist</t>
        </is>
      </c>
      <c r="H175" s="5" t="inlineStr">
        <is>
          <t>Major</t>
        </is>
      </c>
      <c r="I175" s="5" t="inlineStr">
        <is>
          <t>The film's credited antagonist, in the criminal plot behind the brother's double life.</t>
        </is>
      </c>
      <c r="J175" s="5" t="inlineStr">
        <is>
          <t>The external threat that overtakes the romance.</t>
        </is>
      </c>
      <c r="K175" s="19" t="inlineStr">
        <is>
          <t>Credited as Rawat, the antagonist of the robbery-and-murder plot the brothers are caught in.</t>
        </is>
      </c>
      <c r="L175" s="5" t="n"/>
      <c r="M175" s="5" t="inlineStr">
        <is>
          <t>SOURCE-026</t>
        </is>
      </c>
    </row>
    <row r="176" ht="49" customHeight="1">
      <c r="A176" s="15" t="inlineStr">
        <is>
          <t>CAST-175</t>
        </is>
      </c>
      <c r="B176" s="18" t="inlineStr">
        <is>
          <t>FILM-026</t>
        </is>
      </c>
      <c r="C176" s="5" t="inlineStr">
        <is>
          <t>Duniya Meri Jeb Mein</t>
        </is>
      </c>
      <c r="D176" s="17" t="n">
        <v>1979</v>
      </c>
      <c r="E176" s="5" t="inlineStr">
        <is>
          <t>Sudhir</t>
        </is>
      </c>
      <c r="F176" s="5" t="inlineStr">
        <is>
          <t>Inspector Yadav</t>
        </is>
      </c>
      <c r="G176" s="5" t="inlineStr">
        <is>
          <t>Authority figure</t>
        </is>
      </c>
      <c r="H176" s="5" t="inlineStr">
        <is>
          <t>Medium</t>
        </is>
      </c>
      <c r="I176" s="5" t="inlineStr">
        <is>
          <t>The officer who tells Vishal who his brother actually is.</t>
        </is>
      </c>
      <c r="J176" s="5" t="inlineStr">
        <is>
          <t>Delivers the revelation that the article's plot ends on.</t>
        </is>
      </c>
      <c r="K176" s="19" t="inlineStr">
        <is>
          <t>The police inspector who informs Vishal that Karan was never a businessman but a trapeze artist in Amar Circus, and a suspect in a robbery and a murder.</t>
        </is>
      </c>
      <c r="L176" s="5" t="n"/>
      <c r="M176" s="5" t="inlineStr">
        <is>
          <t>SOURCE-026</t>
        </is>
      </c>
    </row>
    <row r="177" ht="34" customHeight="1">
      <c r="A177" s="15" t="inlineStr">
        <is>
          <t>CAST-176</t>
        </is>
      </c>
      <c r="B177" s="18" t="inlineStr">
        <is>
          <t>FILM-026</t>
        </is>
      </c>
      <c r="C177" s="5" t="inlineStr">
        <is>
          <t>Duniya Meri Jeb Mein</t>
        </is>
      </c>
      <c r="D177" s="17" t="n">
        <v>1979</v>
      </c>
      <c r="E177" s="5" t="inlineStr">
        <is>
          <t>Nadira</t>
        </is>
      </c>
      <c r="F177" s="5" t="inlineStr">
        <is>
          <t>Mrs. Robins</t>
        </is>
      </c>
      <c r="G177" s="5" t="inlineStr">
        <is>
          <t>Supporting</t>
        </is>
      </c>
      <c r="H177" s="5" t="inlineStr">
        <is>
          <t>Minor</t>
        </is>
      </c>
      <c r="I177" s="5" t="inlineStr">
        <is>
          <t>A credited supporting figure in the film's social world.</t>
        </is>
      </c>
      <c r="J177" s="5" t="inlineStr">
        <is>
          <t>No documented part in the pairing.</t>
        </is>
      </c>
      <c r="K177" s="19" t="inlineStr">
        <is>
          <t>Credited as Mrs. Robins, in the wealthy milieu the brothers pass as part of.</t>
        </is>
      </c>
      <c r="L177" s="5" t="n"/>
      <c r="M177" s="5" t="inlineStr">
        <is>
          <t>SOURCE-026</t>
        </is>
      </c>
    </row>
    <row r="178" ht="34" customHeight="1">
      <c r="A178" s="15" t="inlineStr">
        <is>
          <t>CAST-177</t>
        </is>
      </c>
      <c r="B178" s="18" t="inlineStr">
        <is>
          <t>FILM-026</t>
        </is>
      </c>
      <c r="C178" s="5" t="inlineStr">
        <is>
          <t>Duniya Meri Jeb Mein</t>
        </is>
      </c>
      <c r="D178" s="17" t="n">
        <v>1979</v>
      </c>
      <c r="E178" s="5" t="inlineStr">
        <is>
          <t>Lalita Pawar</t>
        </is>
      </c>
      <c r="F178" s="5" t="inlineStr">
        <is>
          <t>Girls' hostel supervisor</t>
        </is>
      </c>
      <c r="G178" s="5" t="inlineStr">
        <is>
          <t>Authority figure</t>
        </is>
      </c>
      <c r="H178" s="5" t="inlineStr">
        <is>
          <t>Minor</t>
        </is>
      </c>
      <c r="I178" s="5" t="inlineStr">
        <is>
          <t>The hostel authority in the college world where the romance begins.</t>
        </is>
      </c>
      <c r="J178" s="5" t="inlineStr">
        <is>
          <t>Comic obstruction to student courtship.</t>
        </is>
      </c>
      <c r="K178" s="19" t="inlineStr">
        <is>
          <t>The girls' hostel supervisor, credited opposite Jagdish Raj's boys' hostel supervisor in the college setting.</t>
        </is>
      </c>
      <c r="L178" s="5" t="n"/>
      <c r="M178" s="5" t="inlineStr">
        <is>
          <t>SOURCE-026</t>
        </is>
      </c>
    </row>
    <row r="179" ht="64" customHeight="1">
      <c r="A179" s="15" t="inlineStr">
        <is>
          <t>CAST-178</t>
        </is>
      </c>
      <c r="B179" s="18" t="inlineStr">
        <is>
          <t>FILM-028</t>
        </is>
      </c>
      <c r="C179" s="5" t="inlineStr">
        <is>
          <t>Do Premee</t>
        </is>
      </c>
      <c r="D179" s="17" t="n">
        <v>1980</v>
      </c>
      <c r="E179" s="5" t="inlineStr">
        <is>
          <t>Moushumi Chatterjee</t>
        </is>
      </c>
      <c r="F179" s="5" t="inlineStr">
        <is>
          <t>Payal / Parvati</t>
        </is>
      </c>
      <c r="G179" s="5" t="inlineStr">
        <is>
          <t>Co-lead</t>
        </is>
      </c>
      <c r="H179" s="5" t="inlineStr">
        <is>
          <t>Major</t>
        </is>
      </c>
      <c r="I179" s="5" t="inlineStr">
        <is>
          <t>The woman Chetan loves, elopes with and then works beside as a servant.</t>
        </is>
      </c>
      <c r="J179" s="5" t="inlineStr">
        <is>
          <t>The whole of the pairing in Romances, a united couple set against both families and then against an employer.</t>
        </is>
      </c>
      <c r="K179" s="19" t="inlineStr">
        <is>
          <t>Refused to Chetan by both fathers, she elopes and marries him, takes work as a maid while he drives a car, and is endangered with him by their employer's secret.</t>
        </is>
      </c>
      <c r="L179" s="5" t="n"/>
      <c r="M179" s="5" t="inlineStr">
        <is>
          <t>SOURCE-028</t>
        </is>
      </c>
    </row>
    <row r="180" ht="49" customHeight="1">
      <c r="A180" s="15" t="inlineStr">
        <is>
          <t>CAST-179</t>
        </is>
      </c>
      <c r="B180" s="18" t="inlineStr">
        <is>
          <t>FILM-028</t>
        </is>
      </c>
      <c r="C180" s="5" t="inlineStr">
        <is>
          <t>Do Premee</t>
        </is>
      </c>
      <c r="D180" s="17" t="n">
        <v>1980</v>
      </c>
      <c r="E180" s="5" t="inlineStr">
        <is>
          <t>Om Prakash</t>
        </is>
      </c>
      <c r="F180" s="5" t="inlineStr">
        <is>
          <t>Retired Colonel Bhagwant Singh</t>
        </is>
      </c>
      <c r="G180" s="5" t="inlineStr">
        <is>
          <t>Family</t>
        </is>
      </c>
      <c r="H180" s="5" t="inlineStr">
        <is>
          <t>Major</t>
        </is>
      </c>
      <c r="I180" s="5" t="inlineStr">
        <is>
          <t>Payal's father, who refuses the match and advertises a reward for information about his missing daughter.</t>
        </is>
      </c>
      <c r="J180" s="5" t="inlineStr">
        <is>
          <t>Half of the family opposition, and the pursuit that follows the elopement.</t>
        </is>
      </c>
      <c r="K180" s="19" t="inlineStr">
        <is>
          <t>A retired colonel who wants a husband of his own choosing for Payal and, once she is gone, puts a reward in the newspapers for word of her.</t>
        </is>
      </c>
      <c r="L180" s="5" t="n"/>
      <c r="M180" s="5" t="inlineStr">
        <is>
          <t>SOURCE-028</t>
        </is>
      </c>
    </row>
    <row r="181" ht="49" customHeight="1">
      <c r="A181" s="15" t="inlineStr">
        <is>
          <t>CAST-180</t>
        </is>
      </c>
      <c r="B181" s="18" t="inlineStr">
        <is>
          <t>FILM-028</t>
        </is>
      </c>
      <c r="C181" s="5" t="inlineStr">
        <is>
          <t>Do Premee</t>
        </is>
      </c>
      <c r="D181" s="17" t="n">
        <v>1980</v>
      </c>
      <c r="E181" s="5" t="inlineStr">
        <is>
          <t>I. S. Johar</t>
        </is>
      </c>
      <c r="F181" s="5" t="inlineStr">
        <is>
          <t>Daulatram</t>
        </is>
      </c>
      <c r="G181" s="5" t="inlineStr">
        <is>
          <t>Family</t>
        </is>
      </c>
      <c r="H181" s="5" t="inlineStr">
        <is>
          <t>Major</t>
        </is>
      </c>
      <c r="I181" s="5" t="inlineStr">
        <is>
          <t>Chetan's father, who also refuses the match and has another bride in mind.</t>
        </is>
      </c>
      <c r="J181" s="5" t="inlineStr">
        <is>
          <t>The other half of the family opposition that forces the elopement.</t>
        </is>
      </c>
      <c r="K181" s="19" t="inlineStr">
        <is>
          <t>Chetan's father, unhappy with his son's choice and set on a match of his own choosing, whose refusal with the colonel's leaves the couple no option but to run.</t>
        </is>
      </c>
      <c r="L181" s="5" t="n"/>
      <c r="M181" s="5" t="inlineStr">
        <is>
          <t>SOURCE-028</t>
        </is>
      </c>
    </row>
    <row r="182" ht="49" customHeight="1">
      <c r="A182" s="15" t="inlineStr">
        <is>
          <t>CAST-181</t>
        </is>
      </c>
      <c r="B182" s="18" t="inlineStr">
        <is>
          <t>FILM-028</t>
        </is>
      </c>
      <c r="C182" s="5" t="inlineStr">
        <is>
          <t>Do Premee</t>
        </is>
      </c>
      <c r="D182" s="17" t="n">
        <v>1980</v>
      </c>
      <c r="E182" s="5" t="inlineStr">
        <is>
          <t>Roopesh Kumar</t>
        </is>
      </c>
      <c r="F182" s="5" t="inlineStr">
        <is>
          <t>Suresh</t>
        </is>
      </c>
      <c r="G182" s="5" t="inlineStr">
        <is>
          <t>Antagonist</t>
        </is>
      </c>
      <c r="H182" s="5" t="inlineStr">
        <is>
          <t>Medium</t>
        </is>
      </c>
      <c r="I182" s="5" t="inlineStr">
        <is>
          <t>Credited in the film's opposition, in the plot that closes around the couple in service.</t>
        </is>
      </c>
      <c r="J182" s="5" t="inlineStr">
        <is>
          <t>Part of the danger the marriage has to survive.</t>
        </is>
      </c>
      <c r="K182" s="19" t="inlineStr">
        <is>
          <t>Credited as Suresh, among the antagonists of the second half, after the couple have taken work in a stranger's house.</t>
        </is>
      </c>
      <c r="L182" s="5" t="n"/>
      <c r="M182" s="5" t="inlineStr">
        <is>
          <t>SOURCE-028</t>
        </is>
      </c>
    </row>
    <row r="183" ht="34" customHeight="1">
      <c r="A183" s="15" t="inlineStr">
        <is>
          <t>CAST-182</t>
        </is>
      </c>
      <c r="B183" s="18" t="inlineStr">
        <is>
          <t>FILM-028</t>
        </is>
      </c>
      <c r="C183" s="5" t="inlineStr">
        <is>
          <t>Do Premee</t>
        </is>
      </c>
      <c r="D183" s="17" t="n">
        <v>1980</v>
      </c>
      <c r="E183" s="5" t="inlineStr">
        <is>
          <t>Deven Verma</t>
        </is>
      </c>
      <c r="F183" s="5" t="inlineStr">
        <is>
          <t>Murari Bhonsle</t>
        </is>
      </c>
      <c r="G183" s="5" t="inlineStr">
        <is>
          <t>Comic support</t>
        </is>
      </c>
      <c r="H183" s="5" t="inlineStr">
        <is>
          <t>Medium</t>
        </is>
      </c>
      <c r="I183" s="5" t="inlineStr">
        <is>
          <t>The comic companion to the couple's flight.</t>
        </is>
      </c>
      <c r="J183" s="5" t="inlineStr">
        <is>
          <t>Attends the elopement in the comic register.</t>
        </is>
      </c>
      <c r="K183" s="19" t="inlineStr">
        <is>
          <t>Credited as Murari Bhonsle, the comic support in a film about two runaways looking for work.</t>
        </is>
      </c>
      <c r="L183" s="5" t="n"/>
      <c r="M183" s="5" t="inlineStr">
        <is>
          <t>SOURCE-028</t>
        </is>
      </c>
    </row>
    <row r="184" ht="64" customHeight="1">
      <c r="A184" s="15" t="inlineStr">
        <is>
          <t>CAST-183</t>
        </is>
      </c>
      <c r="B184" s="18" t="inlineStr">
        <is>
          <t>FILM-028</t>
        </is>
      </c>
      <c r="C184" s="5" t="inlineStr">
        <is>
          <t>Do Premee</t>
        </is>
      </c>
      <c r="D184" s="17" t="n">
        <v>1980</v>
      </c>
      <c r="E184" s="5" t="inlineStr">
        <is>
          <t>Geeta Behl</t>
        </is>
      </c>
      <c r="F184" s="5" t="inlineStr">
        <is>
          <t>Geeta</t>
        </is>
      </c>
      <c r="G184" s="5" t="inlineStr">
        <is>
          <t>Supporting</t>
        </is>
      </c>
      <c r="H184" s="5" t="inlineStr">
        <is>
          <t>Medium</t>
        </is>
      </c>
      <c r="I184" s="5" t="inlineStr">
        <is>
          <t>Credited as the film's second woman, with an uncle of her own in the cast list.</t>
        </is>
      </c>
      <c r="J184" s="5" t="inlineStr">
        <is>
          <t>Not placed by the synopsis; the second female credit in such a plot usually marks the father's preferred match.</t>
        </is>
      </c>
      <c r="K184" s="19" t="inlineStr">
        <is>
          <t>Credited as Geeta, with K. N. Singh as her uncle, in a plot whose synopsis names only the two lovers and their fathers.</t>
        </is>
      </c>
      <c r="L184" s="5" t="n"/>
      <c r="M184" s="5" t="inlineStr">
        <is>
          <t>SOURCE-028</t>
        </is>
      </c>
    </row>
    <row r="185" ht="34" customHeight="1">
      <c r="A185" s="15" t="inlineStr">
        <is>
          <t>CAST-184</t>
        </is>
      </c>
      <c r="B185" s="18" t="inlineStr">
        <is>
          <t>FILM-028</t>
        </is>
      </c>
      <c r="C185" s="5" t="inlineStr">
        <is>
          <t>Do Premee</t>
        </is>
      </c>
      <c r="D185" s="17" t="n">
        <v>1980</v>
      </c>
      <c r="E185" s="5" t="inlineStr">
        <is>
          <t>Aruna Irani</t>
        </is>
      </c>
      <c r="F185" s="5" t="inlineStr">
        <is>
          <t>Dancer in 'Allah, Meri Payal Bole Chhan Chhan'</t>
        </is>
      </c>
      <c r="G185" s="5" t="inlineStr">
        <is>
          <t>Cameo</t>
        </is>
      </c>
      <c r="H185" s="5" t="inlineStr">
        <is>
          <t>Minor</t>
        </is>
      </c>
      <c r="I185" s="5" t="inlineStr">
        <is>
          <t>A song appearance with no part in the story.</t>
        </is>
      </c>
      <c r="J185" s="5" t="inlineStr">
        <is>
          <t>Appears inside a song rather than in the relationship.</t>
        </is>
      </c>
      <c r="K185" s="19" t="inlineStr">
        <is>
          <t>Credited as a special appearance in the song 'Allah, Meri Payal Bole Chhan Chhan', which plays on the heroine's name.</t>
        </is>
      </c>
      <c r="L185" s="5" t="n"/>
      <c r="M185" s="5" t="inlineStr">
        <is>
          <t>SOURCE-028</t>
        </is>
      </c>
    </row>
    <row r="186" ht="64" customHeight="1">
      <c r="A186" s="15" t="inlineStr">
        <is>
          <t>CAST-185</t>
        </is>
      </c>
      <c r="B186" s="18" t="inlineStr">
        <is>
          <t>FILM-029</t>
        </is>
      </c>
      <c r="C186" s="5" t="inlineStr">
        <is>
          <t>Dhan Daulat</t>
        </is>
      </c>
      <c r="D186" s="17" t="n">
        <v>1980</v>
      </c>
      <c r="E186" s="5" t="inlineStr">
        <is>
          <t>Neetu Singh</t>
        </is>
      </c>
      <c r="F186" s="5" t="inlineStr">
        <is>
          <t>Shanti</t>
        </is>
      </c>
      <c r="G186" s="5" t="inlineStr">
        <is>
          <t>Co-lead</t>
        </is>
      </c>
      <c r="H186" s="5" t="inlineStr">
        <is>
          <t>Major</t>
        </is>
      </c>
      <c r="I186" s="5" t="inlineStr">
        <is>
          <t>The girl Lucky meets through his window while locked in, and courts against her father's hostility.</t>
        </is>
      </c>
      <c r="J186" s="5" t="inlineStr">
        <is>
          <t>The whole of the pairing in Romances, a courtship across the class line his truck-driver fathers put him on the wrong side of.</t>
        </is>
      </c>
      <c r="K186" s="19" t="inlineStr">
        <is>
          <t>The daughter of Pukhraj, who dislikes Lucky; she meets him while he is shut in his room and is the reason he steals a horse and works as a tangewala to impress her.</t>
        </is>
      </c>
      <c r="L186" s="5" t="n"/>
      <c r="M186" s="5" t="inlineStr">
        <is>
          <t>SOURCE-029</t>
        </is>
      </c>
    </row>
    <row r="187" ht="49" customHeight="1">
      <c r="A187" s="15" t="inlineStr">
        <is>
          <t>CAST-186</t>
        </is>
      </c>
      <c r="B187" s="18" t="inlineStr">
        <is>
          <t>FILM-029</t>
        </is>
      </c>
      <c r="C187" s="5" t="inlineStr">
        <is>
          <t>Dhan Daulat</t>
        </is>
      </c>
      <c r="D187" s="17" t="n">
        <v>1980</v>
      </c>
      <c r="E187" s="5" t="inlineStr">
        <is>
          <t>Prem Nath</t>
        </is>
      </c>
      <c r="F187" s="5" t="inlineStr">
        <is>
          <t>Mangat</t>
        </is>
      </c>
      <c r="G187" s="5" t="inlineStr">
        <is>
          <t>Family</t>
        </is>
      </c>
      <c r="H187" s="5" t="inlineStr">
        <is>
          <t>Major</t>
        </is>
      </c>
      <c r="I187" s="5" t="inlineStr">
        <is>
          <t>One of the two truck drivers who raise Lucky as their own after he is separated from his mother.</t>
        </is>
      </c>
      <c r="J187" s="5" t="inlineStr">
        <is>
          <t>The parentage that makes him unacceptable to Shanti's father.</t>
        </is>
      </c>
      <c r="K187" s="19" t="inlineStr">
        <is>
          <t>A truck driver who with Bajirao brings up another man's son, dreams of a future for him, and sells the truck that is their living to start his match business.</t>
        </is>
      </c>
      <c r="L187" s="5" t="n"/>
      <c r="M187" s="5" t="inlineStr">
        <is>
          <t>SOURCE-029</t>
        </is>
      </c>
    </row>
    <row r="188" ht="49" customHeight="1">
      <c r="A188" s="15" t="inlineStr">
        <is>
          <t>CAST-187</t>
        </is>
      </c>
      <c r="B188" s="18" t="inlineStr">
        <is>
          <t>FILM-029</t>
        </is>
      </c>
      <c r="C188" s="5" t="inlineStr">
        <is>
          <t>Dhan Daulat</t>
        </is>
      </c>
      <c r="D188" s="17" t="n">
        <v>1980</v>
      </c>
      <c r="E188" s="5" t="inlineStr">
        <is>
          <t>Pran</t>
        </is>
      </c>
      <c r="F188" s="5" t="inlineStr">
        <is>
          <t>Bajirao</t>
        </is>
      </c>
      <c r="G188" s="5" t="inlineStr">
        <is>
          <t>Family</t>
        </is>
      </c>
      <c r="H188" s="5" t="inlineStr">
        <is>
          <t>Major</t>
        </is>
      </c>
      <c r="I188" s="5" t="inlineStr">
        <is>
          <t>The second of Lucky's two adoptive fathers, and part of the sacrifice he later turns on.</t>
        </is>
      </c>
      <c r="J188" s="5" t="inlineStr">
        <is>
          <t>Shares in the parentage the courtship is held against.</t>
        </is>
      </c>
      <c r="K188" s="19" t="inlineStr">
        <is>
          <t>The other truck driver who raises Lucky, sells the truck for his business, and is repudiated when the boy learns he was found rather than born to them.</t>
        </is>
      </c>
      <c r="L188" s="5" t="n"/>
      <c r="M188" s="5" t="inlineStr">
        <is>
          <t>SOURCE-029</t>
        </is>
      </c>
    </row>
    <row r="189" ht="49" customHeight="1">
      <c r="A189" s="15" t="inlineStr">
        <is>
          <t>CAST-188</t>
        </is>
      </c>
      <c r="B189" s="18" t="inlineStr">
        <is>
          <t>FILM-029</t>
        </is>
      </c>
      <c r="C189" s="5" t="inlineStr">
        <is>
          <t>Dhan Daulat</t>
        </is>
      </c>
      <c r="D189" s="17" t="n">
        <v>1980</v>
      </c>
      <c r="E189" s="5" t="inlineStr">
        <is>
          <t>Mala Sinha</t>
        </is>
      </c>
      <c r="F189" s="5" t="inlineStr">
        <is>
          <t>Vasudha Saxena</t>
        </is>
      </c>
      <c r="G189" s="5" t="inlineStr">
        <is>
          <t>Family</t>
        </is>
      </c>
      <c r="H189" s="5" t="inlineStr">
        <is>
          <t>Major</t>
        </is>
      </c>
      <c r="I189" s="5" t="inlineStr">
        <is>
          <t>His own mother, unknown to him, in whose fruit shop he hides while escaping Shanti's father.</t>
        </is>
      </c>
      <c r="J189" s="5" t="inlineStr">
        <is>
          <t>The film's revelation rather than a party to the courtship.</t>
        </is>
      </c>
      <c r="K189" s="19" t="inlineStr">
        <is>
          <t>A fruit seller who backs the village's support for Lucky's match business and is revealed, with the industrialist ruining him, to be his own parent.</t>
        </is>
      </c>
      <c r="L189" s="5" t="n"/>
      <c r="M189" s="5" t="inlineStr">
        <is>
          <t>SOURCE-029</t>
        </is>
      </c>
    </row>
    <row r="190" ht="49" customHeight="1">
      <c r="A190" s="15" t="inlineStr">
        <is>
          <t>CAST-189</t>
        </is>
      </c>
      <c r="B190" s="18" t="inlineStr">
        <is>
          <t>FILM-029</t>
        </is>
      </c>
      <c r="C190" s="5" t="inlineStr">
        <is>
          <t>Dhan Daulat</t>
        </is>
      </c>
      <c r="D190" s="17" t="n">
        <v>1980</v>
      </c>
      <c r="E190" s="5" t="inlineStr">
        <is>
          <t>Rajendra Kumar</t>
        </is>
      </c>
      <c r="F190" s="5" t="inlineStr">
        <is>
          <t>Raj Saxena</t>
        </is>
      </c>
      <c r="G190" s="5" t="inlineStr">
        <is>
          <t>Family</t>
        </is>
      </c>
      <c r="H190" s="5" t="inlineStr">
        <is>
          <t>Major</t>
        </is>
      </c>
      <c r="I190" s="5" t="inlineStr">
        <is>
          <t>The industrialist whose profits Lucky's matches cut into, and his father.</t>
        </is>
      </c>
      <c r="J190" s="5" t="inlineStr">
        <is>
          <t>Belongs to the lost-family plot rather than the courtship.</t>
        </is>
      </c>
      <c r="K190" s="19" t="inlineStr">
        <is>
          <t>A wealthy manufacturer whose business suffers from 'Apna Matches', set against his own son without either knowing it until the film's revelation.</t>
        </is>
      </c>
      <c r="L190" s="5" t="n"/>
      <c r="M190" s="5" t="inlineStr">
        <is>
          <t>SOURCE-029</t>
        </is>
      </c>
    </row>
    <row r="191" ht="49" customHeight="1">
      <c r="A191" s="15" t="inlineStr">
        <is>
          <t>CAST-190</t>
        </is>
      </c>
      <c r="B191" s="18" t="inlineStr">
        <is>
          <t>FILM-029</t>
        </is>
      </c>
      <c r="C191" s="5" t="inlineStr">
        <is>
          <t>Dhan Daulat</t>
        </is>
      </c>
      <c r="D191" s="17" t="n">
        <v>1980</v>
      </c>
      <c r="E191" s="5" t="inlineStr">
        <is>
          <t>Prem Chopra</t>
        </is>
      </c>
      <c r="F191" s="5" t="inlineStr">
        <is>
          <t>Sujit Chopra</t>
        </is>
      </c>
      <c r="G191" s="5" t="inlineStr">
        <is>
          <t>Antagonist</t>
        </is>
      </c>
      <c r="H191" s="5" t="inlineStr">
        <is>
          <t>Major</t>
        </is>
      </c>
      <c r="I191" s="5" t="inlineStr">
        <is>
          <t>The man whose horse Lucky steals, who then takes an interest in him and draws him into illegal business.</t>
        </is>
      </c>
      <c r="J191" s="5" t="inlineStr">
        <is>
          <t>The route by which Lucky's pursuit of standing, and so of Shanti, corrupts him.</t>
        </is>
      </c>
      <c r="K191" s="19" t="inlineStr">
        <is>
          <t>A wealthy man robbed of a prized horse by Lucky, intrigued rather than angered, and the one who later recruits him into his illegal trade and his drinking.</t>
        </is>
      </c>
      <c r="L191" s="5" t="n"/>
      <c r="M191" s="5" t="inlineStr">
        <is>
          <t>SOURCE-029</t>
        </is>
      </c>
    </row>
    <row r="192" ht="49" customHeight="1">
      <c r="A192" s="15" t="inlineStr">
        <is>
          <t>CAST-191</t>
        </is>
      </c>
      <c r="B192" s="18" t="inlineStr">
        <is>
          <t>FILM-029</t>
        </is>
      </c>
      <c r="C192" s="5" t="inlineStr">
        <is>
          <t>Dhan Daulat</t>
        </is>
      </c>
      <c r="D192" s="17" t="n">
        <v>1980</v>
      </c>
      <c r="E192" s="5" t="inlineStr">
        <is>
          <t>Madan Puri</t>
        </is>
      </c>
      <c r="F192" s="5" t="inlineStr">
        <is>
          <t>Pukhraj, Shanti's father</t>
        </is>
      </c>
      <c r="G192" s="5" t="inlineStr">
        <is>
          <t>Authority figure</t>
        </is>
      </c>
      <c r="H192" s="5" t="inlineStr">
        <is>
          <t>Medium</t>
        </is>
      </c>
      <c r="I192" s="5" t="inlineStr">
        <is>
          <t>Shanti's father, who dislikes Lucky and whose wrath drives the plot's turns.</t>
        </is>
      </c>
      <c r="J192" s="5" t="inlineStr">
        <is>
          <t>The external opposition to the pairing.</t>
        </is>
      </c>
      <c r="K192" s="19" t="inlineStr">
        <is>
          <t>Shanti's father, hostile to the truck drivers' son, and the man Lucky is fleeing when he stumbles into his own mother's shop.</t>
        </is>
      </c>
      <c r="L192" s="5" t="n"/>
      <c r="M192" s="5" t="inlineStr">
        <is>
          <t>SOURCE-029</t>
        </is>
      </c>
    </row>
    <row r="193" ht="34" customHeight="1">
      <c r="A193" s="15" t="inlineStr">
        <is>
          <t>CAST-192</t>
        </is>
      </c>
      <c r="B193" s="18" t="inlineStr">
        <is>
          <t>FILM-029</t>
        </is>
      </c>
      <c r="C193" s="5" t="inlineStr">
        <is>
          <t>Dhan Daulat</t>
        </is>
      </c>
      <c r="D193" s="17" t="n">
        <v>1980</v>
      </c>
      <c r="E193" s="5" t="inlineStr">
        <is>
          <t>Preeti Ganguli</t>
        </is>
      </c>
      <c r="F193" s="5" t="inlineStr">
        <is>
          <t>Laajo</t>
        </is>
      </c>
      <c r="G193" s="5" t="inlineStr">
        <is>
          <t>Comic support</t>
        </is>
      </c>
      <c r="H193" s="5" t="inlineStr">
        <is>
          <t>Minor</t>
        </is>
      </c>
      <c r="I193" s="5" t="inlineStr">
        <is>
          <t>A comic presence in the village world around Lucky.</t>
        </is>
      </c>
      <c r="J193" s="5" t="inlineStr">
        <is>
          <t>No documented part in the pairing.</t>
        </is>
      </c>
      <c r="K193" s="19" t="inlineStr">
        <is>
          <t>Credited as Laajo, daughter of Kader Khan's Imaandar, in the film's comic register.</t>
        </is>
      </c>
      <c r="L193" s="5" t="n"/>
      <c r="M193" s="5" t="inlineStr">
        <is>
          <t>SOURCE-029</t>
        </is>
      </c>
    </row>
    <row r="194" ht="64" customHeight="1">
      <c r="A194" s="15" t="inlineStr">
        <is>
          <t>CAST-193</t>
        </is>
      </c>
      <c r="B194" s="18" t="inlineStr">
        <is>
          <t>FILM-030</t>
        </is>
      </c>
      <c r="C194" s="5" t="inlineStr">
        <is>
          <t>Aap Ke Deewane</t>
        </is>
      </c>
      <c r="D194" s="17" t="n">
        <v>1980</v>
      </c>
      <c r="E194" s="5" t="inlineStr">
        <is>
          <t>Tina Munim</t>
        </is>
      </c>
      <c r="F194" s="5" t="inlineStr">
        <is>
          <t>Sameera</t>
        </is>
      </c>
      <c r="G194" s="5" t="inlineStr">
        <is>
          <t>Co-lead</t>
        </is>
      </c>
      <c r="H194" s="5" t="inlineStr">
        <is>
          <t>Major</t>
        </is>
      </c>
      <c r="I194" s="5" t="inlineStr">
        <is>
          <t>The pupil both tutors fall in love with, and the one who holds the choice between them.</t>
        </is>
      </c>
      <c r="J194" s="5" t="inlineStr">
        <is>
          <t>The whole of the pairing in Romances, and the apex of the film's triangle; the article leaves her choice unstated.</t>
        </is>
      </c>
      <c r="K194" s="19" t="inlineStr">
        <is>
          <t>The adopted daughter of two wealthy men, tutored by a pair of expelled students posing as a married couple, loved by both, and left by the film with the decision.</t>
        </is>
      </c>
      <c r="L194" s="5" t="n"/>
      <c r="M194" s="5" t="inlineStr">
        <is>
          <t>SOURCE-030</t>
        </is>
      </c>
    </row>
    <row r="195" ht="49" customHeight="1">
      <c r="A195" s="15" t="inlineStr">
        <is>
          <t>CAST-194</t>
        </is>
      </c>
      <c r="B195" s="18" t="inlineStr">
        <is>
          <t>FILM-030</t>
        </is>
      </c>
      <c r="C195" s="5" t="inlineStr">
        <is>
          <t>Aap Ke Deewane</t>
        </is>
      </c>
      <c r="D195" s="17" t="n">
        <v>1980</v>
      </c>
      <c r="E195" s="5" t="inlineStr">
        <is>
          <t>Rakesh Roshan</t>
        </is>
      </c>
      <c r="F195" s="5" t="inlineStr">
        <is>
          <t>Rahim</t>
        </is>
      </c>
      <c r="G195" s="5" t="inlineStr">
        <is>
          <t>Co-lead</t>
        </is>
      </c>
      <c r="H195" s="5" t="inlineStr">
        <is>
          <t>Major</t>
        </is>
      </c>
      <c r="I195" s="5" t="inlineStr">
        <is>
          <t>Ram's inseparable friend from childhood, expelled with him, disguised with him, and his rival for Sameera.</t>
        </is>
      </c>
      <c r="J195" s="5" t="inlineStr">
        <is>
          <t>The second half of the triangle, which sets friendship against the romance.</t>
        </is>
      </c>
      <c r="K195" s="19" t="inlineStr">
        <is>
          <t>Ram's lifelong friend, framed and expelled beside him, half of the fake couple hired as tutors, and the other claimant on Sameera's choice.</t>
        </is>
      </c>
      <c r="L195" s="5" t="n"/>
      <c r="M195" s="5" t="inlineStr">
        <is>
          <t>SOURCE-030</t>
        </is>
      </c>
    </row>
    <row r="196" ht="49" customHeight="1">
      <c r="A196" s="15" t="inlineStr">
        <is>
          <t>CAST-195</t>
        </is>
      </c>
      <c r="B196" s="18" t="inlineStr">
        <is>
          <t>FILM-030</t>
        </is>
      </c>
      <c r="C196" s="5" t="inlineStr">
        <is>
          <t>Aap Ke Deewane</t>
        </is>
      </c>
      <c r="D196" s="17" t="n">
        <v>1980</v>
      </c>
      <c r="E196" s="5" t="inlineStr">
        <is>
          <t>Ranjeet</t>
        </is>
      </c>
      <c r="F196" s="5" t="inlineStr">
        <is>
          <t>Kundan</t>
        </is>
      </c>
      <c r="G196" s="5" t="inlineStr">
        <is>
          <t>Antagonist</t>
        </is>
      </c>
      <c r="H196" s="5" t="inlineStr">
        <is>
          <t>Major</t>
        </is>
      </c>
      <c r="I196" s="5" t="inlineStr">
        <is>
          <t>The fellow student who frames both friends for molestation and has them expelled.</t>
        </is>
      </c>
      <c r="J196" s="5" t="inlineStr">
        <is>
          <t>Creates the expulsion and so the disguise under which the romance happens.</t>
        </is>
      </c>
      <c r="K196" s="19" t="inlineStr">
        <is>
          <t>A collegian who has Ram and Rahim falsely accused of molesting a girl, the act that throws them out of college and into the tutoring imposture.</t>
        </is>
      </c>
      <c r="L196" s="5" t="n"/>
      <c r="M196" s="5" t="inlineStr">
        <is>
          <t>SOURCE-030</t>
        </is>
      </c>
    </row>
    <row r="197" ht="34" customHeight="1">
      <c r="A197" s="15" t="inlineStr">
        <is>
          <t>CAST-196</t>
        </is>
      </c>
      <c r="B197" s="18" t="inlineStr">
        <is>
          <t>FILM-030</t>
        </is>
      </c>
      <c r="C197" s="5" t="inlineStr">
        <is>
          <t>Aap Ke Deewane</t>
        </is>
      </c>
      <c r="D197" s="17" t="n">
        <v>1980</v>
      </c>
      <c r="E197" s="5" t="inlineStr">
        <is>
          <t>Ashok Kumar</t>
        </is>
      </c>
      <c r="F197" s="5" t="inlineStr">
        <is>
          <t>Inshallah Khan</t>
        </is>
      </c>
      <c r="G197" s="5" t="inlineStr">
        <is>
          <t>Family</t>
        </is>
      </c>
      <c r="H197" s="5" t="inlineStr">
        <is>
          <t>Medium</t>
        </is>
      </c>
      <c r="I197" s="5" t="inlineStr">
        <is>
          <t>One of Sameera's two wealthy adoptive fathers, and the tutors' employer.</t>
        </is>
      </c>
      <c r="J197" s="5" t="inlineStr">
        <is>
          <t>The household authority the disguise is maintained in front of.</t>
        </is>
      </c>
      <c r="K197" s="19" t="inlineStr">
        <is>
          <t>A multi-millionaire who with Thakur Vikramjit Singh has adopted Sameera, and who hires the disguised pair as her tutors.</t>
        </is>
      </c>
      <c r="L197" s="5" t="n"/>
      <c r="M197" s="5" t="inlineStr">
        <is>
          <t>SOURCE-030</t>
        </is>
      </c>
    </row>
    <row r="198" ht="49" customHeight="1">
      <c r="A198" s="15" t="inlineStr">
        <is>
          <t>CAST-197</t>
        </is>
      </c>
      <c r="B198" s="18" t="inlineStr">
        <is>
          <t>FILM-030</t>
        </is>
      </c>
      <c r="C198" s="5" t="inlineStr">
        <is>
          <t>Aap Ke Deewane</t>
        </is>
      </c>
      <c r="D198" s="17" t="n">
        <v>1980</v>
      </c>
      <c r="E198" s="5" t="inlineStr">
        <is>
          <t>Pran</t>
        </is>
      </c>
      <c r="F198" s="5" t="inlineStr">
        <is>
          <t>Thakur Vikramjeet Singh</t>
        </is>
      </c>
      <c r="G198" s="5" t="inlineStr">
        <is>
          <t>Family</t>
        </is>
      </c>
      <c r="H198" s="5" t="inlineStr">
        <is>
          <t>Medium</t>
        </is>
      </c>
      <c r="I198" s="5" t="inlineStr">
        <is>
          <t>Sameera's other adoptive father and co-employer of the tutors.</t>
        </is>
      </c>
      <c r="J198" s="5" t="inlineStr">
        <is>
          <t>Shares the household standing the imposture is designed to satisfy.</t>
        </is>
      </c>
      <c r="K198" s="19" t="inlineStr">
        <is>
          <t>The second of Sameera's millionaire adoptive fathers, credited as a colonel and thakur, in a pairing of guardians the film treats as a unit.</t>
        </is>
      </c>
      <c r="L198" s="5" t="n"/>
      <c r="M198" s="5" t="inlineStr">
        <is>
          <t>SOURCE-030</t>
        </is>
      </c>
    </row>
    <row r="199" ht="34" customHeight="1">
      <c r="A199" s="15" t="inlineStr">
        <is>
          <t>CAST-198</t>
        </is>
      </c>
      <c r="B199" s="18" t="inlineStr">
        <is>
          <t>FILM-030</t>
        </is>
      </c>
      <c r="C199" s="5" t="inlineStr">
        <is>
          <t>Aap Ke Deewane</t>
        </is>
      </c>
      <c r="D199" s="17" t="n">
        <v>1980</v>
      </c>
      <c r="E199" s="5" t="inlineStr">
        <is>
          <t>Jeetendra</t>
        </is>
      </c>
      <c r="F199" s="5" t="inlineStr">
        <is>
          <t>Rocky</t>
        </is>
      </c>
      <c r="G199" s="5" t="inlineStr">
        <is>
          <t>Cameo</t>
        </is>
      </c>
      <c r="H199" s="5" t="inlineStr">
        <is>
          <t>Minor</t>
        </is>
      </c>
      <c r="I199" s="5" t="inlineStr">
        <is>
          <t>A star guest appearance outside the main plot.</t>
        </is>
      </c>
      <c r="J199" s="5" t="inlineStr">
        <is>
          <t>No part in the triangle.</t>
        </is>
      </c>
      <c r="K199" s="19" t="inlineStr">
        <is>
          <t>Credited as Rocky in a guest appearance, in the film's star register.</t>
        </is>
      </c>
      <c r="L199" s="5" t="n"/>
      <c r="M199" s="5" t="inlineStr">
        <is>
          <t>SOURCE-030</t>
        </is>
      </c>
    </row>
    <row r="200" ht="49" customHeight="1">
      <c r="A200" s="15" t="inlineStr">
        <is>
          <t>CAST-199</t>
        </is>
      </c>
      <c r="B200" s="18" t="inlineStr">
        <is>
          <t>FILM-030</t>
        </is>
      </c>
      <c r="C200" s="5" t="inlineStr">
        <is>
          <t>Aap Ke Deewane</t>
        </is>
      </c>
      <c r="D200" s="17" t="n">
        <v>1980</v>
      </c>
      <c r="E200" s="5" t="inlineStr">
        <is>
          <t>Hrithik Roshan</t>
        </is>
      </c>
      <c r="F200" s="5" t="inlineStr">
        <is>
          <t>Young Rahim</t>
        </is>
      </c>
      <c r="G200" s="5" t="inlineStr">
        <is>
          <t>Cameo</t>
        </is>
      </c>
      <c r="H200" s="5" t="inlineStr">
        <is>
          <t>Minor</t>
        </is>
      </c>
      <c r="I200" s="5" t="inlineStr">
        <is>
          <t>Plays the childhood of Ram's friend, in the sequence establishing the friendship.</t>
        </is>
      </c>
      <c r="J200" s="5" t="inlineStr">
        <is>
          <t>No part in the romance.</t>
        </is>
      </c>
      <c r="K200" s="19" t="inlineStr">
        <is>
          <t>Uncredited as the young Rahim, the child form of his own father's character, in one of his earliest screen appearances.</t>
        </is>
      </c>
      <c r="L200" s="5" t="n"/>
      <c r="M200" s="5" t="inlineStr">
        <is>
          <t>SOURCE-030</t>
        </is>
      </c>
    </row>
    <row r="201" ht="34" customHeight="1">
      <c r="A201" s="15" t="inlineStr">
        <is>
          <t>CAST-200</t>
        </is>
      </c>
      <c r="B201" s="18" t="inlineStr">
        <is>
          <t>FILM-030</t>
        </is>
      </c>
      <c r="C201" s="5" t="inlineStr">
        <is>
          <t>Aap Ke Deewane</t>
        </is>
      </c>
      <c r="D201" s="17" t="n">
        <v>1980</v>
      </c>
      <c r="E201" s="5" t="inlineStr">
        <is>
          <t>Deven Verma</t>
        </is>
      </c>
      <c r="F201" s="5" t="inlineStr">
        <is>
          <t>Butler Arun</t>
        </is>
      </c>
      <c r="G201" s="5" t="inlineStr">
        <is>
          <t>Comic support</t>
        </is>
      </c>
      <c r="H201" s="5" t="inlineStr">
        <is>
          <t>Minor</t>
        </is>
      </c>
      <c r="I201" s="5" t="inlineStr">
        <is>
          <t>The household's butler, inside the house where the imposture is kept up.</t>
        </is>
      </c>
      <c r="J201" s="5" t="inlineStr">
        <is>
          <t>Comic attendance on the deception.</t>
        </is>
      </c>
      <c r="K201" s="19" t="inlineStr">
        <is>
          <t>Credited as the butler Arun, in the millionaires' household the two disguised tutors live in.</t>
        </is>
      </c>
      <c r="L201" s="5" t="n"/>
      <c r="M201" s="5" t="inlineStr">
        <is>
          <t>SOURCE-030</t>
        </is>
      </c>
    </row>
    <row r="202" ht="49" customHeight="1">
      <c r="A202" s="15" t="inlineStr">
        <is>
          <t>CAST-272</t>
        </is>
      </c>
      <c r="B202" s="18" t="inlineStr">
        <is>
          <t>FILM-031</t>
        </is>
      </c>
      <c r="C202" s="5" t="inlineStr">
        <is>
          <t>Karz</t>
        </is>
      </c>
      <c r="D202" s="17" t="n">
        <v>1980</v>
      </c>
      <c r="E202" s="5" t="inlineStr">
        <is>
          <t>Tina Munim</t>
        </is>
      </c>
      <c r="F202" s="5" t="inlineStr">
        <is>
          <t>Tina</t>
        </is>
      </c>
      <c r="G202" s="5" t="inlineStr">
        <is>
          <t>Co-lead</t>
        </is>
      </c>
      <c r="H202" s="5" t="inlineStr">
        <is>
          <t>Major</t>
        </is>
      </c>
      <c r="I202" s="5" t="inlineStr">
        <is>
          <t>Monty's love interest, and the niece of the man whose household the reincarnation plot runs through.</t>
        </is>
      </c>
      <c r="J202" s="5" t="inlineStr">
        <is>
          <t>The whole of the pairing in Romances, and a courtship that the revenge plot repeatedly displaces.</t>
        </is>
      </c>
      <c r="K202" s="19" t="inlineStr">
        <is>
          <t>Credited simply as Tina, Kabira's niece, the woman Monty meets in Ooty and loves while the memories of another man's life take him over.</t>
        </is>
      </c>
      <c r="L202" s="5" t="n"/>
      <c r="M202" s="5" t="inlineStr">
        <is>
          <t>SOURCE-031</t>
        </is>
      </c>
    </row>
    <row r="203" ht="64" customHeight="1">
      <c r="A203" s="15" t="inlineStr">
        <is>
          <t>CAST-273</t>
        </is>
      </c>
      <c r="B203" s="18" t="inlineStr">
        <is>
          <t>FILM-031</t>
        </is>
      </c>
      <c r="C203" s="5" t="inlineStr">
        <is>
          <t>Karz</t>
        </is>
      </c>
      <c r="D203" s="17" t="n">
        <v>1980</v>
      </c>
      <c r="E203" s="5" t="inlineStr">
        <is>
          <t>Simi Garewal</t>
        </is>
      </c>
      <c r="F203" s="5" t="inlineStr">
        <is>
          <t>Kaamini</t>
        </is>
      </c>
      <c r="G203" s="5" t="inlineStr">
        <is>
          <t>Antagonist</t>
        </is>
      </c>
      <c r="H203" s="5" t="inlineStr">
        <is>
          <t>Major</t>
        </is>
      </c>
      <c r="I203" s="5" t="inlineStr">
        <is>
          <t>The woman who murdered the man Monty was in his previous life, and the target of the revenge he does not at first understand.</t>
        </is>
      </c>
      <c r="J203" s="5" t="inlineStr">
        <is>
          <t>Stands outside the courtship and against it, as the holder of the estate and the past.</t>
        </is>
      </c>
      <c r="K203" s="19" t="inlineStr">
        <is>
          <t>A gold-digger working for Sir Judah, married to Ravi Verma and his murderer, driving a jeep into him near a Kali temple and inheriting everything he owned.</t>
        </is>
      </c>
      <c r="L203" s="5" t="inlineStr">
        <is>
          <t>Garewal's best-known villain role, against her earlier screen image.</t>
        </is>
      </c>
      <c r="M203" s="5" t="inlineStr">
        <is>
          <t>SOURCE-031</t>
        </is>
      </c>
    </row>
    <row r="204" ht="64" customHeight="1">
      <c r="A204" s="15" t="inlineStr">
        <is>
          <t>CAST-274</t>
        </is>
      </c>
      <c r="B204" s="18" t="inlineStr">
        <is>
          <t>FILM-031</t>
        </is>
      </c>
      <c r="C204" s="5" t="inlineStr">
        <is>
          <t>Karz</t>
        </is>
      </c>
      <c r="D204" s="17" t="n">
        <v>1980</v>
      </c>
      <c r="E204" s="5" t="inlineStr">
        <is>
          <t>Raj Kiran</t>
        </is>
      </c>
      <c r="F204" s="5" t="inlineStr">
        <is>
          <t>Ravi Verma</t>
        </is>
      </c>
      <c r="G204" s="5" t="inlineStr">
        <is>
          <t>Supporting</t>
        </is>
      </c>
      <c r="H204" s="5" t="inlineStr">
        <is>
          <t>Major</t>
        </is>
      </c>
      <c r="I204" s="5" t="inlineStr">
        <is>
          <t>The previous incarnation of Kapoor's character, whose memories surface in him.</t>
        </is>
      </c>
      <c r="J204" s="5" t="inlineStr">
        <is>
          <t>His marriage is the catastrophe the later romance is lived in the shadow of.</t>
        </is>
      </c>
      <c r="K204" s="19" t="inlineStr">
        <is>
          <t>The scion of the Verma empire who wins back his father's property in court, marries a woman working for his enemy, and is killed by her on the road to Coonoor, to be reborn as Monty.</t>
        </is>
      </c>
      <c r="L204" s="5" t="n"/>
      <c r="M204" s="5" t="inlineStr">
        <is>
          <t>SOURCE-031</t>
        </is>
      </c>
    </row>
    <row r="205" ht="64" customHeight="1">
      <c r="A205" s="15" t="inlineStr">
        <is>
          <t>CAST-275</t>
        </is>
      </c>
      <c r="B205" s="18" t="inlineStr">
        <is>
          <t>FILM-031</t>
        </is>
      </c>
      <c r="C205" s="5" t="inlineStr">
        <is>
          <t>Karz</t>
        </is>
      </c>
      <c r="D205" s="17" t="n">
        <v>1980</v>
      </c>
      <c r="E205" s="5" t="inlineStr">
        <is>
          <t>Premnath</t>
        </is>
      </c>
      <c r="F205" s="5" t="inlineStr">
        <is>
          <t>Sir Judah</t>
        </is>
      </c>
      <c r="G205" s="5" t="inlineStr">
        <is>
          <t>Antagonist</t>
        </is>
      </c>
      <c r="H205" s="5" t="inlineStr">
        <is>
          <t>Major</t>
        </is>
      </c>
      <c r="I205" s="5" t="inlineStr">
        <is>
          <t>The man who usurped the Verma property, and the power behind the murder of his earlier self.</t>
        </is>
      </c>
      <c r="J205" s="5" t="inlineStr">
        <is>
          <t>No direct part in the courtship.</t>
        </is>
      </c>
      <c r="K205" s="19" t="inlineStr">
        <is>
          <t>The man who took the wealth of Shanta Prasad Verma after his death, lost it in court to Ravi, and had Kamini planted on him; credited with a man who translates for him and his own lawyer.</t>
        </is>
      </c>
      <c r="L205" s="5" t="n"/>
      <c r="M205" s="5" t="inlineStr">
        <is>
          <t>SOURCE-031</t>
        </is>
      </c>
    </row>
    <row r="206" ht="49" customHeight="1">
      <c r="A206" s="15" t="inlineStr">
        <is>
          <t>CAST-276</t>
        </is>
      </c>
      <c r="B206" s="18" t="inlineStr">
        <is>
          <t>FILM-031</t>
        </is>
      </c>
      <c r="C206" s="5" t="inlineStr">
        <is>
          <t>Karz</t>
        </is>
      </c>
      <c r="D206" s="17" t="n">
        <v>1980</v>
      </c>
      <c r="E206" s="5" t="inlineStr">
        <is>
          <t>Durga Khote</t>
        </is>
      </c>
      <c r="F206" s="5" t="inlineStr">
        <is>
          <t>Shanta Prasad Verma</t>
        </is>
      </c>
      <c r="G206" s="5" t="inlineStr">
        <is>
          <t>Family</t>
        </is>
      </c>
      <c r="H206" s="5" t="inlineStr">
        <is>
          <t>Major</t>
        </is>
      </c>
      <c r="I206" s="5" t="inlineStr">
        <is>
          <t>The mother of the man Kapoor's character used to be, whose demand of the goddess frames the whole premise.</t>
        </is>
      </c>
      <c r="J206" s="5" t="inlineStr">
        <is>
          <t>Outside the romance; the claim the plot exists to satisfy.</t>
        </is>
      </c>
      <c r="K206" s="19" t="inlineStr">
        <is>
          <t>Ravi Verma's widowed mother, who on her son's sudden death demands justice of the goddess and that he be allowed to come back and pay his debt to her.</t>
        </is>
      </c>
      <c r="L206" s="5" t="n"/>
      <c r="M206" s="5" t="inlineStr">
        <is>
          <t>SOURCE-031</t>
        </is>
      </c>
    </row>
    <row r="207" ht="64" customHeight="1">
      <c r="A207" s="15" t="inlineStr">
        <is>
          <t>CAST-277</t>
        </is>
      </c>
      <c r="B207" s="18" t="inlineStr">
        <is>
          <t>FILM-031</t>
        </is>
      </c>
      <c r="C207" s="5" t="inlineStr">
        <is>
          <t>Karz</t>
        </is>
      </c>
      <c r="D207" s="17" t="n">
        <v>1980</v>
      </c>
      <c r="E207" s="5" t="inlineStr">
        <is>
          <t>Pran</t>
        </is>
      </c>
      <c r="F207" s="5" t="inlineStr">
        <is>
          <t>Kabira</t>
        </is>
      </c>
      <c r="G207" s="5" t="inlineStr">
        <is>
          <t>Family</t>
        </is>
      </c>
      <c r="H207" s="5" t="inlineStr">
        <is>
          <t>Major</t>
        </is>
      </c>
      <c r="I207" s="5" t="inlineStr">
        <is>
          <t>Tina's uncle, and the household power Monty has to go through to reach her.</t>
        </is>
      </c>
      <c r="J207" s="5" t="inlineStr">
        <is>
          <t>The family authority over the heroine, and a man of standing enough to be credited with two henchmen and a rival.</t>
        </is>
      </c>
      <c r="K207" s="19" t="inlineStr">
        <is>
          <t>Tina's uncle, credited with Birbal and Viju Khote as his right- and left-hand men and Yusuf Khan's Roxi as his rival, placing him in the film's criminal register rather than simply its family one.</t>
        </is>
      </c>
      <c r="L207" s="5" t="n"/>
      <c r="M207" s="5" t="inlineStr">
        <is>
          <t>SOURCE-031</t>
        </is>
      </c>
    </row>
    <row r="208" ht="49" customHeight="1">
      <c r="A208" s="15" t="inlineStr">
        <is>
          <t>CAST-278</t>
        </is>
      </c>
      <c r="B208" s="18" t="inlineStr">
        <is>
          <t>FILM-031</t>
        </is>
      </c>
      <c r="C208" s="5" t="inlineStr">
        <is>
          <t>Karz</t>
        </is>
      </c>
      <c r="D208" s="17" t="n">
        <v>1980</v>
      </c>
      <c r="E208" s="5" t="inlineStr">
        <is>
          <t>Pinchoo Kapoor</t>
        </is>
      </c>
      <c r="F208" s="5" t="inlineStr">
        <is>
          <t>G. G. Oberoi</t>
        </is>
      </c>
      <c r="G208" s="5" t="inlineStr">
        <is>
          <t>Mentor</t>
        </is>
      </c>
      <c r="H208" s="5" t="inlineStr">
        <is>
          <t>Medium</t>
        </is>
      </c>
      <c r="I208" s="5" t="inlineStr">
        <is>
          <t>The wealthy man who raised the orphaned Monty and gave him his surname and his career.</t>
        </is>
      </c>
      <c r="J208" s="5" t="inlineStr">
        <is>
          <t>Belongs to the singer's life rather than the courtship.</t>
        </is>
      </c>
      <c r="K208" s="19" t="inlineStr">
        <is>
          <t>Credited as Monty's mentor, the wealthy man who brought up the orphan who turns out to be Ravi Verma reborn.</t>
        </is>
      </c>
      <c r="L208" s="5" t="n"/>
      <c r="M208" s="5" t="inlineStr">
        <is>
          <t>SOURCE-031</t>
        </is>
      </c>
    </row>
    <row r="209" ht="49" customHeight="1">
      <c r="A209" s="15" t="inlineStr">
        <is>
          <t>CAST-279</t>
        </is>
      </c>
      <c r="B209" s="18" t="inlineStr">
        <is>
          <t>FILM-031</t>
        </is>
      </c>
      <c r="C209" s="5" t="inlineStr">
        <is>
          <t>Karz</t>
        </is>
      </c>
      <c r="D209" s="17" t="n">
        <v>1980</v>
      </c>
      <c r="E209" s="5" t="inlineStr">
        <is>
          <t>Jalal Agha</t>
        </is>
      </c>
      <c r="F209" s="5" t="inlineStr">
        <is>
          <t>Dr. Dayal</t>
        </is>
      </c>
      <c r="G209" s="5" t="inlineStr">
        <is>
          <t>Friend</t>
        </is>
      </c>
      <c r="H209" s="5" t="inlineStr">
        <is>
          <t>Medium</t>
        </is>
      </c>
      <c r="I209" s="5" t="inlineStr">
        <is>
          <t>Monty's friend, inside the circle that treats his visions as a joke before they turn out to be memory.</t>
        </is>
      </c>
      <c r="J209" s="5" t="inlineStr">
        <is>
          <t>No direct part in the courtship.</t>
        </is>
      </c>
      <c r="K209" s="19" t="inlineStr">
        <is>
          <t>Credited as Monty's friend, with Iftekhar as his doctor, among the people who tell him to take a holiday when the visions begin.</t>
        </is>
      </c>
      <c r="L209" s="5" t="n"/>
      <c r="M209" s="5" t="inlineStr">
        <is>
          <t>SOURCE-031</t>
        </is>
      </c>
    </row>
    <row r="210" ht="49" customHeight="1">
      <c r="A210" s="15" t="inlineStr">
        <is>
          <t>CAST-280</t>
        </is>
      </c>
      <c r="B210" s="18" t="inlineStr">
        <is>
          <t>FILM-031</t>
        </is>
      </c>
      <c r="C210" s="5" t="inlineStr">
        <is>
          <t>Karz</t>
        </is>
      </c>
      <c r="D210" s="17" t="n">
        <v>1980</v>
      </c>
      <c r="E210" s="5" t="inlineStr">
        <is>
          <t>Abha Dhulia</t>
        </is>
      </c>
      <c r="F210" s="5" t="inlineStr">
        <is>
          <t>Jyoti Verma, called Pinky</t>
        </is>
      </c>
      <c r="G210" s="5" t="inlineStr">
        <is>
          <t>Family</t>
        </is>
      </c>
      <c r="H210" s="5" t="inlineStr">
        <is>
          <t>Medium</t>
        </is>
      </c>
      <c r="I210" s="5" t="inlineStr">
        <is>
          <t>The sister of his previous incarnation, part of the family the revenge restores.</t>
        </is>
      </c>
      <c r="J210" s="5" t="inlineStr">
        <is>
          <t>Outside the courtship.</t>
        </is>
      </c>
      <c r="K210" s="19" t="inlineStr">
        <is>
          <t>Ravi Verma's younger sister, called to hear his good news on the night he is killed, and left with their mother in the house Kamini takes.</t>
        </is>
      </c>
      <c r="L210" s="5" t="n"/>
      <c r="M210" s="5" t="inlineStr">
        <is>
          <t>SOURCE-031</t>
        </is>
      </c>
    </row>
    <row r="211" ht="49" customHeight="1">
      <c r="A211" s="15" t="inlineStr">
        <is>
          <t>CAST-201</t>
        </is>
      </c>
      <c r="B211" s="18" t="inlineStr">
        <is>
          <t>FILM-032</t>
        </is>
      </c>
      <c r="C211" s="5" t="inlineStr">
        <is>
          <t>Naseeb</t>
        </is>
      </c>
      <c r="D211" s="17" t="n">
        <v>1981</v>
      </c>
      <c r="E211" s="5" t="inlineStr">
        <is>
          <t>Amitabh Bachchan</t>
        </is>
      </c>
      <c r="F211" s="5" t="inlineStr">
        <is>
          <t>John Jani Janardan, called Johnny</t>
        </is>
      </c>
      <c r="G211" s="5" t="inlineStr">
        <is>
          <t>Co-lead</t>
        </is>
      </c>
      <c r="H211" s="5" t="inlineStr">
        <is>
          <t>Major</t>
        </is>
      </c>
      <c r="I211" s="5" t="inlineStr">
        <is>
          <t>Sunny's elder brother, and the film's protagonist; Kapoor's thread is the lighter one beside his.</t>
        </is>
      </c>
      <c r="J211" s="5" t="inlineStr">
        <is>
          <t>Holds the central romance with Asha, which Vicky also claims, while Sunny's own is kept minor.</t>
        </is>
      </c>
      <c r="K211" s="19" t="inlineStr">
        <is>
          <t>Namdev's elder son, employed as a waiter in the hotel built with the stolen lottery money, who falls for the singer Asha and works to expose what was done to his father.</t>
        </is>
      </c>
      <c r="L211" s="5" t="inlineStr">
        <is>
          <t>Remembered for the title song 'John Jani Janardhan' and the hotel-fire climax.</t>
        </is>
      </c>
      <c r="M211" s="5" t="inlineStr">
        <is>
          <t>SOURCE-032</t>
        </is>
      </c>
    </row>
    <row r="212" ht="49" customHeight="1">
      <c r="A212" s="15" t="inlineStr">
        <is>
          <t>CAST-202</t>
        </is>
      </c>
      <c r="B212" s="18" t="inlineStr">
        <is>
          <t>FILM-032</t>
        </is>
      </c>
      <c r="C212" s="5" t="inlineStr">
        <is>
          <t>Naseeb</t>
        </is>
      </c>
      <c r="D212" s="17" t="n">
        <v>1981</v>
      </c>
      <c r="E212" s="5" t="inlineStr">
        <is>
          <t>Shatrughan Sinha</t>
        </is>
      </c>
      <c r="F212" s="5" t="inlineStr">
        <is>
          <t>Vikram, called Vicky</t>
        </is>
      </c>
      <c r="G212" s="5" t="inlineStr">
        <is>
          <t>Co-lead</t>
        </is>
      </c>
      <c r="H212" s="5" t="inlineStr">
        <is>
          <t>Major</t>
        </is>
      </c>
      <c r="I212" s="5" t="inlineStr">
        <is>
          <t>Johnny's best friend and the son of one of the men who destroyed Sunny's family.</t>
        </is>
      </c>
      <c r="J212" s="5" t="inlineStr">
        <is>
          <t>The rival claim on Asha, which sets the two friends against each other.</t>
        </is>
      </c>
      <c r="K212" s="19" t="inlineStr">
        <is>
          <t>Damu's youngest son, sent to school in England on stolen money, in love with the same singer as his best friend and ignorant of what his father did.</t>
        </is>
      </c>
      <c r="L212" s="5" t="n"/>
      <c r="M212" s="5" t="inlineStr">
        <is>
          <t>SOURCE-032</t>
        </is>
      </c>
    </row>
    <row r="213" ht="49" customHeight="1">
      <c r="A213" s="15" t="inlineStr">
        <is>
          <t>CAST-203</t>
        </is>
      </c>
      <c r="B213" s="18" t="inlineStr">
        <is>
          <t>FILM-032</t>
        </is>
      </c>
      <c r="C213" s="5" t="inlineStr">
        <is>
          <t>Naseeb</t>
        </is>
      </c>
      <c r="D213" s="17" t="n">
        <v>1981</v>
      </c>
      <c r="E213" s="5" t="inlineStr">
        <is>
          <t>Hema Malini</t>
        </is>
      </c>
      <c r="F213" s="5" t="inlineStr">
        <is>
          <t>Asha</t>
        </is>
      </c>
      <c r="G213" s="5" t="inlineStr">
        <is>
          <t>Co-lead</t>
        </is>
      </c>
      <c r="H213" s="5" t="inlineStr">
        <is>
          <t>Major</t>
        </is>
      </c>
      <c r="I213" s="5" t="inlineStr">
        <is>
          <t>The singer both the protagonist and his friend love, and the elder sister of Sunny's own interest.</t>
        </is>
      </c>
      <c r="J213" s="5" t="inlineStr">
        <is>
          <t>The centre of the film's principal romance, beside which Kapoor's pairing with Kim is a subplot.</t>
        </is>
      </c>
      <c r="K213" s="19" t="inlineStr">
        <is>
          <t>A hotel singer, daughter of the murdered Jaggi, loved by both Johnny and Vicky, and placed at the junction of the two families' histories.</t>
        </is>
      </c>
      <c r="L213" s="5" t="n"/>
      <c r="M213" s="5" t="inlineStr">
        <is>
          <t>SOURCE-032</t>
        </is>
      </c>
    </row>
    <row r="214" ht="49" customHeight="1">
      <c r="A214" s="15" t="inlineStr">
        <is>
          <t>CAST-204</t>
        </is>
      </c>
      <c r="B214" s="18" t="inlineStr">
        <is>
          <t>FILM-032</t>
        </is>
      </c>
      <c r="C214" s="5" t="inlineStr">
        <is>
          <t>Naseeb</t>
        </is>
      </c>
      <c r="D214" s="17" t="n">
        <v>1981</v>
      </c>
      <c r="E214" s="5" t="inlineStr">
        <is>
          <t>Kim</t>
        </is>
      </c>
      <c r="F214" s="5" t="inlineStr">
        <is>
          <t>Kim</t>
        </is>
      </c>
      <c r="G214" s="5" t="inlineStr">
        <is>
          <t>Supporting</t>
        </is>
      </c>
      <c r="H214" s="5" t="inlineStr">
        <is>
          <t>Medium</t>
        </is>
      </c>
      <c r="I214" s="5" t="inlineStr">
        <is>
          <t>Sunny's romantic interest, and Asha's younger sister.</t>
        </is>
      </c>
      <c r="J214" s="5" t="inlineStr">
        <is>
          <t>The whole of the pairing in Romances, deliberately the lightest of the film's three romantic threads.</t>
        </is>
      </c>
      <c r="K214" s="19" t="inlineStr">
        <is>
          <t>Jaggi's younger daughter, paired with Sunny in the subordinate romance of a film whose weight is on the older generation's betrayal.</t>
        </is>
      </c>
      <c r="L214" s="5" t="n"/>
      <c r="M214" s="5" t="inlineStr">
        <is>
          <t>SOURCE-032</t>
        </is>
      </c>
    </row>
    <row r="215" ht="49" customHeight="1">
      <c r="A215" s="15" t="inlineStr">
        <is>
          <t>CAST-205</t>
        </is>
      </c>
      <c r="B215" s="18" t="inlineStr">
        <is>
          <t>FILM-032</t>
        </is>
      </c>
      <c r="C215" s="5" t="inlineStr">
        <is>
          <t>Naseeb</t>
        </is>
      </c>
      <c r="D215" s="17" t="n">
        <v>1981</v>
      </c>
      <c r="E215" s="5" t="inlineStr">
        <is>
          <t>Pran</t>
        </is>
      </c>
      <c r="F215" s="5" t="inlineStr">
        <is>
          <t>Naamdev</t>
        </is>
      </c>
      <c r="G215" s="5" t="inlineStr">
        <is>
          <t>Family</t>
        </is>
      </c>
      <c r="H215" s="5" t="inlineStr">
        <is>
          <t>Major</t>
        </is>
      </c>
      <c r="I215" s="5" t="inlineStr">
        <is>
          <t>Sunny's father, framed for murder and thrown off a bridge, presumed dead for twenty years.</t>
        </is>
      </c>
      <c r="J215" s="5" t="inlineStr">
        <is>
          <t>Outside the romances; the injustice the plot exists to settle.</t>
        </is>
      </c>
      <c r="K215" s="19" t="inlineStr">
        <is>
          <t>A waiter who buys a lottery ticket with three friends, is framed for Jaggi's murder when it wins, and survives being thrown into a river while his sons grow up without him.</t>
        </is>
      </c>
      <c r="L215" s="5" t="n"/>
      <c r="M215" s="5" t="inlineStr">
        <is>
          <t>SOURCE-032</t>
        </is>
      </c>
    </row>
    <row r="216" ht="49" customHeight="1">
      <c r="A216" s="15" t="inlineStr">
        <is>
          <t>CAST-206</t>
        </is>
      </c>
      <c r="B216" s="18" t="inlineStr">
        <is>
          <t>FILM-032</t>
        </is>
      </c>
      <c r="C216" s="5" t="inlineStr">
        <is>
          <t>Naseeb</t>
        </is>
      </c>
      <c r="D216" s="17" t="n">
        <v>1981</v>
      </c>
      <c r="E216" s="5" t="inlineStr">
        <is>
          <t>Amjad Khan</t>
        </is>
      </c>
      <c r="F216" s="5" t="inlineStr">
        <is>
          <t>Damodar, called Damu</t>
        </is>
      </c>
      <c r="G216" s="5" t="inlineStr">
        <is>
          <t>Antagonist</t>
        </is>
      </c>
      <c r="H216" s="5" t="inlineStr">
        <is>
          <t>Major</t>
        </is>
      </c>
      <c r="I216" s="5" t="inlineStr">
        <is>
          <t>One of the two men who destroyed Sunny's family, and Vicky's father.</t>
        </is>
      </c>
      <c r="J216" s="5" t="inlineStr">
        <is>
          <t>The family guilt that stands between his son and his friends.</t>
        </is>
      </c>
      <c r="K216" s="19" t="inlineStr">
        <is>
          <t>One of the four ticket-holders, who turns on the others with Raghu, photographs Raghu committing the murder as insurance, and builds a hotel on the proceeds.</t>
        </is>
      </c>
      <c r="L216" s="5" t="n"/>
      <c r="M216" s="5" t="inlineStr">
        <is>
          <t>SOURCE-032</t>
        </is>
      </c>
    </row>
    <row r="217" ht="49" customHeight="1">
      <c r="A217" s="15" t="inlineStr">
        <is>
          <t>CAST-207</t>
        </is>
      </c>
      <c r="B217" s="18" t="inlineStr">
        <is>
          <t>FILM-032</t>
        </is>
      </c>
      <c r="C217" s="5" t="inlineStr">
        <is>
          <t>Naseeb</t>
        </is>
      </c>
      <c r="D217" s="17" t="n">
        <v>1981</v>
      </c>
      <c r="E217" s="5" t="inlineStr">
        <is>
          <t>Kader Khan</t>
        </is>
      </c>
      <c r="F217" s="5" t="inlineStr">
        <is>
          <t>Raghuvir, called Raghu</t>
        </is>
      </c>
      <c r="G217" s="5" t="inlineStr">
        <is>
          <t>Antagonist</t>
        </is>
      </c>
      <c r="H217" s="5" t="inlineStr">
        <is>
          <t>Major</t>
        </is>
      </c>
      <c r="I217" s="5" t="inlineStr">
        <is>
          <t>The second of the betrayers, and the man who actually kills Jaggi.</t>
        </is>
      </c>
      <c r="J217" s="5" t="inlineStr">
        <is>
          <t>No direct part in the romances.</t>
        </is>
      </c>
      <c r="K217" s="19" t="inlineStr">
        <is>
          <t>One of the four friends, who murders Jaggi and frames Namdev, becomes a millionaire on the stolen winnings, and is held to it by Damu's photograph.</t>
        </is>
      </c>
      <c r="L217" s="5" t="n"/>
      <c r="M217" s="5" t="inlineStr">
        <is>
          <t>SOURCE-032</t>
        </is>
      </c>
    </row>
    <row r="218" ht="34" customHeight="1">
      <c r="A218" s="15" t="inlineStr">
        <is>
          <t>CAST-208</t>
        </is>
      </c>
      <c r="B218" s="18" t="inlineStr">
        <is>
          <t>FILM-032</t>
        </is>
      </c>
      <c r="C218" s="5" t="inlineStr">
        <is>
          <t>Naseeb</t>
        </is>
      </c>
      <c r="D218" s="17" t="n">
        <v>1981</v>
      </c>
      <c r="E218" s="5" t="inlineStr">
        <is>
          <t>Reena Roy</t>
        </is>
      </c>
      <c r="F218" s="5" t="inlineStr">
        <is>
          <t>Julie</t>
        </is>
      </c>
      <c r="G218" s="5" t="inlineStr">
        <is>
          <t>Supporting</t>
        </is>
      </c>
      <c r="H218" s="5" t="inlineStr">
        <is>
          <t>Major</t>
        </is>
      </c>
      <c r="I218" s="5" t="inlineStr">
        <is>
          <t>A childhood friend of the brothers, in the circle around Johnny.</t>
        </is>
      </c>
      <c r="J218" s="5" t="inlineStr">
        <is>
          <t>Attached to the protagonist's thread rather than to Kapoor's.</t>
        </is>
      </c>
      <c r="K218" s="19" t="inlineStr">
        <is>
          <t>A childhood friend of the family, daughter of Mrs. Gomes, in the film's crowded middle generation.</t>
        </is>
      </c>
      <c r="L218" s="5" t="n"/>
      <c r="M218" s="5" t="inlineStr">
        <is>
          <t>SOURCE-032</t>
        </is>
      </c>
    </row>
    <row r="219" ht="34" customHeight="1">
      <c r="A219" s="15" t="inlineStr">
        <is>
          <t>CAST-209</t>
        </is>
      </c>
      <c r="B219" s="18" t="inlineStr">
        <is>
          <t>FILM-032</t>
        </is>
      </c>
      <c r="C219" s="5" t="inlineStr">
        <is>
          <t>Naseeb</t>
        </is>
      </c>
      <c r="D219" s="17" t="n">
        <v>1981</v>
      </c>
      <c r="E219" s="5" t="inlineStr">
        <is>
          <t>Amrish Puri</t>
        </is>
      </c>
      <c r="F219" s="5" t="inlineStr">
        <is>
          <t>Don</t>
        </is>
      </c>
      <c r="G219" s="5" t="inlineStr">
        <is>
          <t>Antagonist</t>
        </is>
      </c>
      <c r="H219" s="5" t="inlineStr">
        <is>
          <t>Medium</t>
        </is>
      </c>
      <c r="I219" s="5" t="inlineStr">
        <is>
          <t>The criminal power behind the hotel world the brothers work in.</t>
        </is>
      </c>
      <c r="J219" s="5" t="inlineStr">
        <is>
          <t>No part in the romances.</t>
        </is>
      </c>
      <c r="K219" s="19" t="inlineStr">
        <is>
          <t>Credited as the Don, with Yusuf Khan as his son Zebisco, in the film's wider criminal apparatus.</t>
        </is>
      </c>
      <c r="L219" s="5" t="n"/>
      <c r="M219" s="5" t="inlineStr">
        <is>
          <t>SOURCE-032</t>
        </is>
      </c>
    </row>
    <row r="220" ht="49" customHeight="1">
      <c r="A220" s="15" t="inlineStr">
        <is>
          <t>CAST-210</t>
        </is>
      </c>
      <c r="B220" s="18" t="inlineStr">
        <is>
          <t>FILM-033</t>
        </is>
      </c>
      <c r="C220" s="5" t="inlineStr">
        <is>
          <t>Biwi-O-Biwi</t>
        </is>
      </c>
      <c r="D220" s="17" t="n">
        <v>1981</v>
      </c>
      <c r="E220" s="5" t="inlineStr">
        <is>
          <t>Sanjeev Kumar</t>
        </is>
      </c>
      <c r="F220" s="5" t="inlineStr">
        <is>
          <t>Colonel Mangal Singh / Shankar / Commander Chatur Singh</t>
        </is>
      </c>
      <c r="G220" s="5" t="inlineStr">
        <is>
          <t>Co-lead</t>
        </is>
      </c>
      <c r="H220" s="5" t="inlineStr">
        <is>
          <t>Major</t>
        </is>
      </c>
      <c r="I220" s="5" t="inlineStr">
        <is>
          <t>The film's lead, in a double role; Kapoor appears as a hotel singer outside the story.</t>
        </is>
      </c>
      <c r="J220" s="5" t="inlineStr">
        <is>
          <t>Holds the film's relationships, which the article does not describe.</t>
        </is>
      </c>
      <c r="K220" s="19" t="inlineStr">
        <is>
          <t>Credited in a double role as Colonel Mangal Singh and Commander Chatur Singh, with a third name, Shankar; the article carries no plot section.</t>
        </is>
      </c>
      <c r="L220" s="5" t="n"/>
      <c r="M220" s="5" t="inlineStr">
        <is>
          <t>SOURCE-033</t>
        </is>
      </c>
    </row>
    <row r="221" ht="49" customHeight="1">
      <c r="A221" s="15" t="inlineStr">
        <is>
          <t>CAST-211</t>
        </is>
      </c>
      <c r="B221" s="18" t="inlineStr">
        <is>
          <t>FILM-033</t>
        </is>
      </c>
      <c r="C221" s="5" t="inlineStr">
        <is>
          <t>Biwi-O-Biwi</t>
        </is>
      </c>
      <c r="D221" s="17" t="n">
        <v>1981</v>
      </c>
      <c r="E221" s="5" t="inlineStr">
        <is>
          <t>Randhir Kapoor</t>
        </is>
      </c>
      <c r="F221" s="5" t="inlineStr">
        <is>
          <t>Chandramohan, called Chandar</t>
        </is>
      </c>
      <c r="G221" s="5" t="inlineStr">
        <is>
          <t>Co-lead</t>
        </is>
      </c>
      <c r="H221" s="5" t="inlineStr">
        <is>
          <t>Major</t>
        </is>
      </c>
      <c r="I221" s="5" t="inlineStr">
        <is>
          <t>Second-billed lead, and Kapoor's elder brother, in a film their father produced.</t>
        </is>
      </c>
      <c r="J221" s="5" t="inlineStr">
        <is>
          <t>Undocumented.</t>
        </is>
      </c>
      <c r="K221" s="19" t="inlineStr">
        <is>
          <t>Credited as Chandar in a comedy produced by Raj Kapoor, with no synopsis to describe the part.</t>
        </is>
      </c>
      <c r="L221" s="5" t="n"/>
      <c r="M221" s="5" t="inlineStr">
        <is>
          <t>SOURCE-033</t>
        </is>
      </c>
    </row>
    <row r="222" ht="34" customHeight="1">
      <c r="A222" s="15" t="inlineStr">
        <is>
          <t>CAST-212</t>
        </is>
      </c>
      <c r="B222" s="18" t="inlineStr">
        <is>
          <t>FILM-033</t>
        </is>
      </c>
      <c r="C222" s="5" t="inlineStr">
        <is>
          <t>Biwi-O-Biwi</t>
        </is>
      </c>
      <c r="D222" s="17" t="n">
        <v>1981</v>
      </c>
      <c r="E222" s="5" t="inlineStr">
        <is>
          <t>Poonam Dhillon</t>
        </is>
      </c>
      <c r="F222" s="5" t="inlineStr">
        <is>
          <t>Asha Singh</t>
        </is>
      </c>
      <c r="G222" s="5" t="inlineStr">
        <is>
          <t>Co-lead</t>
        </is>
      </c>
      <c r="H222" s="5" t="inlineStr">
        <is>
          <t>Major</t>
        </is>
      </c>
      <c r="I222" s="5" t="inlineStr">
        <is>
          <t>Credited as the principal female lead; the article documents no plot.</t>
        </is>
      </c>
      <c r="J222" s="5" t="inlineStr">
        <is>
          <t>Undocumented.</t>
        </is>
      </c>
      <c r="K222" s="19" t="inlineStr">
        <is>
          <t>Credited as Asha Singh, first of the film's several women, in an article with a cast list but no synopsis.</t>
        </is>
      </c>
      <c r="L222" s="5" t="n"/>
      <c r="M222" s="5" t="inlineStr">
        <is>
          <t>SOURCE-033</t>
        </is>
      </c>
    </row>
    <row r="223" ht="34" customHeight="1">
      <c r="A223" s="15" t="inlineStr">
        <is>
          <t>CAST-213</t>
        </is>
      </c>
      <c r="B223" s="18" t="inlineStr">
        <is>
          <t>FILM-033</t>
        </is>
      </c>
      <c r="C223" s="5" t="inlineStr">
        <is>
          <t>Biwi-O-Biwi</t>
        </is>
      </c>
      <c r="D223" s="17" t="n">
        <v>1981</v>
      </c>
      <c r="E223" s="5" t="inlineStr">
        <is>
          <t>Yogeeta Bali</t>
        </is>
      </c>
      <c r="F223" s="5" t="inlineStr">
        <is>
          <t>Reena</t>
        </is>
      </c>
      <c r="G223" s="5" t="inlineStr">
        <is>
          <t>Supporting</t>
        </is>
      </c>
      <c r="H223" s="5" t="inlineStr">
        <is>
          <t>Medium</t>
        </is>
      </c>
      <c r="I223" s="5" t="inlineStr">
        <is>
          <t>Credited in support; undocumented.</t>
        </is>
      </c>
      <c r="J223" s="5" t="inlineStr">
        <is>
          <t>Undocumented.</t>
        </is>
      </c>
      <c r="K223" s="19" t="inlineStr">
        <is>
          <t>Credited as Reena, among the film's women, with no plot section to place her.</t>
        </is>
      </c>
      <c r="L223" s="5" t="n"/>
      <c r="M223" s="5" t="inlineStr">
        <is>
          <t>SOURCE-033</t>
        </is>
      </c>
    </row>
    <row r="224" ht="34" customHeight="1">
      <c r="A224" s="15" t="inlineStr">
        <is>
          <t>CAST-214</t>
        </is>
      </c>
      <c r="B224" s="18" t="inlineStr">
        <is>
          <t>FILM-033</t>
        </is>
      </c>
      <c r="C224" s="5" t="inlineStr">
        <is>
          <t>Biwi-O-Biwi</t>
        </is>
      </c>
      <c r="D224" s="17" t="n">
        <v>1981</v>
      </c>
      <c r="E224" s="5" t="inlineStr">
        <is>
          <t>Simi Garewal</t>
        </is>
      </c>
      <c r="F224" s="5" t="inlineStr">
        <is>
          <t>Nisha</t>
        </is>
      </c>
      <c r="G224" s="5" t="inlineStr">
        <is>
          <t>Supporting</t>
        </is>
      </c>
      <c r="H224" s="5" t="inlineStr">
        <is>
          <t>Medium</t>
        </is>
      </c>
      <c r="I224" s="5" t="inlineStr">
        <is>
          <t>Credited in support; undocumented.</t>
        </is>
      </c>
      <c r="J224" s="5" t="inlineStr">
        <is>
          <t>Undocumented.</t>
        </is>
      </c>
      <c r="K224" s="19" t="inlineStr">
        <is>
          <t>Credited as Nisha, with Shashikala as Nirmala and Prema Narayan as Rita, in an undocumented ensemble.</t>
        </is>
      </c>
      <c r="L224" s="5" t="n"/>
      <c r="M224" s="5" t="inlineStr">
        <is>
          <t>SOURCE-033</t>
        </is>
      </c>
    </row>
    <row r="225" ht="34" customHeight="1">
      <c r="A225" s="15" t="inlineStr">
        <is>
          <t>CAST-215</t>
        </is>
      </c>
      <c r="B225" s="18" t="inlineStr">
        <is>
          <t>FILM-033</t>
        </is>
      </c>
      <c r="C225" s="5" t="inlineStr">
        <is>
          <t>Biwi-O-Biwi</t>
        </is>
      </c>
      <c r="D225" s="17" t="n">
        <v>1981</v>
      </c>
      <c r="E225" s="5" t="inlineStr">
        <is>
          <t>Deven Verma</t>
        </is>
      </c>
      <c r="F225" s="5" t="inlineStr">
        <is>
          <t>Gafoor</t>
        </is>
      </c>
      <c r="G225" s="5" t="inlineStr">
        <is>
          <t>Comic support</t>
        </is>
      </c>
      <c r="H225" s="5" t="inlineStr">
        <is>
          <t>Medium</t>
        </is>
      </c>
      <c r="I225" s="5" t="inlineStr">
        <is>
          <t>Credited in the comic register; undocumented.</t>
        </is>
      </c>
      <c r="J225" s="5" t="inlineStr">
        <is>
          <t>Undocumented.</t>
        </is>
      </c>
      <c r="K225" s="19" t="inlineStr">
        <is>
          <t>Credited as Gafoor, the comic part in a film whose article has no synopsis.</t>
        </is>
      </c>
      <c r="L225" s="5" t="n"/>
      <c r="M225" s="5" t="inlineStr">
        <is>
          <t>SOURCE-033</t>
        </is>
      </c>
    </row>
    <row r="226" ht="34" customHeight="1">
      <c r="A226" s="15" t="inlineStr">
        <is>
          <t>CAST-216</t>
        </is>
      </c>
      <c r="B226" s="18" t="inlineStr">
        <is>
          <t>FILM-033</t>
        </is>
      </c>
      <c r="C226" s="5" t="inlineStr">
        <is>
          <t>Biwi-O-Biwi</t>
        </is>
      </c>
      <c r="D226" s="17" t="n">
        <v>1981</v>
      </c>
      <c r="E226" s="5" t="inlineStr">
        <is>
          <t>Dina Pathak</t>
        </is>
      </c>
      <c r="F226" s="5" t="inlineStr">
        <is>
          <t>Mrs. Singh</t>
        </is>
      </c>
      <c r="G226" s="5" t="inlineStr">
        <is>
          <t>Family</t>
        </is>
      </c>
      <c r="H226" s="5" t="inlineStr">
        <is>
          <t>Minor</t>
        </is>
      </c>
      <c r="I226" s="5" t="inlineStr">
        <is>
          <t>Credited in the family register; undocumented.</t>
        </is>
      </c>
      <c r="J226" s="5" t="inlineStr">
        <is>
          <t>Undocumented.</t>
        </is>
      </c>
      <c r="K226" s="19" t="inlineStr">
        <is>
          <t>Credited as Mrs. Singh, with Hari Shivdasani as Colonel Hari Singh, in the undocumented family around the leads.</t>
        </is>
      </c>
      <c r="L226" s="5" t="n"/>
      <c r="M226" s="5" t="inlineStr">
        <is>
          <t>SOURCE-033</t>
        </is>
      </c>
    </row>
    <row r="227" ht="64" customHeight="1">
      <c r="A227" s="15" t="inlineStr">
        <is>
          <t>CAST-217</t>
        </is>
      </c>
      <c r="B227" s="18" t="inlineStr">
        <is>
          <t>FILM-034</t>
        </is>
      </c>
      <c r="C227" s="5" t="inlineStr">
        <is>
          <t>Katilon Ke Kaatil</t>
        </is>
      </c>
      <c r="D227" s="17" t="n">
        <v>1981</v>
      </c>
      <c r="E227" s="5" t="inlineStr">
        <is>
          <t>Dharmendra</t>
        </is>
      </c>
      <c r="F227" s="5" t="inlineStr">
        <is>
          <t>Ajit / Badshah</t>
        </is>
      </c>
      <c r="G227" s="5" t="inlineStr">
        <is>
          <t>Co-lead</t>
        </is>
      </c>
      <c r="H227" s="5" t="inlineStr">
        <is>
          <t>Major</t>
        </is>
      </c>
      <c r="I227" s="5" t="inlineStr">
        <is>
          <t>Top-billed opposite Kapoor as his brother; the article has no plot section, so the relationship rests on the cast list alone.</t>
        </is>
      </c>
      <c r="J227" s="5" t="inlineStr">
        <is>
          <t>Undocumented.</t>
        </is>
      </c>
      <c r="K227" s="19" t="inlineStr">
        <is>
          <t>Credited as Ajit, also called Badshah, son of the dead Pratap Singh, in an action film the article documents only through its credits.</t>
        </is>
      </c>
      <c r="L227" s="5" t="n"/>
      <c r="M227" s="5" t="inlineStr">
        <is>
          <t>SOURCE-035</t>
        </is>
      </c>
    </row>
    <row r="228" ht="64" customHeight="1">
      <c r="A228" s="15" t="inlineStr">
        <is>
          <t>CAST-218</t>
        </is>
      </c>
      <c r="B228" s="18" t="inlineStr">
        <is>
          <t>FILM-034</t>
        </is>
      </c>
      <c r="C228" s="5" t="inlineStr">
        <is>
          <t>Katilon Ke Kaatil</t>
        </is>
      </c>
      <c r="D228" s="17" t="n">
        <v>1981</v>
      </c>
      <c r="E228" s="5" t="inlineStr">
        <is>
          <t>Tina Munim</t>
        </is>
      </c>
      <c r="F228" s="5" t="inlineStr">
        <is>
          <t>Rashmi</t>
        </is>
      </c>
      <c r="G228" s="5" t="inlineStr">
        <is>
          <t>Co-lead</t>
        </is>
      </c>
      <c r="H228" s="5" t="inlineStr">
        <is>
          <t>Major</t>
        </is>
      </c>
      <c r="I228" s="5" t="inlineStr">
        <is>
          <t>Credited as the second heroine, and by billing order the one opposite Kapoor; no synopsis confirms it.</t>
        </is>
      </c>
      <c r="J228" s="5" t="inlineStr">
        <is>
          <t>The filmography records a secondary romance for this film, but nothing about it is documented, which is why there is no Romances row.</t>
        </is>
      </c>
      <c r="K228" s="19" t="inlineStr">
        <is>
          <t>Credited as Rashmi, one of the film's two heroines, in the first of her four films with Kapoor across 1980 to 1983.</t>
        </is>
      </c>
      <c r="L228" s="5" t="n"/>
      <c r="M228" s="5" t="inlineStr">
        <is>
          <t>SOURCE-035</t>
        </is>
      </c>
    </row>
    <row r="229" ht="49" customHeight="1">
      <c r="A229" s="15" t="inlineStr">
        <is>
          <t>CAST-219</t>
        </is>
      </c>
      <c r="B229" s="18" t="inlineStr">
        <is>
          <t>FILM-034</t>
        </is>
      </c>
      <c r="C229" s="5" t="inlineStr">
        <is>
          <t>Katilon Ke Kaatil</t>
        </is>
      </c>
      <c r="D229" s="17" t="n">
        <v>1981</v>
      </c>
      <c r="E229" s="5" t="inlineStr">
        <is>
          <t>Zeenat Aman</t>
        </is>
      </c>
      <c r="F229" s="5" t="inlineStr">
        <is>
          <t>Jameela Banu</t>
        </is>
      </c>
      <c r="G229" s="5" t="inlineStr">
        <is>
          <t>Co-lead</t>
        </is>
      </c>
      <c r="H229" s="5" t="inlineStr">
        <is>
          <t>Major</t>
        </is>
      </c>
      <c r="I229" s="5" t="inlineStr">
        <is>
          <t>Credited as the senior heroine, with a father of her own in the cast list; undocumented.</t>
        </is>
      </c>
      <c r="J229" s="5" t="inlineStr">
        <is>
          <t>Undocumented.</t>
        </is>
      </c>
      <c r="K229" s="19" t="inlineStr">
        <is>
          <t>Credited as Jameela Banu, with Shivraj as her father, in an article that gives no plot.</t>
        </is>
      </c>
      <c r="L229" s="5" t="n"/>
      <c r="M229" s="5" t="inlineStr">
        <is>
          <t>SOURCE-035</t>
        </is>
      </c>
    </row>
    <row r="230" ht="34" customHeight="1">
      <c r="A230" s="15" t="inlineStr">
        <is>
          <t>CAST-220</t>
        </is>
      </c>
      <c r="B230" s="18" t="inlineStr">
        <is>
          <t>FILM-034</t>
        </is>
      </c>
      <c r="C230" s="5" t="inlineStr">
        <is>
          <t>Katilon Ke Kaatil</t>
        </is>
      </c>
      <c r="D230" s="17" t="n">
        <v>1981</v>
      </c>
      <c r="E230" s="5" t="inlineStr">
        <is>
          <t>Amjad Khan</t>
        </is>
      </c>
      <c r="F230" s="5" t="inlineStr">
        <is>
          <t>Black Cobra</t>
        </is>
      </c>
      <c r="G230" s="5" t="inlineStr">
        <is>
          <t>Antagonist</t>
        </is>
      </c>
      <c r="H230" s="5" t="inlineStr">
        <is>
          <t>Major</t>
        </is>
      </c>
      <c r="I230" s="5" t="inlineStr">
        <is>
          <t>Credited as the film's principal antagonist.</t>
        </is>
      </c>
      <c r="J230" s="5" t="inlineStr">
        <is>
          <t>Undocumented.</t>
        </is>
      </c>
      <c r="K230" s="19" t="inlineStr">
        <is>
          <t>Credited as Black Cobra, the villain of an action film whose plot the article does not record.</t>
        </is>
      </c>
      <c r="L230" s="5" t="n"/>
      <c r="M230" s="5" t="inlineStr">
        <is>
          <t>SOURCE-035</t>
        </is>
      </c>
    </row>
    <row r="231" ht="49" customHeight="1">
      <c r="A231" s="15" t="inlineStr">
        <is>
          <t>CAST-221</t>
        </is>
      </c>
      <c r="B231" s="18" t="inlineStr">
        <is>
          <t>FILM-034</t>
        </is>
      </c>
      <c r="C231" s="5" t="inlineStr">
        <is>
          <t>Katilon Ke Kaatil</t>
        </is>
      </c>
      <c r="D231" s="17" t="n">
        <v>1981</v>
      </c>
      <c r="E231" s="5" t="inlineStr">
        <is>
          <t>Nirupa Roy</t>
        </is>
      </c>
      <c r="F231" s="5" t="inlineStr">
        <is>
          <t>Mrs. Radha Pratap Singh</t>
        </is>
      </c>
      <c r="G231" s="5" t="inlineStr">
        <is>
          <t>Family</t>
        </is>
      </c>
      <c r="H231" s="5" t="inlineStr">
        <is>
          <t>Medium</t>
        </is>
      </c>
      <c r="I231" s="5" t="inlineStr">
        <is>
          <t>Credited as the mother of the two brothers.</t>
        </is>
      </c>
      <c r="J231" s="5" t="inlineStr">
        <is>
          <t>Undocumented.</t>
        </is>
      </c>
      <c r="K231" s="19" t="inlineStr">
        <is>
          <t>Credited as Radha Pratap Singh, widow of the dead father, in the family register the actress worked in throughout the period.</t>
        </is>
      </c>
      <c r="L231" s="5" t="n"/>
      <c r="M231" s="5" t="inlineStr">
        <is>
          <t>SOURCE-035</t>
        </is>
      </c>
    </row>
    <row r="232" ht="34" customHeight="1">
      <c r="A232" s="15" t="inlineStr">
        <is>
          <t>CAST-222</t>
        </is>
      </c>
      <c r="B232" s="18" t="inlineStr">
        <is>
          <t>FILM-034</t>
        </is>
      </c>
      <c r="C232" s="5" t="inlineStr">
        <is>
          <t>Katilon Ke Kaatil</t>
        </is>
      </c>
      <c r="D232" s="17" t="n">
        <v>1981</v>
      </c>
      <c r="E232" s="5" t="inlineStr">
        <is>
          <t>Pradeep Kumar</t>
        </is>
      </c>
      <c r="F232" s="5" t="inlineStr">
        <is>
          <t>Pratap Singh</t>
        </is>
      </c>
      <c r="G232" s="5" t="inlineStr">
        <is>
          <t>Family</t>
        </is>
      </c>
      <c r="H232" s="5" t="inlineStr">
        <is>
          <t>Minor</t>
        </is>
      </c>
      <c r="I232" s="5" t="inlineStr">
        <is>
          <t>Credited as the brothers' father, already dead within the story.</t>
        </is>
      </c>
      <c r="J232" s="5" t="inlineStr">
        <is>
          <t>Undocumented.</t>
        </is>
      </c>
      <c r="K232" s="19" t="inlineStr">
        <is>
          <t>Credited as Pratap Singh, Ajit and Munna's father, marked dead in the cast list itself.</t>
        </is>
      </c>
      <c r="L232" s="5" t="n"/>
      <c r="M232" s="5" t="inlineStr">
        <is>
          <t>SOURCE-035</t>
        </is>
      </c>
    </row>
    <row r="233" ht="34" customHeight="1">
      <c r="A233" s="15" t="inlineStr">
        <is>
          <t>CAST-223</t>
        </is>
      </c>
      <c r="B233" s="18" t="inlineStr">
        <is>
          <t>FILM-034</t>
        </is>
      </c>
      <c r="C233" s="5" t="inlineStr">
        <is>
          <t>Katilon Ke Kaatil</t>
        </is>
      </c>
      <c r="D233" s="17" t="n">
        <v>1981</v>
      </c>
      <c r="E233" s="5" t="inlineStr">
        <is>
          <t>Shakti Kapoor</t>
        </is>
      </c>
      <c r="F233" s="5" t="inlineStr">
        <is>
          <t>Jimmy / Michael</t>
        </is>
      </c>
      <c r="G233" s="5" t="inlineStr">
        <is>
          <t>Antagonist</t>
        </is>
      </c>
      <c r="H233" s="5" t="inlineStr">
        <is>
          <t>Medium</t>
        </is>
      </c>
      <c r="I233" s="5" t="inlineStr">
        <is>
          <t>Credited among the film's opposition under two names.</t>
        </is>
      </c>
      <c r="J233" s="5" t="inlineStr">
        <is>
          <t>Undocumented.</t>
        </is>
      </c>
      <c r="K233" s="19" t="inlineStr">
        <is>
          <t>Credited as Jimmy, also Michael, in the undocumented villain ranks beneath Black Cobra.</t>
        </is>
      </c>
      <c r="L233" s="5" t="n"/>
      <c r="M233" s="5" t="inlineStr">
        <is>
          <t>SOURCE-035</t>
        </is>
      </c>
    </row>
    <row r="234" ht="49" customHeight="1">
      <c r="A234" s="15" t="inlineStr">
        <is>
          <t>CAST-224</t>
        </is>
      </c>
      <c r="B234" s="18" t="inlineStr">
        <is>
          <t>FILM-034</t>
        </is>
      </c>
      <c r="C234" s="5" t="inlineStr">
        <is>
          <t>Katilon Ke Kaatil</t>
        </is>
      </c>
      <c r="D234" s="17" t="n">
        <v>1981</v>
      </c>
      <c r="E234" s="5" t="inlineStr">
        <is>
          <t>Bruce Le</t>
        </is>
      </c>
      <c r="F234" s="5" t="inlineStr">
        <is>
          <t>Goon</t>
        </is>
      </c>
      <c r="G234" s="5" t="inlineStr">
        <is>
          <t>Supporting</t>
        </is>
      </c>
      <c r="H234" s="5" t="inlineStr">
        <is>
          <t>Minor</t>
        </is>
      </c>
      <c r="I234" s="5" t="inlineStr">
        <is>
          <t>Credited as a goon in the film's action.</t>
        </is>
      </c>
      <c r="J234" s="5" t="inlineStr">
        <is>
          <t>No part in any romance.</t>
        </is>
      </c>
      <c r="K234" s="19" t="inlineStr">
        <is>
          <t>The Bruceploitation performer Bruce Le, credited as a goon, a sign of the martial-arts register this Arjun Hingorani action film was working in.</t>
        </is>
      </c>
      <c r="L234" s="5" t="n"/>
      <c r="M234" s="5" t="inlineStr">
        <is>
          <t>SOURCE-035</t>
        </is>
      </c>
    </row>
    <row r="235" ht="64" customHeight="1">
      <c r="A235" s="15" t="inlineStr">
        <is>
          <t>CAST-225</t>
        </is>
      </c>
      <c r="B235" s="18" t="inlineStr">
        <is>
          <t>FILM-035</t>
        </is>
      </c>
      <c r="C235" s="5" t="inlineStr">
        <is>
          <t>Zamaane Ko Dikhana Hai</t>
        </is>
      </c>
      <c r="D235" s="17" t="n">
        <v>1982</v>
      </c>
      <c r="E235" s="5" t="inlineStr">
        <is>
          <t>Padmini Kolhapure</t>
        </is>
      </c>
      <c r="F235" s="5" t="inlineStr">
        <is>
          <t>Kanchan</t>
        </is>
      </c>
      <c r="G235" s="5" t="inlineStr">
        <is>
          <t>Co-lead</t>
        </is>
      </c>
      <c r="H235" s="5" t="inlineStr">
        <is>
          <t>Major</t>
        </is>
      </c>
      <c r="I235" s="5" t="inlineStr">
        <is>
          <t>The woman Ravi falls in love with while looking for his brother, and who refuses him once she learns whose son he is.</t>
        </is>
      </c>
      <c r="J235" s="5" t="inlineStr">
        <is>
          <t>The whole of the pairing in Romances, broken off by her rather than by the family that would have broken it.</t>
        </is>
      </c>
      <c r="K235" s="19" t="inlineStr">
        <is>
          <t>The sister of the dead Seema, raising her nephew, who returns Ravi's love until she learns he is Nanda's son and refuses him, certain she will be rejected exactly as her sister was.</t>
        </is>
      </c>
      <c r="L235" s="5" t="n"/>
      <c r="M235" s="5" t="inlineStr">
        <is>
          <t>SOURCE-036</t>
        </is>
      </c>
    </row>
    <row r="236" ht="79" customHeight="1">
      <c r="A236" s="15" t="inlineStr">
        <is>
          <t>CAST-226</t>
        </is>
      </c>
      <c r="B236" s="18" t="inlineStr">
        <is>
          <t>FILM-035</t>
        </is>
      </c>
      <c r="C236" s="5" t="inlineStr">
        <is>
          <t>Zamaane Ko Dikhana Hai</t>
        </is>
      </c>
      <c r="D236" s="17" t="n">
        <v>1982</v>
      </c>
      <c r="E236" s="5" t="inlineStr">
        <is>
          <t>Shreeram Lagoo</t>
        </is>
      </c>
      <c r="F236" s="5" t="inlineStr">
        <is>
          <t>S. K. Nanda</t>
        </is>
      </c>
      <c r="G236" s="5" t="inlineStr">
        <is>
          <t>Family</t>
        </is>
      </c>
      <c r="H236" s="5" t="inlineStr">
        <is>
          <t>Major</t>
        </is>
      </c>
      <c r="I236" s="5" t="inlineStr">
        <is>
          <t>Credited as the senior Nanda; the synopsis's industrialist father, who drove out his eldest son and then pursues that son's child, is named only as Nanda.</t>
        </is>
      </c>
      <c r="J236" s="5" t="inlineStr">
        <is>
          <t>The external opposition the heroine anticipates and acts on before it can reach her.</t>
        </is>
      </c>
      <c r="K236" s="19" t="inlineStr">
        <is>
          <t>Credited as S. K. Nanda, the family head in a plot driven by a father who disinherits one son for marrying a poor woman and schemes to adopt that son's child.</t>
        </is>
      </c>
      <c r="L236" s="5" t="n"/>
      <c r="M236" s="5" t="inlineStr">
        <is>
          <t>SOURCE-036</t>
        </is>
      </c>
    </row>
    <row r="237" ht="64" customHeight="1">
      <c r="A237" s="15" t="inlineStr">
        <is>
          <t>CAST-227</t>
        </is>
      </c>
      <c r="B237" s="18" t="inlineStr">
        <is>
          <t>FILM-035</t>
        </is>
      </c>
      <c r="C237" s="5" t="inlineStr">
        <is>
          <t>Zamaane Ko Dikhana Hai</t>
        </is>
      </c>
      <c r="D237" s="17" t="n">
        <v>1982</v>
      </c>
      <c r="E237" s="5" t="inlineStr">
        <is>
          <t>Randhir Kapoor</t>
        </is>
      </c>
      <c r="F237" s="5" t="inlineStr">
        <is>
          <t>Ramesh Nanda</t>
        </is>
      </c>
      <c r="G237" s="5" t="inlineStr">
        <is>
          <t>Family</t>
        </is>
      </c>
      <c r="H237" s="5" t="inlineStr">
        <is>
          <t>Medium</t>
        </is>
      </c>
      <c r="I237" s="5" t="inlineStr">
        <is>
          <t>Ravi's elder brother, whose disinheritance and death set the search going; played by Kapoor's own elder brother.</t>
        </is>
      </c>
      <c r="J237" s="5" t="inlineStr">
        <is>
          <t>His marriage is the precedent that makes the heroine refuse Ravi.</t>
        </is>
      </c>
      <c r="K237" s="19" t="inlineStr">
        <is>
          <t>In a special appearance as the eldest Nanda son, who marries the poor Seema against his father's will, leaves the house, and is dead before the search reaches him.</t>
        </is>
      </c>
      <c r="L237" s="5" t="n"/>
      <c r="M237" s="5" t="inlineStr">
        <is>
          <t>SOURCE-036</t>
        </is>
      </c>
    </row>
    <row r="238" ht="49" customHeight="1">
      <c r="A238" s="15" t="inlineStr">
        <is>
          <t>CAST-228</t>
        </is>
      </c>
      <c r="B238" s="18" t="inlineStr">
        <is>
          <t>FILM-035</t>
        </is>
      </c>
      <c r="C238" s="5" t="inlineStr">
        <is>
          <t>Zamaane Ko Dikhana Hai</t>
        </is>
      </c>
      <c r="D238" s="17" t="n">
        <v>1982</v>
      </c>
      <c r="E238" s="5" t="inlineStr">
        <is>
          <t>Amjad Khan</t>
        </is>
      </c>
      <c r="F238" s="5" t="inlineStr">
        <is>
          <t>Shareef Khan, with four aliases</t>
        </is>
      </c>
      <c r="G238" s="5" t="inlineStr">
        <is>
          <t>Antagonist</t>
        </is>
      </c>
      <c r="H238" s="5" t="inlineStr">
        <is>
          <t>Major</t>
        </is>
      </c>
      <c r="I238" s="5" t="inlineStr">
        <is>
          <t>The film's antagonist, credited under five names.</t>
        </is>
      </c>
      <c r="J238" s="5" t="inlineStr">
        <is>
          <t>The comic-thriller machinery the courtship is carried through.</t>
        </is>
      </c>
      <c r="K238" s="19" t="inlineStr">
        <is>
          <t>Credited as Shareef Khan alongside Sharafat, Karamat, Salamat and Wajahat Ali, a one-man set of disguises in a film built on mistaken and assumed identities.</t>
        </is>
      </c>
      <c r="L238" s="5" t="n"/>
      <c r="M238" s="5" t="inlineStr">
        <is>
          <t>SOURCE-036</t>
        </is>
      </c>
    </row>
    <row r="239" ht="34" customHeight="1">
      <c r="A239" s="15" t="inlineStr">
        <is>
          <t>CAST-229</t>
        </is>
      </c>
      <c r="B239" s="18" t="inlineStr">
        <is>
          <t>FILM-035</t>
        </is>
      </c>
      <c r="C239" s="5" t="inlineStr">
        <is>
          <t>Zamaane Ko Dikhana Hai</t>
        </is>
      </c>
      <c r="D239" s="17" t="n">
        <v>1982</v>
      </c>
      <c r="E239" s="5" t="inlineStr">
        <is>
          <t>Kader Khan</t>
        </is>
      </c>
      <c r="F239" s="5" t="inlineStr">
        <is>
          <t>Shekhar Nanda</t>
        </is>
      </c>
      <c r="G239" s="5" t="inlineStr">
        <is>
          <t>Family</t>
        </is>
      </c>
      <c r="H239" s="5" t="inlineStr">
        <is>
          <t>Medium</t>
        </is>
      </c>
      <c r="I239" s="5" t="inlineStr">
        <is>
          <t>Credited within the Nanda family; the synopsis does not place him.</t>
        </is>
      </c>
      <c r="J239" s="5" t="inlineStr">
        <is>
          <t>Undocumented.</t>
        </is>
      </c>
      <c r="K239" s="19" t="inlineStr">
        <is>
          <t>Credited as Shekhar Nanda, one of two Nanda credits the article's plot summary leaves unaccounted for.</t>
        </is>
      </c>
      <c r="L239" s="5" t="n"/>
      <c r="M239" s="5" t="inlineStr">
        <is>
          <t>SOURCE-036</t>
        </is>
      </c>
    </row>
    <row r="240" ht="34" customHeight="1">
      <c r="A240" s="15" t="inlineStr">
        <is>
          <t>CAST-230</t>
        </is>
      </c>
      <c r="B240" s="18" t="inlineStr">
        <is>
          <t>FILM-035</t>
        </is>
      </c>
      <c r="C240" s="5" t="inlineStr">
        <is>
          <t>Zamaane Ko Dikhana Hai</t>
        </is>
      </c>
      <c r="D240" s="17" t="n">
        <v>1982</v>
      </c>
      <c r="E240" s="5" t="inlineStr">
        <is>
          <t>Yogeeta Bali</t>
        </is>
      </c>
      <c r="F240" s="5" t="inlineStr">
        <is>
          <t>Razia Khan</t>
        </is>
      </c>
      <c r="G240" s="5" t="inlineStr">
        <is>
          <t>Supporting</t>
        </is>
      </c>
      <c r="H240" s="5" t="inlineStr">
        <is>
          <t>Medium</t>
        </is>
      </c>
      <c r="I240" s="5" t="inlineStr">
        <is>
          <t>Credited in support, in the plot's disguise machinery.</t>
        </is>
      </c>
      <c r="J240" s="5" t="inlineStr">
        <is>
          <t>No documented part in the pairing.</t>
        </is>
      </c>
      <c r="K240" s="19" t="inlineStr">
        <is>
          <t>Credited as Razia Khan, in the film's second tier of identities and complications.</t>
        </is>
      </c>
      <c r="L240" s="5" t="n"/>
      <c r="M240" s="5" t="inlineStr">
        <is>
          <t>SOURCE-036</t>
        </is>
      </c>
    </row>
    <row r="241" ht="49" customHeight="1">
      <c r="A241" s="15" t="inlineStr">
        <is>
          <t>CAST-231</t>
        </is>
      </c>
      <c r="B241" s="18" t="inlineStr">
        <is>
          <t>FILM-035</t>
        </is>
      </c>
      <c r="C241" s="5" t="inlineStr">
        <is>
          <t>Zamaane Ko Dikhana Hai</t>
        </is>
      </c>
      <c r="D241" s="17" t="n">
        <v>1982</v>
      </c>
      <c r="E241" s="5" t="inlineStr">
        <is>
          <t>Simple Kapadia</t>
        </is>
      </c>
      <c r="F241" s="5" t="inlineStr">
        <is>
          <t>Kanchan Tipsee</t>
        </is>
      </c>
      <c r="G241" s="5" t="inlineStr">
        <is>
          <t>Supporting</t>
        </is>
      </c>
      <c r="H241" s="5" t="inlineStr">
        <is>
          <t>Medium</t>
        </is>
      </c>
      <c r="I241" s="5" t="inlineStr">
        <is>
          <t>Credited with the same first name as the heroine, in a film that runs on confused identity.</t>
        </is>
      </c>
      <c r="J241" s="5" t="inlineStr">
        <is>
          <t>The name duplication sits at the centre of the film's identity comedy rather than of the romance.</t>
        </is>
      </c>
      <c r="K241" s="19" t="inlineStr">
        <is>
          <t>Credited as Kanchan Tipsee, daughter of Colonel I. M. Tipsee, sharing the heroine's name in a plot organised around mistaken ones.</t>
        </is>
      </c>
      <c r="L241" s="5" t="n"/>
      <c r="M241" s="5" t="inlineStr">
        <is>
          <t>SOURCE-036</t>
        </is>
      </c>
    </row>
    <row r="242" ht="34" customHeight="1">
      <c r="A242" s="15" t="inlineStr">
        <is>
          <t>CAST-232</t>
        </is>
      </c>
      <c r="B242" s="18" t="inlineStr">
        <is>
          <t>FILM-035</t>
        </is>
      </c>
      <c r="C242" s="5" t="inlineStr">
        <is>
          <t>Zamaane Ko Dikhana Hai</t>
        </is>
      </c>
      <c r="D242" s="17" t="n">
        <v>1982</v>
      </c>
      <c r="E242" s="5" t="inlineStr">
        <is>
          <t>Om Shivpuri</t>
        </is>
      </c>
      <c r="F242" s="5" t="inlineStr">
        <is>
          <t>Colonel I. M. Tipsee</t>
        </is>
      </c>
      <c r="G242" s="5" t="inlineStr">
        <is>
          <t>Authority figure</t>
        </is>
      </c>
      <c r="H242" s="5" t="inlineStr">
        <is>
          <t>Minor</t>
        </is>
      </c>
      <c r="I242" s="5" t="inlineStr">
        <is>
          <t>A credited authority figure, father of the second Kanchan.</t>
        </is>
      </c>
      <c r="J242" s="5" t="inlineStr">
        <is>
          <t>No documented part in the pairing.</t>
        </is>
      </c>
      <c r="K242" s="19" t="inlineStr">
        <is>
          <t>Credited as Colonel I. M. Tipsee, whose household supplies the film's second Kanchan.</t>
        </is>
      </c>
      <c r="L242" s="5" t="n"/>
      <c r="M242" s="5" t="inlineStr">
        <is>
          <t>SOURCE-036</t>
        </is>
      </c>
    </row>
    <row r="243" ht="64" customHeight="1">
      <c r="A243" s="15" t="inlineStr">
        <is>
          <t>CAST-233</t>
        </is>
      </c>
      <c r="B243" s="18" t="inlineStr">
        <is>
          <t>FILM-036</t>
        </is>
      </c>
      <c r="C243" s="5" t="inlineStr">
        <is>
          <t>Yeh Vaada Raha</t>
        </is>
      </c>
      <c r="D243" s="17" t="n">
        <v>1982</v>
      </c>
      <c r="E243" s="5" t="inlineStr">
        <is>
          <t>Poonam Dhillon</t>
        </is>
      </c>
      <c r="F243" s="5" t="inlineStr">
        <is>
          <t>Sunita Sikkan</t>
        </is>
      </c>
      <c r="G243" s="5" t="inlineStr">
        <is>
          <t>Co-lead</t>
        </is>
      </c>
      <c r="H243" s="5" t="inlineStr">
        <is>
          <t>Major</t>
        </is>
      </c>
      <c r="I243" s="5" t="inlineStr">
        <is>
          <t>The singer Vikram loves in Srinagar and vows at a temple never to leave.</t>
        </is>
      </c>
      <c r="J243" s="5" t="inlineStr">
        <is>
          <t>The first face of the single pairing in Romances, which two actresses share across the disfigurement.</t>
        </is>
      </c>
      <c r="K243" s="19" t="inlineStr">
        <is>
          <t>A penniless singer who exchanges vows with Vikram at a temple, is badly disfigured in the crash on the way to their wedding, and is persuaded by his mother that he could never love her as she is.</t>
        </is>
      </c>
      <c r="L243" s="5" t="n"/>
      <c r="M243" s="5" t="inlineStr">
        <is>
          <t>SOURCE-034</t>
        </is>
      </c>
    </row>
    <row r="244" ht="64" customHeight="1">
      <c r="A244" s="15" t="inlineStr">
        <is>
          <t>CAST-234</t>
        </is>
      </c>
      <c r="B244" s="18" t="inlineStr">
        <is>
          <t>FILM-036</t>
        </is>
      </c>
      <c r="C244" s="5" t="inlineStr">
        <is>
          <t>Yeh Vaada Raha</t>
        </is>
      </c>
      <c r="D244" s="17" t="n">
        <v>1982</v>
      </c>
      <c r="E244" s="5" t="inlineStr">
        <is>
          <t>Tina Munim</t>
        </is>
      </c>
      <c r="F244" s="5" t="inlineStr">
        <is>
          <t>Kusum Mehra, Sunita after surgery</t>
        </is>
      </c>
      <c r="G244" s="5" t="inlineStr">
        <is>
          <t>Co-lead</t>
        </is>
      </c>
      <c r="H244" s="5" t="inlineStr">
        <is>
          <t>Major</t>
        </is>
      </c>
      <c r="I244" s="5" t="inlineStr">
        <is>
          <t>The same woman after plastic surgery, standing in front of a man who cannot recognise her.</t>
        </is>
      </c>
      <c r="J244" s="5" t="inlineStr">
        <is>
          <t>The second face of the same pairing, and the whole of its long middle section.</t>
        </is>
      </c>
      <c r="K244" s="19" t="inlineStr">
        <is>
          <t>Sunita remade by Dr. Mehra's surgery into a woman who looks nothing like herself, taking the name Kusum Mehra, and finding Vikram engaged to another woman and raising money in her memory.</t>
        </is>
      </c>
      <c r="L244" s="5" t="n"/>
      <c r="M244" s="5" t="inlineStr">
        <is>
          <t>SOURCE-034</t>
        </is>
      </c>
    </row>
    <row r="245" ht="64" customHeight="1">
      <c r="A245" s="15" t="inlineStr">
        <is>
          <t>CAST-235</t>
        </is>
      </c>
      <c r="B245" s="18" t="inlineStr">
        <is>
          <t>FILM-036</t>
        </is>
      </c>
      <c r="C245" s="5" t="inlineStr">
        <is>
          <t>Yeh Vaada Raha</t>
        </is>
      </c>
      <c r="D245" s="17" t="n">
        <v>1982</v>
      </c>
      <c r="E245" s="5" t="inlineStr">
        <is>
          <t>Raakhee</t>
        </is>
      </c>
      <c r="F245" s="5" t="inlineStr">
        <is>
          <t>Sharda Rai Bahadur</t>
        </is>
      </c>
      <c r="G245" s="5" t="inlineStr">
        <is>
          <t>Family</t>
        </is>
      </c>
      <c r="H245" s="5" t="inlineStr">
        <is>
          <t>Major</t>
        </is>
      </c>
      <c r="I245" s="5" t="inlineStr">
        <is>
          <t>Vikram's mother, and the author of the separation.</t>
        </is>
      </c>
      <c r="J245" s="5" t="inlineStr">
        <is>
          <t>The entire external opposition: she lies to both of them, telling him Sunita is dead and her that he could not love her.</t>
        </is>
      </c>
      <c r="K245" s="19" t="inlineStr">
        <is>
          <t>A wealthy widow who opposes her son's marriage to a penniless singer for the sake of the family business, and after the crash tells each of them that the other is lost.</t>
        </is>
      </c>
      <c r="L245" s="5" t="n"/>
      <c r="M245" s="5" t="inlineStr">
        <is>
          <t>SOURCE-034</t>
        </is>
      </c>
    </row>
    <row r="246" ht="49" customHeight="1">
      <c r="A246" s="15" t="inlineStr">
        <is>
          <t>CAST-236</t>
        </is>
      </c>
      <c r="B246" s="18" t="inlineStr">
        <is>
          <t>FILM-036</t>
        </is>
      </c>
      <c r="C246" s="5" t="inlineStr">
        <is>
          <t>Yeh Vaada Raha</t>
        </is>
      </c>
      <c r="D246" s="17" t="n">
        <v>1982</v>
      </c>
      <c r="E246" s="5" t="inlineStr">
        <is>
          <t>Shammi Kapoor</t>
        </is>
      </c>
      <c r="F246" s="5" t="inlineStr">
        <is>
          <t>Dr. Mehra</t>
        </is>
      </c>
      <c r="G246" s="5" t="inlineStr">
        <is>
          <t>Mentor</t>
        </is>
      </c>
      <c r="H246" s="5" t="inlineStr">
        <is>
          <t>Major</t>
        </is>
      </c>
      <c r="I246" s="5" t="inlineStr">
        <is>
          <t>The surgeon who remakes the heroine and gives her his name and a daughter's place.</t>
        </is>
      </c>
      <c r="J246" s="5" t="inlineStr">
        <is>
          <t>Makes the second half of the romance possible and unrecognisable at the same time.</t>
        </is>
      </c>
      <c r="K246" s="19" t="inlineStr">
        <is>
          <t>A Delhi plastic surgeon who repairs Sunita's face, treats her as a daughter, and takes her to the concert where she hears Vikram sing without knowing it is him.</t>
        </is>
      </c>
      <c r="L246" s="5" t="n"/>
      <c r="M246" s="5" t="inlineStr">
        <is>
          <t>SOURCE-034</t>
        </is>
      </c>
    </row>
    <row r="247" ht="49" customHeight="1">
      <c r="A247" s="15" t="inlineStr">
        <is>
          <t>CAST-237</t>
        </is>
      </c>
      <c r="B247" s="18" t="inlineStr">
        <is>
          <t>FILM-036</t>
        </is>
      </c>
      <c r="C247" s="5" t="inlineStr">
        <is>
          <t>Yeh Vaada Raha</t>
        </is>
      </c>
      <c r="D247" s="17" t="n">
        <v>1982</v>
      </c>
      <c r="E247" s="5" t="inlineStr">
        <is>
          <t>Sarika</t>
        </is>
      </c>
      <c r="F247" s="5" t="inlineStr">
        <is>
          <t>Rita Saxena</t>
        </is>
      </c>
      <c r="G247" s="5" t="inlineStr">
        <is>
          <t>Romantic rival</t>
        </is>
      </c>
      <c r="H247" s="5" t="inlineStr">
        <is>
          <t>Medium</t>
        </is>
      </c>
      <c r="I247" s="5" t="inlineStr">
        <is>
          <t>The woman Vikram is engaged to while believing Sunita dead.</t>
        </is>
      </c>
      <c r="J247" s="5" t="inlineStr">
        <is>
          <t>The engagement the returning heroine finds in place, and the obstacle to recognition.</t>
        </is>
      </c>
      <c r="K247" s="19" t="inlineStr">
        <is>
          <t>Credited as Rita Saxena, daughter of Pannalal Saxena, the fiancee Vikram has taken while his first love is believed dead.</t>
        </is>
      </c>
      <c r="L247" s="5" t="n"/>
      <c r="M247" s="5" t="inlineStr">
        <is>
          <t>SOURCE-034</t>
        </is>
      </c>
    </row>
    <row r="248" ht="49" customHeight="1">
      <c r="A248" s="15" t="inlineStr">
        <is>
          <t>CAST-238</t>
        </is>
      </c>
      <c r="B248" s="18" t="inlineStr">
        <is>
          <t>FILM-036</t>
        </is>
      </c>
      <c r="C248" s="5" t="inlineStr">
        <is>
          <t>Yeh Vaada Raha</t>
        </is>
      </c>
      <c r="D248" s="17" t="n">
        <v>1982</v>
      </c>
      <c r="E248" s="5" t="inlineStr">
        <is>
          <t>Jaya Bachchan</t>
        </is>
      </c>
      <c r="F248" s="5" t="inlineStr">
        <is>
          <t>Voice of Sunita Sikkan</t>
        </is>
      </c>
      <c r="G248" s="5" t="inlineStr">
        <is>
          <t>Supporting</t>
        </is>
      </c>
      <c r="H248" s="5" t="inlineStr">
        <is>
          <t>Minor</t>
        </is>
      </c>
      <c r="I248" s="5" t="inlineStr">
        <is>
          <t>Supplies the heroine's speaking voice rather than appearing on screen.</t>
        </is>
      </c>
      <c r="J248" s="5" t="inlineStr">
        <is>
          <t>Carries the voice of the woman the romance is conducted with.</t>
        </is>
      </c>
      <c r="K248" s="19" t="inlineStr">
        <is>
          <t>Credited for the voice of Sunita Sikkan, an unusual dubbing credit in a plot that already splits the character between two performers.</t>
        </is>
      </c>
      <c r="L248" s="5" t="n"/>
      <c r="M248" s="5" t="inlineStr">
        <is>
          <t>SOURCE-034</t>
        </is>
      </c>
    </row>
    <row r="249" ht="34" customHeight="1">
      <c r="A249" s="15" t="inlineStr">
        <is>
          <t>CAST-239</t>
        </is>
      </c>
      <c r="B249" s="18" t="inlineStr">
        <is>
          <t>FILM-036</t>
        </is>
      </c>
      <c r="C249" s="5" t="inlineStr">
        <is>
          <t>Yeh Vaada Raha</t>
        </is>
      </c>
      <c r="D249" s="17" t="n">
        <v>1982</v>
      </c>
      <c r="E249" s="5" t="inlineStr">
        <is>
          <t>Rakesh Bedi</t>
        </is>
      </c>
      <c r="F249" s="5" t="inlineStr">
        <is>
          <t>Gogi</t>
        </is>
      </c>
      <c r="G249" s="5" t="inlineStr">
        <is>
          <t>Comic support</t>
        </is>
      </c>
      <c r="H249" s="5" t="inlineStr">
        <is>
          <t>Minor</t>
        </is>
      </c>
      <c r="I249" s="5" t="inlineStr">
        <is>
          <t>The comic companion in Vikram's world.</t>
        </is>
      </c>
      <c r="J249" s="5" t="inlineStr">
        <is>
          <t>Comic attendance on the courtship.</t>
        </is>
      </c>
      <c r="K249" s="19" t="inlineStr">
        <is>
          <t>Credited as Gogi, the comic support in a film otherwise built on separation and disguise.</t>
        </is>
      </c>
      <c r="L249" s="5" t="n"/>
      <c r="M249" s="5" t="inlineStr">
        <is>
          <t>SOURCE-034</t>
        </is>
      </c>
    </row>
    <row r="250" ht="64" customHeight="1">
      <c r="A250" s="15" t="inlineStr">
        <is>
          <t>CAST-240</t>
        </is>
      </c>
      <c r="B250" s="18" t="inlineStr">
        <is>
          <t>FILM-037</t>
        </is>
      </c>
      <c r="C250" s="5" t="inlineStr">
        <is>
          <t>Prem Rog</t>
        </is>
      </c>
      <c r="D250" s="17" t="n">
        <v>1982</v>
      </c>
      <c r="E250" s="5" t="inlineStr">
        <is>
          <t>Padmini Kolhapure</t>
        </is>
      </c>
      <c r="F250" s="5" t="inlineStr">
        <is>
          <t>Manorama Singh, called Rama</t>
        </is>
      </c>
      <c r="G250" s="5" t="inlineStr">
        <is>
          <t>Co-lead</t>
        </is>
      </c>
      <c r="H250" s="5" t="inlineStr">
        <is>
          <t>Major</t>
        </is>
      </c>
      <c r="I250" s="5" t="inlineStr">
        <is>
          <t>The aristocratic girl Dev grew up beside, loves without being loved in return, and then sets himself to rescuing.</t>
        </is>
      </c>
      <c r="J250" s="5" t="inlineStr">
        <is>
          <t>The whole of the pairing in Romances, in which the romance only becomes possible after her widowhood and her rape.</t>
        </is>
      </c>
      <c r="K250" s="19" t="inlineStr">
        <is>
          <t>The daughter of Chhote Thakur, infatuated with the prince she marries, widowed three days later, raped by her brother-in-law, and brought home to be shaved and shut away as a widow before Dev intervenes.</t>
        </is>
      </c>
      <c r="L250" s="5" t="inlineStr">
        <is>
          <t>Won Padmini Kolhapure the Filmfare Award for Best Actress.</t>
        </is>
      </c>
      <c r="M250" s="5" t="inlineStr">
        <is>
          <t>SOURCE-037</t>
        </is>
      </c>
    </row>
    <row r="251" ht="64" customHeight="1">
      <c r="A251" s="15" t="inlineStr">
        <is>
          <t>CAST-241</t>
        </is>
      </c>
      <c r="B251" s="18" t="inlineStr">
        <is>
          <t>FILM-037</t>
        </is>
      </c>
      <c r="C251" s="5" t="inlineStr">
        <is>
          <t>Prem Rog</t>
        </is>
      </c>
      <c r="D251" s="17" t="n">
        <v>1982</v>
      </c>
      <c r="E251" s="5" t="inlineStr">
        <is>
          <t>Shammi Kapoor</t>
        </is>
      </c>
      <c r="F251" s="5" t="inlineStr">
        <is>
          <t>Bade Raja Thakur</t>
        </is>
      </c>
      <c r="G251" s="5" t="inlineStr">
        <is>
          <t>Authority figure</t>
        </is>
      </c>
      <c r="H251" s="5" t="inlineStr">
        <is>
          <t>Major</t>
        </is>
      </c>
      <c r="I251" s="5" t="inlineStr">
        <is>
          <t>Rama's paternal uncle, the village elder Dev thinks broad-minded enough to be asked for her hand, and the man who paid for his education.</t>
        </is>
      </c>
      <c r="J251" s="5" t="inlineStr">
        <is>
          <t>The authority whose eventual consent decides whether a widow may remarry.</t>
        </is>
      </c>
      <c r="K251" s="19" t="inlineStr">
        <is>
          <t>The head of the aristocratic family, benevolent enough to send a poor orphan to the city for study, and the figure whose protest against the head-shaving marks the limit of custom he will accept.</t>
        </is>
      </c>
      <c r="L251" s="5" t="n"/>
      <c r="M251" s="5" t="inlineStr">
        <is>
          <t>SOURCE-037</t>
        </is>
      </c>
    </row>
    <row r="252" ht="49" customHeight="1">
      <c r="A252" s="15" t="inlineStr">
        <is>
          <t>CAST-242</t>
        </is>
      </c>
      <c r="B252" s="18" t="inlineStr">
        <is>
          <t>FILM-037</t>
        </is>
      </c>
      <c r="C252" s="5" t="inlineStr">
        <is>
          <t>Prem Rog</t>
        </is>
      </c>
      <c r="D252" s="17" t="n">
        <v>1982</v>
      </c>
      <c r="E252" s="5" t="inlineStr">
        <is>
          <t>Nanda</t>
        </is>
      </c>
      <c r="F252" s="5" t="inlineStr">
        <is>
          <t>Chhoti Maa</t>
        </is>
      </c>
      <c r="G252" s="5" t="inlineStr">
        <is>
          <t>Family</t>
        </is>
      </c>
      <c r="H252" s="5" t="inlineStr">
        <is>
          <t>Major</t>
        </is>
      </c>
      <c r="I252" s="5" t="inlineStr">
        <is>
          <t>Rama's mother, and one of only two people who learn of Dev's feelings.</t>
        </is>
      </c>
      <c r="J252" s="5" t="inlineStr">
        <is>
          <t>The pairing's chief ally inside the family, protesting the widow's treatment.</t>
        </is>
      </c>
      <c r="K252" s="19" t="inlineStr">
        <is>
          <t>Rama's mother, who knows what Dev feels and says nothing, and who argues against her daughter's head being shaved when the household prepares it.</t>
        </is>
      </c>
      <c r="L252" s="5" t="n"/>
      <c r="M252" s="5" t="inlineStr">
        <is>
          <t>SOURCE-037</t>
        </is>
      </c>
    </row>
    <row r="253" ht="64" customHeight="1">
      <c r="A253" s="15" t="inlineStr">
        <is>
          <t>CAST-243</t>
        </is>
      </c>
      <c r="B253" s="18" t="inlineStr">
        <is>
          <t>FILM-037</t>
        </is>
      </c>
      <c r="C253" s="5" t="inlineStr">
        <is>
          <t>Prem Rog</t>
        </is>
      </c>
      <c r="D253" s="17" t="n">
        <v>1982</v>
      </c>
      <c r="E253" s="5" t="inlineStr">
        <is>
          <t>Vijayendra Ghatge</t>
        </is>
      </c>
      <c r="F253" s="5" t="inlineStr">
        <is>
          <t>Kunwar Narendra Pratap Singh</t>
        </is>
      </c>
      <c r="G253" s="5" t="inlineStr">
        <is>
          <t>Romantic rival</t>
        </is>
      </c>
      <c r="H253" s="5" t="inlineStr">
        <is>
          <t>Major</t>
        </is>
      </c>
      <c r="I253" s="5" t="inlineStr">
        <is>
          <t>The wealthier, titled man Rama is infatuated with and marries, in whose presence Dev never declares himself.</t>
        </is>
      </c>
      <c r="J253" s="5" t="inlineStr">
        <is>
          <t>The rival whose death, three days after the wedding, converts the film from unrequited love into a widow-remarriage drama.</t>
        </is>
      </c>
      <c r="K253" s="19" t="inlineStr">
        <is>
          <t>A prince richer than Rama's own family, who loves her dearly and dies in a road accident three days after their wedding.</t>
        </is>
      </c>
      <c r="L253" s="5" t="n"/>
      <c r="M253" s="5" t="inlineStr">
        <is>
          <t>SOURCE-037</t>
        </is>
      </c>
    </row>
    <row r="254" ht="49" customHeight="1">
      <c r="A254" s="15" t="inlineStr">
        <is>
          <t>CAST-244</t>
        </is>
      </c>
      <c r="B254" s="18" t="inlineStr">
        <is>
          <t>FILM-037</t>
        </is>
      </c>
      <c r="C254" s="5" t="inlineStr">
        <is>
          <t>Prem Rog</t>
        </is>
      </c>
      <c r="D254" s="17" t="n">
        <v>1982</v>
      </c>
      <c r="E254" s="5" t="inlineStr">
        <is>
          <t>Raza Murad</t>
        </is>
      </c>
      <c r="F254" s="5" t="inlineStr">
        <is>
          <t>Raja Virendra Pratap Singh</t>
        </is>
      </c>
      <c r="G254" s="5" t="inlineStr">
        <is>
          <t>Antagonist</t>
        </is>
      </c>
      <c r="H254" s="5" t="inlineStr">
        <is>
          <t>Major</t>
        </is>
      </c>
      <c r="I254" s="5" t="inlineStr">
        <is>
          <t>The dead husband's elder brother, and the man whose rape of Rama Dev's rescue is set against.</t>
        </is>
      </c>
      <c r="J254" s="5" t="inlineStr">
        <is>
          <t>The film's gravest external violence against the pairing, and the act the community then punishes her for.</t>
        </is>
      </c>
      <c r="K254" s="19" t="inlineStr">
        <is>
          <t>Narendra's elder brother, who rapes his widowed sister-in-law, the crime on which the film's attack on the treatment of widows turns.</t>
        </is>
      </c>
      <c r="L254" s="5" t="n"/>
      <c r="M254" s="5" t="inlineStr">
        <is>
          <t>SOURCE-037</t>
        </is>
      </c>
    </row>
    <row r="255" ht="49" customHeight="1">
      <c r="A255" s="15" t="inlineStr">
        <is>
          <t>CAST-245</t>
        </is>
      </c>
      <c r="B255" s="18" t="inlineStr">
        <is>
          <t>FILM-037</t>
        </is>
      </c>
      <c r="C255" s="5" t="inlineStr">
        <is>
          <t>Prem Rog</t>
        </is>
      </c>
      <c r="D255" s="17" t="n">
        <v>1982</v>
      </c>
      <c r="E255" s="5" t="inlineStr">
        <is>
          <t>Kulbhushan Kharbanda</t>
        </is>
      </c>
      <c r="F255" s="5" t="inlineStr">
        <is>
          <t>Virendra Singh, called Vir</t>
        </is>
      </c>
      <c r="G255" s="5" t="inlineStr">
        <is>
          <t>Family</t>
        </is>
      </c>
      <c r="H255" s="5" t="inlineStr">
        <is>
          <t>Major</t>
        </is>
      </c>
      <c r="I255" s="5" t="inlineStr">
        <is>
          <t>Rama's father, the Chhote Thakur of the house Dev petitions.</t>
        </is>
      </c>
      <c r="J255" s="5" t="inlineStr">
        <is>
          <t>Family authority over the match, compromised by his own secret affair.</t>
        </is>
      </c>
      <c r="K255" s="19" t="inlineStr">
        <is>
          <t>Rama's father, keeping a secret affair with Chamiya while his daughter's marriage and then her widowhood are settled by the family's standing.</t>
        </is>
      </c>
      <c r="L255" s="5" t="n"/>
      <c r="M255" s="5" t="inlineStr">
        <is>
          <t>SOURCE-037</t>
        </is>
      </c>
    </row>
    <row r="256" ht="49" customHeight="1">
      <c r="A256" s="15" t="inlineStr">
        <is>
          <t>CAST-246</t>
        </is>
      </c>
      <c r="B256" s="18" t="inlineStr">
        <is>
          <t>FILM-037</t>
        </is>
      </c>
      <c r="C256" s="5" t="inlineStr">
        <is>
          <t>Prem Rog</t>
        </is>
      </c>
      <c r="D256" s="17" t="n">
        <v>1982</v>
      </c>
      <c r="E256" s="5" t="inlineStr">
        <is>
          <t>Tanuja</t>
        </is>
      </c>
      <c r="F256" s="5" t="inlineStr">
        <is>
          <t>Raj Rani</t>
        </is>
      </c>
      <c r="G256" s="5" t="inlineStr">
        <is>
          <t>Supporting</t>
        </is>
      </c>
      <c r="H256" s="5" t="inlineStr">
        <is>
          <t>Medium</t>
        </is>
      </c>
      <c r="I256" s="5" t="inlineStr">
        <is>
          <t>The sister-in-law who arrives at the point where Rama's head is to be shaved.</t>
        </is>
      </c>
      <c r="J256" s="5" t="inlineStr">
        <is>
          <t>Intervenes at the film's crisis, on the side of the widow's future.</t>
        </is>
      </c>
      <c r="K256" s="19" t="inlineStr">
        <is>
          <t>Wife of Raja Virendra Pratap Singh, present at the household's preparation to shave the young widow's head.</t>
        </is>
      </c>
      <c r="L256" s="5" t="n"/>
      <c r="M256" s="5" t="inlineStr">
        <is>
          <t>SOURCE-037</t>
        </is>
      </c>
    </row>
    <row r="257" ht="49" customHeight="1">
      <c r="A257" s="15" t="inlineStr">
        <is>
          <t>CAST-247</t>
        </is>
      </c>
      <c r="B257" s="18" t="inlineStr">
        <is>
          <t>FILM-037</t>
        </is>
      </c>
      <c r="C257" s="5" t="inlineStr">
        <is>
          <t>Prem Rog</t>
        </is>
      </c>
      <c r="D257" s="17" t="n">
        <v>1982</v>
      </c>
      <c r="E257" s="5" t="inlineStr">
        <is>
          <t>Om Prakash</t>
        </is>
      </c>
      <c r="F257" s="5" t="inlineStr">
        <is>
          <t>Panditji, Dev's maternal uncle</t>
        </is>
      </c>
      <c r="G257" s="5" t="inlineStr">
        <is>
          <t>Family</t>
        </is>
      </c>
      <c r="H257" s="5" t="inlineStr">
        <is>
          <t>Medium</t>
        </is>
      </c>
      <c r="I257" s="5" t="inlineStr">
        <is>
          <t>The uncle who raised the orphaned Dev, and the village priest.</t>
        </is>
      </c>
      <c r="J257" s="5" t="inlineStr">
        <is>
          <t>Places Dev's own family inside the religious custom the marriage would break.</t>
        </is>
      </c>
      <c r="K257" s="19" t="inlineStr">
        <is>
          <t>The village priest and Dev's maternal uncle, who brought him up, and whose office is part of the orthodoxy his nephew sets himself against.</t>
        </is>
      </c>
      <c r="L257" s="5" t="n"/>
      <c r="M257" s="5" t="inlineStr">
        <is>
          <t>SOURCE-037</t>
        </is>
      </c>
    </row>
    <row r="258" ht="49" customHeight="1">
      <c r="A258" s="15" t="inlineStr">
        <is>
          <t>CAST-248</t>
        </is>
      </c>
      <c r="B258" s="18" t="inlineStr">
        <is>
          <t>FILM-037</t>
        </is>
      </c>
      <c r="C258" s="5" t="inlineStr">
        <is>
          <t>Prem Rog</t>
        </is>
      </c>
      <c r="D258" s="17" t="n">
        <v>1982</v>
      </c>
      <c r="E258" s="5" t="inlineStr">
        <is>
          <t>Kiran Vairale</t>
        </is>
      </c>
      <c r="F258" s="5" t="inlineStr">
        <is>
          <t>Radha</t>
        </is>
      </c>
      <c r="G258" s="5" t="inlineStr">
        <is>
          <t>Family</t>
        </is>
      </c>
      <c r="H258" s="5" t="inlineStr">
        <is>
          <t>Medium</t>
        </is>
      </c>
      <c r="I258" s="5" t="inlineStr">
        <is>
          <t>Dev's cousin, and with Rama's mother the only person who knows what he feels.</t>
        </is>
      </c>
      <c r="J258" s="5" t="inlineStr">
        <is>
          <t>The confidante of the unspoken half of the romance.</t>
        </is>
      </c>
      <c r="K258" s="19" t="inlineStr">
        <is>
          <t>Dev's cousin, one of the two people who learn of his love for Manorama while he keeps silent about it.</t>
        </is>
      </c>
      <c r="L258" s="5" t="n"/>
      <c r="M258" s="5" t="inlineStr">
        <is>
          <t>SOURCE-037</t>
        </is>
      </c>
    </row>
    <row r="259" ht="64" customHeight="1">
      <c r="A259" s="15" t="inlineStr">
        <is>
          <t>CAST-249</t>
        </is>
      </c>
      <c r="B259" s="18" t="inlineStr">
        <is>
          <t>FILM-038</t>
        </is>
      </c>
      <c r="C259" s="5" t="inlineStr">
        <is>
          <t>Deedar-E-Yaar</t>
        </is>
      </c>
      <c r="D259" s="17" t="n">
        <v>1982</v>
      </c>
      <c r="E259" s="5" t="inlineStr">
        <is>
          <t>Tina Munim</t>
        </is>
      </c>
      <c r="F259" s="5" t="inlineStr">
        <is>
          <t>Firdous Changezi</t>
        </is>
      </c>
      <c r="G259" s="5" t="inlineStr">
        <is>
          <t>Co-lead</t>
        </is>
      </c>
      <c r="H259" s="5" t="inlineStr">
        <is>
          <t>Major</t>
        </is>
      </c>
      <c r="I259" s="5" t="inlineStr">
        <is>
          <t>The woman Javed courts in disguise, and whom his friend loves without knowing it.</t>
        </is>
      </c>
      <c r="J259" s="5" t="inlineStr">
        <is>
          <t>The whole of the pairing in Romances, and the apex of the film's triangle.</t>
        </is>
      </c>
      <c r="K259" s="19" t="inlineStr">
        <is>
          <t>Sikander's sister, sent a love letter that reaches her brother by mistake, courted by a man disguised as a servant, and loved in parallel by the Nawab who has sworn to help him win her.</t>
        </is>
      </c>
      <c r="L259" s="5" t="n"/>
      <c r="M259" s="5" t="inlineStr">
        <is>
          <t>SOURCE-038</t>
        </is>
      </c>
    </row>
    <row r="260" ht="64" customHeight="1">
      <c r="A260" s="15" t="inlineStr">
        <is>
          <t>CAST-250</t>
        </is>
      </c>
      <c r="B260" s="18" t="inlineStr">
        <is>
          <t>FILM-038</t>
        </is>
      </c>
      <c r="C260" s="5" t="inlineStr">
        <is>
          <t>Deedar-E-Yaar</t>
        </is>
      </c>
      <c r="D260" s="17" t="n">
        <v>1982</v>
      </c>
      <c r="E260" s="5" t="inlineStr">
        <is>
          <t>Jeetendra</t>
        </is>
      </c>
      <c r="F260" s="5" t="inlineStr">
        <is>
          <t>Nawab Akhtar Nawaz Khan</t>
        </is>
      </c>
      <c r="G260" s="5" t="inlineStr">
        <is>
          <t>Co-lead</t>
        </is>
      </c>
      <c r="H260" s="5" t="inlineStr">
        <is>
          <t>Major</t>
        </is>
      </c>
      <c r="I260" s="5" t="inlineStr">
        <is>
          <t>The friend whose life Javed saves, who swears to help him win Firdous, and who loves her himself.</t>
        </is>
      </c>
      <c r="J260" s="5" t="inlineStr">
        <is>
          <t>The second claim in the triangle, and the friendship the romance is set against.</t>
        </is>
      </c>
      <c r="K260" s="19" t="inlineStr">
        <is>
          <t>A nawab who frequents Husna's kotha to keep his sister's husband from ruin, is saved from a murder attempt by Javed, and falls for Firdous at a jeweller's shop without knowing she is his friend's love.</t>
        </is>
      </c>
      <c r="L260" s="5" t="n"/>
      <c r="M260" s="5" t="inlineStr">
        <is>
          <t>SOURCE-038</t>
        </is>
      </c>
    </row>
    <row r="261" ht="49" customHeight="1">
      <c r="A261" s="15" t="inlineStr">
        <is>
          <t>CAST-251</t>
        </is>
      </c>
      <c r="B261" s="18" t="inlineStr">
        <is>
          <t>FILM-038</t>
        </is>
      </c>
      <c r="C261" s="5" t="inlineStr">
        <is>
          <t>Deedar-E-Yaar</t>
        </is>
      </c>
      <c r="D261" s="17" t="n">
        <v>1982</v>
      </c>
      <c r="E261" s="5" t="inlineStr">
        <is>
          <t>Rekha</t>
        </is>
      </c>
      <c r="F261" s="5" t="inlineStr">
        <is>
          <t>Husna Bai</t>
        </is>
      </c>
      <c r="G261" s="5" t="inlineStr">
        <is>
          <t>Supporting</t>
        </is>
      </c>
      <c r="H261" s="5" t="inlineStr">
        <is>
          <t>Major</t>
        </is>
      </c>
      <c r="I261" s="5" t="inlineStr">
        <is>
          <t>Outside Javed's romance, in the kotha his friend's family crisis revolves around.</t>
        </is>
      </c>
      <c r="J261" s="5" t="inlineStr">
        <is>
          <t>The parallel world of the courtesan against which the film sets its Lucknow romance.</t>
        </is>
      </c>
      <c r="K261" s="19" t="inlineStr">
        <is>
          <t>A courtesan whose kotha Jahang wants to marry into, and whose establishment the nawab frequents in order to prevent it.</t>
        </is>
      </c>
      <c r="L261" s="5" t="n"/>
      <c r="M261" s="5" t="inlineStr">
        <is>
          <t>SOURCE-038</t>
        </is>
      </c>
    </row>
    <row r="262" ht="49" customHeight="1">
      <c r="A262" s="15" t="inlineStr">
        <is>
          <t>CAST-252</t>
        </is>
      </c>
      <c r="B262" s="18" t="inlineStr">
        <is>
          <t>FILM-038</t>
        </is>
      </c>
      <c r="C262" s="5" t="inlineStr">
        <is>
          <t>Deedar-E-Yaar</t>
        </is>
      </c>
      <c r="D262" s="17" t="n">
        <v>1982</v>
      </c>
      <c r="E262" s="5" t="inlineStr">
        <is>
          <t>Shreeram Lagoo</t>
        </is>
      </c>
      <c r="F262" s="5" t="inlineStr">
        <is>
          <t>Nawab Mirza Changezi</t>
        </is>
      </c>
      <c r="G262" s="5" t="inlineStr">
        <is>
          <t>Family</t>
        </is>
      </c>
      <c r="H262" s="5" t="inlineStr">
        <is>
          <t>Major</t>
        </is>
      </c>
      <c r="I262" s="5" t="inlineStr">
        <is>
          <t>Firdous's father, who tells Javed his family makes the marriage impossible.</t>
        </is>
      </c>
      <c r="J262" s="5" t="inlineStr">
        <is>
          <t>The external opposition, stated in terms of lineage rather than feeling.</t>
        </is>
      </c>
      <c r="K262" s="19" t="inlineStr">
        <is>
          <t>Firdous's father, who refuses Javed on the ground of his family, the refusal that sets the friend's offer of a marriage-and-divorce in motion.</t>
        </is>
      </c>
      <c r="L262" s="5" t="n"/>
      <c r="M262" s="5" t="inlineStr">
        <is>
          <t>SOURCE-038</t>
        </is>
      </c>
    </row>
    <row r="263" ht="49" customHeight="1">
      <c r="A263" s="15" t="inlineStr">
        <is>
          <t>CAST-253</t>
        </is>
      </c>
      <c r="B263" s="18" t="inlineStr">
        <is>
          <t>FILM-038</t>
        </is>
      </c>
      <c r="C263" s="5" t="inlineStr">
        <is>
          <t>Deedar-E-Yaar</t>
        </is>
      </c>
      <c r="D263" s="17" t="n">
        <v>1982</v>
      </c>
      <c r="E263" s="5" t="inlineStr">
        <is>
          <t>Deven Verma</t>
        </is>
      </c>
      <c r="F263" s="5" t="inlineStr">
        <is>
          <t>Sikander Changezi</t>
        </is>
      </c>
      <c r="G263" s="5" t="inlineStr">
        <is>
          <t>Family</t>
        </is>
      </c>
      <c r="H263" s="5" t="inlineStr">
        <is>
          <t>Medium</t>
        </is>
      </c>
      <c r="I263" s="5" t="inlineStr">
        <is>
          <t>Firdous's brother, who receives Javed's love letter by mistake and warns him off.</t>
        </is>
      </c>
      <c r="J263" s="5" t="inlineStr">
        <is>
          <t>The first obstacle, and the accident that starts the plot.</t>
        </is>
      </c>
      <c r="K263" s="19" t="inlineStr">
        <is>
          <t>Firdous's brother, handed his sister's love letter by the man who wrote it, who warns Javed away and is ignored.</t>
        </is>
      </c>
      <c r="L263" s="5" t="n"/>
      <c r="M263" s="5" t="inlineStr">
        <is>
          <t>SOURCE-038</t>
        </is>
      </c>
    </row>
    <row r="264" ht="34" customHeight="1">
      <c r="A264" s="15" t="inlineStr">
        <is>
          <t>CAST-254</t>
        </is>
      </c>
      <c r="B264" s="18" t="inlineStr">
        <is>
          <t>FILM-038</t>
        </is>
      </c>
      <c r="C264" s="5" t="inlineStr">
        <is>
          <t>Deedar-E-Yaar</t>
        </is>
      </c>
      <c r="D264" s="17" t="n">
        <v>1982</v>
      </c>
      <c r="E264" s="5" t="inlineStr">
        <is>
          <t>Nirupa Roy</t>
        </is>
      </c>
      <c r="F264" s="5" t="inlineStr">
        <is>
          <t>Mrs. Khan</t>
        </is>
      </c>
      <c r="G264" s="5" t="inlineStr">
        <is>
          <t>Family</t>
        </is>
      </c>
      <c r="H264" s="5" t="inlineStr">
        <is>
          <t>Medium</t>
        </is>
      </c>
      <c r="I264" s="5" t="inlineStr">
        <is>
          <t>Credited in the family of Kapoor's character.</t>
        </is>
      </c>
      <c r="J264" s="5" t="inlineStr">
        <is>
          <t>Family background to the refused match.</t>
        </is>
      </c>
      <c r="K264" s="19" t="inlineStr">
        <is>
          <t>Credited as Mrs. Khan, in the Sayeed Ali Khan household the Changezis judge unsuitable.</t>
        </is>
      </c>
      <c r="L264" s="5" t="n"/>
      <c r="M264" s="5" t="inlineStr">
        <is>
          <t>SOURCE-038</t>
        </is>
      </c>
    </row>
    <row r="265" ht="34" customHeight="1">
      <c r="A265" s="15" t="inlineStr">
        <is>
          <t>CAST-255</t>
        </is>
      </c>
      <c r="B265" s="18" t="inlineStr">
        <is>
          <t>FILM-038</t>
        </is>
      </c>
      <c r="C265" s="5" t="inlineStr">
        <is>
          <t>Deedar-E-Yaar</t>
        </is>
      </c>
      <c r="D265" s="17" t="n">
        <v>1982</v>
      </c>
      <c r="E265" s="5" t="inlineStr">
        <is>
          <t>Urmila Bhatt</t>
        </is>
      </c>
      <c r="F265" s="5" t="inlineStr">
        <is>
          <t>Mrs. Changezi</t>
        </is>
      </c>
      <c r="G265" s="5" t="inlineStr">
        <is>
          <t>Family</t>
        </is>
      </c>
      <c r="H265" s="5" t="inlineStr">
        <is>
          <t>Minor</t>
        </is>
      </c>
      <c r="I265" s="5" t="inlineStr">
        <is>
          <t>Firdous's mother, in the household that refuses the match.</t>
        </is>
      </c>
      <c r="J265" s="5" t="inlineStr">
        <is>
          <t>Part of the family opposition.</t>
        </is>
      </c>
      <c r="K265" s="19" t="inlineStr">
        <is>
          <t>Credited as Mrs. Changezi, in the Lucknow family whose standing is the stated reason for the refusal.</t>
        </is>
      </c>
      <c r="L265" s="5" t="n"/>
      <c r="M265" s="5" t="inlineStr">
        <is>
          <t>SOURCE-038</t>
        </is>
      </c>
    </row>
    <row r="266" ht="34" customHeight="1">
      <c r="A266" s="15" t="inlineStr">
        <is>
          <t>CAST-256</t>
        </is>
      </c>
      <c r="B266" s="18" t="inlineStr">
        <is>
          <t>FILM-038</t>
        </is>
      </c>
      <c r="C266" s="5" t="inlineStr">
        <is>
          <t>Deedar-E-Yaar</t>
        </is>
      </c>
      <c r="D266" s="17" t="n">
        <v>1982</v>
      </c>
      <c r="E266" s="5" t="inlineStr">
        <is>
          <t>Reena Roy</t>
        </is>
      </c>
      <c r="F266" s="5" t="inlineStr">
        <is>
          <t>Qawwali singer</t>
        </is>
      </c>
      <c r="G266" s="5" t="inlineStr">
        <is>
          <t>Cameo</t>
        </is>
      </c>
      <c r="H266" s="5" t="inlineStr">
        <is>
          <t>Minor</t>
        </is>
      </c>
      <c r="I266" s="5" t="inlineStr">
        <is>
          <t>A friendly appearance in a musical sequence.</t>
        </is>
      </c>
      <c r="J266" s="5" t="inlineStr">
        <is>
          <t>Appears in the film's qawwali register rather than in the plot.</t>
        </is>
      </c>
      <c r="K266" s="19" t="inlineStr">
        <is>
          <t>Credited as a friendly appearance singing qawwali, in a film set in the Nawabi culture of Lucknow.</t>
        </is>
      </c>
      <c r="L266" s="5" t="n"/>
      <c r="M266" s="5" t="inlineStr">
        <is>
          <t>SOURCE-038</t>
        </is>
      </c>
    </row>
    <row r="267" ht="49" customHeight="1">
      <c r="A267" s="15" t="inlineStr">
        <is>
          <t>CAST-257</t>
        </is>
      </c>
      <c r="B267" s="18" t="inlineStr">
        <is>
          <t>FILM-039</t>
        </is>
      </c>
      <c r="C267" s="5" t="inlineStr">
        <is>
          <t>Naukar Biwi Ka</t>
        </is>
      </c>
      <c r="D267" s="17" t="n">
        <v>1983</v>
      </c>
      <c r="E267" s="5" t="inlineStr">
        <is>
          <t>Dharmendra</t>
        </is>
      </c>
      <c r="F267" s="5" t="inlineStr">
        <is>
          <t>Deepak Kumar / Raja</t>
        </is>
      </c>
      <c r="G267" s="5" t="inlineStr">
        <is>
          <t>Co-lead</t>
        </is>
      </c>
      <c r="H267" s="5" t="inlineStr">
        <is>
          <t>Major</t>
        </is>
      </c>
      <c r="I267" s="5" t="inlineStr">
        <is>
          <t>The film's protagonist; Kapoor appears only in the song 'Kya Naam Hai Tera'.</t>
        </is>
      </c>
      <c r="J267" s="5" t="inlineStr">
        <is>
          <t>Holds the film's central relationship with Jyoti.</t>
        </is>
      </c>
      <c r="K267" s="19" t="inlineStr">
        <is>
          <t>Married to Jyoti as a child and left destitute by his father's death, he is humiliated with his mother by his rich betrothed and vows to make her apologise and change.</t>
        </is>
      </c>
      <c r="L267" s="5" t="n"/>
      <c r="M267" s="5" t="inlineStr">
        <is>
          <t>SOURCE-041</t>
        </is>
      </c>
    </row>
    <row r="268" ht="64" customHeight="1">
      <c r="A268" s="15" t="inlineStr">
        <is>
          <t>CAST-258</t>
        </is>
      </c>
      <c r="B268" s="18" t="inlineStr">
        <is>
          <t>FILM-039</t>
        </is>
      </c>
      <c r="C268" s="5" t="inlineStr">
        <is>
          <t>Naukar Biwi Ka</t>
        </is>
      </c>
      <c r="D268" s="17" t="n">
        <v>1983</v>
      </c>
      <c r="E268" s="5" t="inlineStr">
        <is>
          <t>Anita Raj</t>
        </is>
      </c>
      <c r="F268" s="5" t="inlineStr">
        <is>
          <t>Jyoti / Rani</t>
        </is>
      </c>
      <c r="G268" s="5" t="inlineStr">
        <is>
          <t>Co-lead</t>
        </is>
      </c>
      <c r="H268" s="5" t="inlineStr">
        <is>
          <t>Major</t>
        </is>
      </c>
      <c r="I268" s="5" t="inlineStr">
        <is>
          <t>The film's heroine, outside Kapoor's song appearance.</t>
        </is>
      </c>
      <c r="J268" s="5" t="inlineStr">
        <is>
          <t>The other half of the central relationship, which begins in humiliation.</t>
        </is>
      </c>
      <c r="K268" s="19" t="inlineStr">
        <is>
          <t>Orphaned by her parents' murder and raised by her wealthy grandfather, child-married to Deepak, and the one who humiliates his mother and slaps him before the film sets about humbling her.</t>
        </is>
      </c>
      <c r="L268" s="5" t="n"/>
      <c r="M268" s="5" t="inlineStr">
        <is>
          <t>SOURCE-041</t>
        </is>
      </c>
    </row>
    <row r="269" ht="49" customHeight="1">
      <c r="A269" s="15" t="inlineStr">
        <is>
          <t>CAST-259</t>
        </is>
      </c>
      <c r="B269" s="18" t="inlineStr">
        <is>
          <t>FILM-039</t>
        </is>
      </c>
      <c r="C269" s="5" t="inlineStr">
        <is>
          <t>Naukar Biwi Ka</t>
        </is>
      </c>
      <c r="D269" s="17" t="n">
        <v>1983</v>
      </c>
      <c r="E269" s="5" t="inlineStr">
        <is>
          <t>Kader Khan</t>
        </is>
      </c>
      <c r="F269" s="5" t="inlineStr">
        <is>
          <t>Deshbandhu Jagannath / Pinto / Abdul Karim</t>
        </is>
      </c>
      <c r="G269" s="5" t="inlineStr">
        <is>
          <t>Antagonist</t>
        </is>
      </c>
      <c r="H269" s="5" t="inlineStr">
        <is>
          <t>Major</t>
        </is>
      </c>
      <c r="I269" s="5" t="inlineStr">
        <is>
          <t>The gangster whose escape and revenge create the film's orphan.</t>
        </is>
      </c>
      <c r="J269" s="5" t="inlineStr">
        <is>
          <t>Sets up the separation the central relationship has to cross.</t>
        </is>
      </c>
      <c r="K269" s="19" t="inlineStr">
        <is>
          <t>A gangster of several aliases, jailed by Inspector Amar Nath, who escapes and kills him and his wife, leaving their daughter to be raised elsewhere.</t>
        </is>
      </c>
      <c r="L269" s="5" t="n"/>
      <c r="M269" s="5" t="inlineStr">
        <is>
          <t>SOURCE-041</t>
        </is>
      </c>
    </row>
    <row r="270" ht="49" customHeight="1">
      <c r="A270" s="15" t="inlineStr">
        <is>
          <t>CAST-260</t>
        </is>
      </c>
      <c r="B270" s="18" t="inlineStr">
        <is>
          <t>FILM-039</t>
        </is>
      </c>
      <c r="C270" s="5" t="inlineStr">
        <is>
          <t>Naukar Biwi Ka</t>
        </is>
      </c>
      <c r="D270" s="17" t="n">
        <v>1983</v>
      </c>
      <c r="E270" s="5" t="inlineStr">
        <is>
          <t>Vinod Mehra</t>
        </is>
      </c>
      <c r="F270" s="5" t="inlineStr">
        <is>
          <t>Inspector Amarnath</t>
        </is>
      </c>
      <c r="G270" s="5" t="inlineStr">
        <is>
          <t>Authority figure</t>
        </is>
      </c>
      <c r="H270" s="5" t="inlineStr">
        <is>
          <t>Medium</t>
        </is>
      </c>
      <c r="I270" s="5" t="inlineStr">
        <is>
          <t>The policeman whose defiance of his own father, and whose murder, start the plot.</t>
        </is>
      </c>
      <c r="J270" s="5" t="inlineStr">
        <is>
          <t>His own love marriage is the precedent the film's main relationship is measured against.</t>
        </is>
      </c>
      <c r="K270" s="19" t="inlineStr">
        <is>
          <t>A police inspector who arrests the gangster, marries the poor Sheela against his wealthy father's wishes, is thrown out of the family home, and is killed by the escaped convict.</t>
        </is>
      </c>
      <c r="L270" s="5" t="n"/>
      <c r="M270" s="5" t="inlineStr">
        <is>
          <t>SOURCE-041</t>
        </is>
      </c>
    </row>
    <row r="271" ht="34" customHeight="1">
      <c r="A271" s="15" t="inlineStr">
        <is>
          <t>CAST-261</t>
        </is>
      </c>
      <c r="B271" s="18" t="inlineStr">
        <is>
          <t>FILM-039</t>
        </is>
      </c>
      <c r="C271" s="5" t="inlineStr">
        <is>
          <t>Naukar Biwi Ka</t>
        </is>
      </c>
      <c r="D271" s="17" t="n">
        <v>1983</v>
      </c>
      <c r="E271" s="5" t="inlineStr">
        <is>
          <t>Pran</t>
        </is>
      </c>
      <c r="F271" s="5" t="inlineStr">
        <is>
          <t>Abdul</t>
        </is>
      </c>
      <c r="G271" s="5" t="inlineStr">
        <is>
          <t>Supporting</t>
        </is>
      </c>
      <c r="H271" s="5" t="inlineStr">
        <is>
          <t>Medium</t>
        </is>
      </c>
      <c r="I271" s="5" t="inlineStr">
        <is>
          <t>The loyal employee who saves the orphaned child.</t>
        </is>
      </c>
      <c r="J271" s="5" t="inlineStr">
        <is>
          <t>Preserves the heroine, and so the betrothal, through the murder.</t>
        </is>
      </c>
      <c r="K271" s="19" t="inlineStr">
        <is>
          <t>A chauffeur and loyal employee who saves Jyoti's life and takes her to the grandfather who had disowned her father.</t>
        </is>
      </c>
      <c r="L271" s="5" t="n"/>
      <c r="M271" s="5" t="inlineStr">
        <is>
          <t>SOURCE-041</t>
        </is>
      </c>
    </row>
    <row r="272" ht="34" customHeight="1">
      <c r="A272" s="15" t="inlineStr">
        <is>
          <t>CAST-262</t>
        </is>
      </c>
      <c r="B272" s="18" t="inlineStr">
        <is>
          <t>FILM-039</t>
        </is>
      </c>
      <c r="C272" s="5" t="inlineStr">
        <is>
          <t>Naukar Biwi Ka</t>
        </is>
      </c>
      <c r="D272" s="17" t="n">
        <v>1983</v>
      </c>
      <c r="E272" s="5" t="inlineStr">
        <is>
          <t>Reena Roy</t>
        </is>
      </c>
      <c r="F272" s="5" t="inlineStr">
        <is>
          <t>Sandhya Jagannath</t>
        </is>
      </c>
      <c r="G272" s="5" t="inlineStr">
        <is>
          <t>Supporting</t>
        </is>
      </c>
      <c r="H272" s="5" t="inlineStr">
        <is>
          <t>Major</t>
        </is>
      </c>
      <c r="I272" s="5" t="inlineStr">
        <is>
          <t>Credited in the gangster's family, in the plot's second generation.</t>
        </is>
      </c>
      <c r="J272" s="5" t="inlineStr">
        <is>
          <t>A second claim in the film's romantic arrangements.</t>
        </is>
      </c>
      <c r="K272" s="19" t="inlineStr">
        <is>
          <t>Credited as Sandhya Jagannath, with Rajeev Anand as Anand Jagannath, on the gangster's side of the story.</t>
        </is>
      </c>
      <c r="L272" s="5" t="n"/>
      <c r="M272" s="5" t="inlineStr">
        <is>
          <t>SOURCE-041</t>
        </is>
      </c>
    </row>
    <row r="273" ht="34" customHeight="1">
      <c r="A273" s="15" t="inlineStr">
        <is>
          <t>CAST-263</t>
        </is>
      </c>
      <c r="B273" s="18" t="inlineStr">
        <is>
          <t>FILM-039</t>
        </is>
      </c>
      <c r="C273" s="5" t="inlineStr">
        <is>
          <t>Naukar Biwi Ka</t>
        </is>
      </c>
      <c r="D273" s="17" t="n">
        <v>1983</v>
      </c>
      <c r="E273" s="5" t="inlineStr">
        <is>
          <t>Danny Denzongpa</t>
        </is>
      </c>
      <c r="F273" s="5" t="inlineStr">
        <is>
          <t>Himself</t>
        </is>
      </c>
      <c r="G273" s="5" t="inlineStr">
        <is>
          <t>Cameo</t>
        </is>
      </c>
      <c r="H273" s="5" t="inlineStr">
        <is>
          <t>Minor</t>
        </is>
      </c>
      <c r="I273" s="5" t="inlineStr">
        <is>
          <t>A cameo credited beside Kapoor's song appearance.</t>
        </is>
      </c>
      <c r="J273" s="5" t="inlineStr">
        <is>
          <t>No part in the story.</t>
        </is>
      </c>
      <c r="K273" s="19" t="inlineStr">
        <is>
          <t>Credited as a cameo, in the same guest register as Kapoor's appearance in 'Kya Naam Hai Tera'.</t>
        </is>
      </c>
      <c r="L273" s="5" t="n"/>
      <c r="M273" s="5" t="inlineStr">
        <is>
          <t>SOURCE-041</t>
        </is>
      </c>
    </row>
    <row r="274" ht="49" customHeight="1">
      <c r="A274" s="15" t="inlineStr">
        <is>
          <t>CAST-264</t>
        </is>
      </c>
      <c r="B274" s="18" t="inlineStr">
        <is>
          <t>FILM-040</t>
        </is>
      </c>
      <c r="C274" s="5" t="inlineStr">
        <is>
          <t>Bade Dilwala</t>
        </is>
      </c>
      <c r="D274" s="17" t="n">
        <v>1983</v>
      </c>
      <c r="E274" s="5" t="inlineStr">
        <is>
          <t>Tina Munim</t>
        </is>
      </c>
      <c r="F274" s="5" t="inlineStr">
        <is>
          <t>Rashmi Sinha</t>
        </is>
      </c>
      <c r="G274" s="5" t="inlineStr">
        <is>
          <t>Co-lead</t>
        </is>
      </c>
      <c r="H274" s="5" t="inlineStr">
        <is>
          <t>Major</t>
        </is>
      </c>
      <c r="I274" s="5" t="inlineStr">
        <is>
          <t>The surviving daughter of the house the impostor enters, wary of him and then in love with him.</t>
        </is>
      </c>
      <c r="J274" s="5" t="inlineStr">
        <is>
          <t>The whole of the pairing in Romances, built on a false identity she begins by suspecting.</t>
        </is>
      </c>
      <c r="K274" s="19" t="inlineStr">
        <is>
          <t>Mr. Sinha's second daughter, of marriageable age and expected to marry wealth, who suspects the man presented as her dead sister's husband before falling in love with him.</t>
        </is>
      </c>
      <c r="L274" s="5" t="n"/>
      <c r="M274" s="5" t="inlineStr">
        <is>
          <t>SOURCE-039</t>
        </is>
      </c>
    </row>
    <row r="275" ht="49" customHeight="1">
      <c r="A275" s="15" t="inlineStr">
        <is>
          <t>CAST-265</t>
        </is>
      </c>
      <c r="B275" s="18" t="inlineStr">
        <is>
          <t>FILM-040</t>
        </is>
      </c>
      <c r="C275" s="5" t="inlineStr">
        <is>
          <t>Bade Dilwala</t>
        </is>
      </c>
      <c r="D275" s="17" t="n">
        <v>1983</v>
      </c>
      <c r="E275" s="5" t="inlineStr">
        <is>
          <t>Pran</t>
        </is>
      </c>
      <c r="F275" s="5" t="inlineStr">
        <is>
          <t>Mr. Sinha</t>
        </is>
      </c>
      <c r="G275" s="5" t="inlineStr">
        <is>
          <t>Family</t>
        </is>
      </c>
      <c r="H275" s="5" t="inlineStr">
        <is>
          <t>Major</t>
        </is>
      </c>
      <c r="I275" s="5" t="inlineStr">
        <is>
          <t>The grieving father who takes the impostor for his son-in-law, hands him the business and names him heir.</t>
        </is>
      </c>
      <c r="J275" s="5" t="inlineStr">
        <is>
          <t>The household authority the deception is maintained in front of, and whose approval the romance rests on.</t>
        </is>
      </c>
      <c r="K275" s="19" t="inlineStr">
        <is>
          <t>A widower businessman who refuses his elder daughter's middle-class marriage, forgives the couple years later, and after the train accident welcomes the wrong man as the survivor.</t>
        </is>
      </c>
      <c r="L275" s="5" t="n"/>
      <c r="M275" s="5" t="inlineStr">
        <is>
          <t>SOURCE-039</t>
        </is>
      </c>
    </row>
    <row r="276" ht="49" customHeight="1">
      <c r="A276" s="15" t="inlineStr">
        <is>
          <t>CAST-266</t>
        </is>
      </c>
      <c r="B276" s="18" t="inlineStr">
        <is>
          <t>FILM-040</t>
        </is>
      </c>
      <c r="C276" s="5" t="inlineStr">
        <is>
          <t>Bade Dilwala</t>
        </is>
      </c>
      <c r="D276" s="17" t="n">
        <v>1983</v>
      </c>
      <c r="E276" s="5" t="inlineStr">
        <is>
          <t>Amjad Khan</t>
        </is>
      </c>
      <c r="F276" s="5" t="inlineStr">
        <is>
          <t>Bhagwat Singh / Dr. Joshi</t>
        </is>
      </c>
      <c r="G276" s="5" t="inlineStr">
        <is>
          <t>Antagonist</t>
        </is>
      </c>
      <c r="H276" s="5" t="inlineStr">
        <is>
          <t>Major</t>
        </is>
      </c>
      <c r="I276" s="5" t="inlineStr">
        <is>
          <t>The man who knows the impostor is an ex-convict wanted for murder, and who arrives with the real wife.</t>
        </is>
      </c>
      <c r="J276" s="5" t="inlineStr">
        <is>
          <t>The threat of exposure that the article's plot closes on.</t>
        </is>
      </c>
      <c r="K276" s="19" t="inlineStr">
        <is>
          <t>Credited under two names, the doctor who brings the amnesiac Juhi home while holding the knowledge that the household's heir is a jailed thief on the run from a murder charge.</t>
        </is>
      </c>
      <c r="L276" s="5" t="n"/>
      <c r="M276" s="5" t="inlineStr">
        <is>
          <t>SOURCE-039</t>
        </is>
      </c>
    </row>
    <row r="277" ht="49" customHeight="1">
      <c r="A277" s="15" t="inlineStr">
        <is>
          <t>CAST-267</t>
        </is>
      </c>
      <c r="B277" s="18" t="inlineStr">
        <is>
          <t>FILM-040</t>
        </is>
      </c>
      <c r="C277" s="5" t="inlineStr">
        <is>
          <t>Bade Dilwala</t>
        </is>
      </c>
      <c r="D277" s="17" t="n">
        <v>1983</v>
      </c>
      <c r="E277" s="5" t="inlineStr">
        <is>
          <t>Sarika</t>
        </is>
      </c>
      <c r="F277" s="5" t="inlineStr">
        <is>
          <t>Juhi Sinha</t>
        </is>
      </c>
      <c r="G277" s="5" t="inlineStr">
        <is>
          <t>Family</t>
        </is>
      </c>
      <c r="H277" s="5" t="inlineStr">
        <is>
          <t>Major</t>
        </is>
      </c>
      <c r="I277" s="5" t="inlineStr">
        <is>
          <t>The elder sister whose husband the protagonist is impersonating, returned alive without her memory.</t>
        </is>
      </c>
      <c r="J277" s="5" t="inlineStr">
        <is>
          <t>Her return is what makes the impersonation, and so the romance, untenable.</t>
        </is>
      </c>
      <c r="K277" s="19" t="inlineStr">
        <is>
          <t>The daughter who eloped with Vijay against her father's will, is believed dead in the train accident, and is brought home by Dr. Joshi with no memory of her life.</t>
        </is>
      </c>
      <c r="L277" s="5" t="n"/>
      <c r="M277" s="5" t="inlineStr">
        <is>
          <t>SOURCE-039</t>
        </is>
      </c>
    </row>
    <row r="278" ht="49" customHeight="1">
      <c r="A278" s="15" t="inlineStr">
        <is>
          <t>CAST-268</t>
        </is>
      </c>
      <c r="B278" s="18" t="inlineStr">
        <is>
          <t>FILM-040</t>
        </is>
      </c>
      <c r="C278" s="5" t="inlineStr">
        <is>
          <t>Bade Dilwala</t>
        </is>
      </c>
      <c r="D278" s="17" t="n">
        <v>1983</v>
      </c>
      <c r="E278" s="5" t="inlineStr">
        <is>
          <t>Vijay Arora</t>
        </is>
      </c>
      <c r="F278" s="5" t="inlineStr">
        <is>
          <t>Vijay Kumar Gupta</t>
        </is>
      </c>
      <c r="G278" s="5" t="inlineStr">
        <is>
          <t>Supporting</t>
        </is>
      </c>
      <c r="H278" s="5" t="inlineStr">
        <is>
          <t>Medium</t>
        </is>
      </c>
      <c r="I278" s="5" t="inlineStr">
        <is>
          <t>The man whose name and place the protagonist takes after the crash.</t>
        </is>
      </c>
      <c r="J278" s="5" t="inlineStr">
        <is>
          <t>The identity the romance is conducted under.</t>
        </is>
      </c>
      <c r="K278" s="19" t="inlineStr">
        <is>
          <t>The middle-class man Juhi elopes with and has a son by, and whose name and standing survive him in the hands of a stranger.</t>
        </is>
      </c>
      <c r="L278" s="5" t="n"/>
      <c r="M278" s="5" t="inlineStr">
        <is>
          <t>SOURCE-039</t>
        </is>
      </c>
    </row>
    <row r="279" ht="49" customHeight="1">
      <c r="A279" s="15" t="inlineStr">
        <is>
          <t>CAST-269</t>
        </is>
      </c>
      <c r="B279" s="18" t="inlineStr">
        <is>
          <t>FILM-040</t>
        </is>
      </c>
      <c r="C279" s="5" t="inlineStr">
        <is>
          <t>Bade Dilwala</t>
        </is>
      </c>
      <c r="D279" s="17" t="n">
        <v>1983</v>
      </c>
      <c r="E279" s="5" t="inlineStr">
        <is>
          <t>Aruna Irani</t>
        </is>
      </c>
      <c r="F279" s="5" t="inlineStr">
        <is>
          <t>Shabnam</t>
        </is>
      </c>
      <c r="G279" s="5" t="inlineStr">
        <is>
          <t>Supporting</t>
        </is>
      </c>
      <c r="H279" s="5" t="inlineStr">
        <is>
          <t>Medium</t>
        </is>
      </c>
      <c r="I279" s="5" t="inlineStr">
        <is>
          <t>Credited in the world the impostor comes from rather than the one he enters.</t>
        </is>
      </c>
      <c r="J279" s="5" t="inlineStr">
        <is>
          <t>No documented part in the pairing.</t>
        </is>
      </c>
      <c r="K279" s="19" t="inlineStr">
        <is>
          <t>Credited as Shabnam, in the film's second tier around the impersonation plot.</t>
        </is>
      </c>
      <c r="L279" s="5" t="n"/>
      <c r="M279" s="5" t="inlineStr">
        <is>
          <t>SOURCE-039</t>
        </is>
      </c>
    </row>
    <row r="280" ht="34" customHeight="1">
      <c r="A280" s="15" t="inlineStr">
        <is>
          <t>CAST-270</t>
        </is>
      </c>
      <c r="B280" s="18" t="inlineStr">
        <is>
          <t>FILM-040</t>
        </is>
      </c>
      <c r="C280" s="5" t="inlineStr">
        <is>
          <t>Bade Dilwala</t>
        </is>
      </c>
      <c r="D280" s="17" t="n">
        <v>1983</v>
      </c>
      <c r="E280" s="5" t="inlineStr">
        <is>
          <t>Madan Puri</t>
        </is>
      </c>
      <c r="F280" s="5" t="inlineStr">
        <is>
          <t>Makhanlal</t>
        </is>
      </c>
      <c r="G280" s="5" t="inlineStr">
        <is>
          <t>Antagonist</t>
        </is>
      </c>
      <c r="H280" s="5" t="inlineStr">
        <is>
          <t>Medium</t>
        </is>
      </c>
      <c r="I280" s="5" t="inlineStr">
        <is>
          <t>Credited among the opposition to the impostor's position in the house.</t>
        </is>
      </c>
      <c r="J280" s="5" t="inlineStr">
        <is>
          <t>Part of the pressure on the false identity.</t>
        </is>
      </c>
      <c r="K280" s="19" t="inlineStr">
        <is>
          <t>Credited as Makhanlal, in the ranks against the man passing as the Sinha heir.</t>
        </is>
      </c>
      <c r="L280" s="5" t="n"/>
      <c r="M280" s="5" t="inlineStr">
        <is>
          <t>SOURCE-039</t>
        </is>
      </c>
    </row>
    <row r="281" ht="34" customHeight="1">
      <c r="A281" s="15" t="inlineStr">
        <is>
          <t>CAST-271</t>
        </is>
      </c>
      <c r="B281" s="18" t="inlineStr">
        <is>
          <t>FILM-040</t>
        </is>
      </c>
      <c r="C281" s="5" t="inlineStr">
        <is>
          <t>Bade Dilwala</t>
        </is>
      </c>
      <c r="D281" s="17" t="n">
        <v>1983</v>
      </c>
      <c r="E281" s="5" t="inlineStr">
        <is>
          <t>Jagdeep</t>
        </is>
      </c>
      <c r="F281" s="5" t="inlineStr">
        <is>
          <t>Jagannath Prasad Shrivastav, called Jaggu</t>
        </is>
      </c>
      <c r="G281" s="5" t="inlineStr">
        <is>
          <t>Comic support</t>
        </is>
      </c>
      <c r="H281" s="5" t="inlineStr">
        <is>
          <t>Minor</t>
        </is>
      </c>
      <c r="I281" s="5" t="inlineStr">
        <is>
          <t>The comic companion in the impersonation plot.</t>
        </is>
      </c>
      <c r="J281" s="5" t="inlineStr">
        <is>
          <t>Comic attendance on the romance.</t>
        </is>
      </c>
      <c r="K281" s="19" t="inlineStr">
        <is>
          <t>Credited as Jaggu, with Praveen Paul and Jyoti Bakshi as his family, in the film's comic register.</t>
        </is>
      </c>
      <c r="L281" s="5" t="n"/>
      <c r="M281" s="5" t="inlineStr">
        <is>
          <t>SOURCE-039</t>
        </is>
      </c>
    </row>
    <row r="282" ht="64" customHeight="1">
      <c r="A282" s="15" t="inlineStr">
        <is>
          <t>CAST-281</t>
        </is>
      </c>
      <c r="B282" s="18" t="inlineStr">
        <is>
          <t>FILM-041</t>
        </is>
      </c>
      <c r="C282" s="5" t="inlineStr">
        <is>
          <t>Coolie</t>
        </is>
      </c>
      <c r="D282" s="17" t="n">
        <v>1983</v>
      </c>
      <c r="E282" s="5" t="inlineStr">
        <is>
          <t>Amitabh Bachchan</t>
        </is>
      </c>
      <c r="F282" s="5" t="inlineStr">
        <is>
          <t>Iqbal Khan</t>
        </is>
      </c>
      <c r="G282" s="5" t="inlineStr">
        <is>
          <t>Co-lead</t>
        </is>
      </c>
      <c r="H282" s="5" t="inlineStr">
        <is>
          <t>Major</t>
        </is>
      </c>
      <c r="I282" s="5" t="inlineStr">
        <is>
          <t>The film's protagonist, and the natural son of the woman who raised Kapoor's character.</t>
        </is>
      </c>
      <c r="J282" s="5" t="inlineStr">
        <is>
          <t>Holds the film's central romance with Julie, beside which Kapoor's thread is minor.</t>
        </is>
      </c>
      <c r="K282" s="19" t="inlineStr">
        <is>
          <t>A coolie separated from his mother on a railway platform as a boy, raised by a one-armed uncle whose right arm he promises to be, and leading the porters against the man who destroyed his family.</t>
        </is>
      </c>
      <c r="L282" s="5" t="inlineStr">
        <is>
          <t>The role during which Bachchan was near-fatally injured in a stunt, an event that dominated the film's release and reception.</t>
        </is>
      </c>
      <c r="M282" s="5" t="inlineStr">
        <is>
          <t>SOURCE-040</t>
        </is>
      </c>
    </row>
    <row r="283" ht="34" customHeight="1">
      <c r="A283" s="15" t="inlineStr">
        <is>
          <t>CAST-282</t>
        </is>
      </c>
      <c r="B283" s="18" t="inlineStr">
        <is>
          <t>FILM-041</t>
        </is>
      </c>
      <c r="C283" s="5" t="inlineStr">
        <is>
          <t>Coolie</t>
        </is>
      </c>
      <c r="D283" s="17" t="n">
        <v>1983</v>
      </c>
      <c r="E283" s="5" t="inlineStr">
        <is>
          <t>Rati Agnihotri</t>
        </is>
      </c>
      <c r="F283" s="5" t="inlineStr">
        <is>
          <t>Julie D'Costa</t>
        </is>
      </c>
      <c r="G283" s="5" t="inlineStr">
        <is>
          <t>Co-lead</t>
        </is>
      </c>
      <c r="H283" s="5" t="inlineStr">
        <is>
          <t>Major</t>
        </is>
      </c>
      <c r="I283" s="5" t="inlineStr">
        <is>
          <t>The protagonist's love, with a father of her own in the opposition.</t>
        </is>
      </c>
      <c r="J283" s="5" t="inlineStr">
        <is>
          <t>The film's principal courtship, separate from Kapoor's subordinate one.</t>
        </is>
      </c>
      <c r="K283" s="19" t="inlineStr">
        <is>
          <t>The daughter of John D'Costa, courted by Iqbal across the film's class and community lines.</t>
        </is>
      </c>
      <c r="L283" s="5" t="n"/>
      <c r="M283" s="5" t="inlineStr">
        <is>
          <t>SOURCE-040</t>
        </is>
      </c>
    </row>
    <row r="284" ht="64" customHeight="1">
      <c r="A284" s="15" t="inlineStr">
        <is>
          <t>CAST-283</t>
        </is>
      </c>
      <c r="B284" s="18" t="inlineStr">
        <is>
          <t>FILM-041</t>
        </is>
      </c>
      <c r="C284" s="5" t="inlineStr">
        <is>
          <t>Coolie</t>
        </is>
      </c>
      <c r="D284" s="17" t="n">
        <v>1983</v>
      </c>
      <c r="E284" s="5" t="inlineStr">
        <is>
          <t>Waheeda Rehman</t>
        </is>
      </c>
      <c r="F284" s="5" t="inlineStr">
        <is>
          <t>Salma Khan</t>
        </is>
      </c>
      <c r="G284" s="5" t="inlineStr">
        <is>
          <t>Family</t>
        </is>
      </c>
      <c r="H284" s="5" t="inlineStr">
        <is>
          <t>Major</t>
        </is>
      </c>
      <c r="I284" s="5" t="inlineStr">
        <is>
          <t>The woman who raised Kapoor's Sunny, and the natural mother of the protagonist.</t>
        </is>
      </c>
      <c r="J284" s="5" t="inlineStr">
        <is>
          <t>Outside both romances; the person both young men's claims converge on.</t>
        </is>
      </c>
      <c r="K284" s="19" t="inlineStr">
        <is>
          <t>Refused to Zafar and married to Aslam Khan, injured and made amnesiac in the flood he engineers, abducted and passed off as his wife, and given an adopted infant to raise on a psychiatrist's advice.</t>
        </is>
      </c>
      <c r="L284" s="5" t="n"/>
      <c r="M284" s="5" t="inlineStr">
        <is>
          <t>SOURCE-040</t>
        </is>
      </c>
    </row>
    <row r="285" ht="64" customHeight="1">
      <c r="A285" s="15" t="inlineStr">
        <is>
          <t>CAST-284</t>
        </is>
      </c>
      <c r="B285" s="18" t="inlineStr">
        <is>
          <t>FILM-041</t>
        </is>
      </c>
      <c r="C285" s="5" t="inlineStr">
        <is>
          <t>Coolie</t>
        </is>
      </c>
      <c r="D285" s="17" t="n">
        <v>1983</v>
      </c>
      <c r="E285" s="5" t="inlineStr">
        <is>
          <t>Kader Khan</t>
        </is>
      </c>
      <c r="F285" s="5" t="inlineStr">
        <is>
          <t>Zafar Khan</t>
        </is>
      </c>
      <c r="G285" s="5" t="inlineStr">
        <is>
          <t>Antagonist</t>
        </is>
      </c>
      <c r="H285" s="5" t="inlineStr">
        <is>
          <t>Major</t>
        </is>
      </c>
      <c r="I285" s="5" t="inlineStr">
        <is>
          <t>The man who adopted Kapoor's character, and whose crimes he threatens to expose.</t>
        </is>
      </c>
      <c r="J285" s="5" t="inlineStr">
        <is>
          <t>The external power over both families rather than a party to the romances.</t>
        </is>
      </c>
      <c r="K285" s="19" t="inlineStr">
        <is>
          <t>A wealthy man refused by Salma and her father, jailed ten years, who on release murders her father, floods the region, takes her as his supposed wife, and adopts a son for her to raise.</t>
        </is>
      </c>
      <c r="L285" s="5" t="n"/>
      <c r="M285" s="5" t="inlineStr">
        <is>
          <t>SOURCE-040</t>
        </is>
      </c>
    </row>
    <row r="286" ht="79" customHeight="1">
      <c r="A286" s="15" t="inlineStr">
        <is>
          <t>CAST-285</t>
        </is>
      </c>
      <c r="B286" s="18" t="inlineStr">
        <is>
          <t>FILM-041</t>
        </is>
      </c>
      <c r="C286" s="5" t="inlineStr">
        <is>
          <t>Coolie</t>
        </is>
      </c>
      <c r="D286" s="17" t="n">
        <v>1983</v>
      </c>
      <c r="E286" s="5" t="inlineStr">
        <is>
          <t>Shoma Anand</t>
        </is>
      </c>
      <c r="F286" s="5" t="inlineStr">
        <is>
          <t>Deepa Iyengar</t>
        </is>
      </c>
      <c r="G286" s="5" t="inlineStr">
        <is>
          <t>Supporting</t>
        </is>
      </c>
      <c r="H286" s="5" t="inlineStr">
        <is>
          <t>Medium</t>
        </is>
      </c>
      <c r="I286" s="5" t="inlineStr">
        <is>
          <t>Credited as the film's second woman, and by billing the one opposite Kapoor's Sunny.</t>
        </is>
      </c>
      <c r="J286" s="5" t="inlineStr">
        <is>
          <t>The filmography records only a minor romance for Kapoor here and the article's summary does not describe it, which is why there is no Romances row.</t>
        </is>
      </c>
      <c r="K286" s="19" t="inlineStr">
        <is>
          <t>Credited as Deepa Iyengar, with Mukri as her father, in the film's secondary romantic thread.</t>
        </is>
      </c>
      <c r="L286" s="5" t="n"/>
      <c r="M286" s="5" t="inlineStr">
        <is>
          <t>SOURCE-040</t>
        </is>
      </c>
    </row>
    <row r="287" ht="34" customHeight="1">
      <c r="A287" s="15" t="inlineStr">
        <is>
          <t>CAST-286</t>
        </is>
      </c>
      <c r="B287" s="18" t="inlineStr">
        <is>
          <t>FILM-041</t>
        </is>
      </c>
      <c r="C287" s="5" t="inlineStr">
        <is>
          <t>Coolie</t>
        </is>
      </c>
      <c r="D287" s="17" t="n">
        <v>1983</v>
      </c>
      <c r="E287" s="5" t="inlineStr">
        <is>
          <t>Amrish Puri</t>
        </is>
      </c>
      <c r="F287" s="5" t="inlineStr">
        <is>
          <t>John D'Costa</t>
        </is>
      </c>
      <c r="G287" s="5" t="inlineStr">
        <is>
          <t>Family</t>
        </is>
      </c>
      <c r="H287" s="5" t="inlineStr">
        <is>
          <t>Medium</t>
        </is>
      </c>
      <c r="I287" s="5" t="inlineStr">
        <is>
          <t>Julie's father, and the opposition to the protagonist's romance.</t>
        </is>
      </c>
      <c r="J287" s="5" t="inlineStr">
        <is>
          <t>The family obstacle to the central courtship.</t>
        </is>
      </c>
      <c r="K287" s="19" t="inlineStr">
        <is>
          <t>Julie's father, standing between the coolie and his daughter.</t>
        </is>
      </c>
      <c r="L287" s="5" t="n"/>
      <c r="M287" s="5" t="inlineStr">
        <is>
          <t>SOURCE-040</t>
        </is>
      </c>
    </row>
    <row r="288" ht="34" customHeight="1">
      <c r="A288" s="15" t="inlineStr">
        <is>
          <t>CAST-287</t>
        </is>
      </c>
      <c r="B288" s="18" t="inlineStr">
        <is>
          <t>FILM-041</t>
        </is>
      </c>
      <c r="C288" s="5" t="inlineStr">
        <is>
          <t>Coolie</t>
        </is>
      </c>
      <c r="D288" s="17" t="n">
        <v>1983</v>
      </c>
      <c r="E288" s="5" t="inlineStr">
        <is>
          <t>Satyen Kappu</t>
        </is>
      </c>
      <c r="F288" s="5" t="inlineStr">
        <is>
          <t>Aslam Khan</t>
        </is>
      </c>
      <c r="G288" s="5" t="inlineStr">
        <is>
          <t>Family</t>
        </is>
      </c>
      <c r="H288" s="5" t="inlineStr">
        <is>
          <t>Medium</t>
        </is>
      </c>
      <c r="I288" s="5" t="inlineStr">
        <is>
          <t>The protagonist's father, nearly killed in the engineered flood.</t>
        </is>
      </c>
      <c r="J288" s="5" t="inlineStr">
        <is>
          <t>Belongs to the separated-family plot.</t>
        </is>
      </c>
      <c r="K288" s="19" t="inlineStr">
        <is>
          <t>The good man Salma marries while Zafar is in prison, nearly killed when Zafar floods the region.</t>
        </is>
      </c>
      <c r="L288" s="5" t="n"/>
      <c r="M288" s="5" t="inlineStr">
        <is>
          <t>SOURCE-040</t>
        </is>
      </c>
    </row>
    <row r="289" ht="49" customHeight="1">
      <c r="A289" s="15" t="inlineStr">
        <is>
          <t>CAST-288</t>
        </is>
      </c>
      <c r="B289" s="18" t="inlineStr">
        <is>
          <t>FILM-041</t>
        </is>
      </c>
      <c r="C289" s="5" t="inlineStr">
        <is>
          <t>Coolie</t>
        </is>
      </c>
      <c r="D289" s="17" t="n">
        <v>1983</v>
      </c>
      <c r="E289" s="5" t="inlineStr">
        <is>
          <t>Suresh Oberoi</t>
        </is>
      </c>
      <c r="F289" s="5" t="inlineStr">
        <is>
          <t>Vicky Puri</t>
        </is>
      </c>
      <c r="G289" s="5" t="inlineStr">
        <is>
          <t>Supporting</t>
        </is>
      </c>
      <c r="H289" s="5" t="inlineStr">
        <is>
          <t>Medium</t>
        </is>
      </c>
      <c r="I289" s="5" t="inlineStr">
        <is>
          <t>A credited supporting figure in the plot around the strike and the villain's household.</t>
        </is>
      </c>
      <c r="J289" s="5" t="inlineStr">
        <is>
          <t>No documented part in either romance.</t>
        </is>
      </c>
      <c r="K289" s="19" t="inlineStr">
        <is>
          <t>Credited as Vicky Puri, with Om Shivpuri as Om Puri, in the film's supporting ranks.</t>
        </is>
      </c>
      <c r="L289" s="5" t="n"/>
      <c r="M289" s="5" t="inlineStr">
        <is>
          <t>SOURCE-040</t>
        </is>
      </c>
    </row>
    <row r="290" ht="64" customHeight="1">
      <c r="A290" s="15" t="inlineStr">
        <is>
          <t>CAST-289</t>
        </is>
      </c>
      <c r="B290" s="18" t="inlineStr">
        <is>
          <t>FILM-042</t>
        </is>
      </c>
      <c r="C290" s="5" t="inlineStr">
        <is>
          <t>Aan Aur Shaan</t>
        </is>
      </c>
      <c r="D290" s="17" t="n">
        <v>1984</v>
      </c>
      <c r="E290" s="5" t="inlineStr">
        <is>
          <t>Moushumi Chatterjee</t>
        </is>
      </c>
      <c r="F290" s="5" t="inlineStr">
        <is>
          <t>Radha</t>
        </is>
      </c>
      <c r="G290" s="5" t="inlineStr">
        <is>
          <t>Co-lead</t>
        </is>
      </c>
      <c r="H290" s="5" t="inlineStr">
        <is>
          <t>Major</t>
        </is>
      </c>
      <c r="I290" s="5" t="inlineStr">
        <is>
          <t>Credited opposite Kapoor's Vijay Singh; the article has no plot section, so the relationship is undocumented.</t>
        </is>
      </c>
      <c r="J290" s="5" t="inlineStr">
        <is>
          <t>The filmography records a major romance for this film, but no synopsis survives to describe it, which is why there is no Romances row.</t>
        </is>
      </c>
      <c r="K290" s="19" t="inlineStr">
        <is>
          <t>Credited as Radha opposite Kapoor, in the third and last of their films together; nothing beyond the name is documented.</t>
        </is>
      </c>
      <c r="L290" s="5" t="n"/>
      <c r="M290" s="5" t="inlineStr">
        <is>
          <t>SOURCE-042</t>
        </is>
      </c>
    </row>
    <row r="291" ht="49" customHeight="1">
      <c r="A291" s="15" t="inlineStr">
        <is>
          <t>CAST-290</t>
        </is>
      </c>
      <c r="B291" s="18" t="inlineStr">
        <is>
          <t>FILM-042</t>
        </is>
      </c>
      <c r="C291" s="5" t="inlineStr">
        <is>
          <t>Aan Aur Shaan</t>
        </is>
      </c>
      <c r="D291" s="17" t="n">
        <v>1984</v>
      </c>
      <c r="E291" s="5" t="inlineStr">
        <is>
          <t>Shammi Kapoor</t>
        </is>
      </c>
      <c r="F291" s="5" t="inlineStr">
        <is>
          <t>Bade Thakur</t>
        </is>
      </c>
      <c r="G291" s="5" t="inlineStr">
        <is>
          <t>Family</t>
        </is>
      </c>
      <c r="H291" s="5" t="inlineStr">
        <is>
          <t>Major</t>
        </is>
      </c>
      <c r="I291" s="5" t="inlineStr">
        <is>
          <t>Top-billed as the senior of three Thakur brothers, in the household Kapoor's character belongs to.</t>
        </is>
      </c>
      <c r="J291" s="5" t="inlineStr">
        <is>
          <t>Undocumented.</t>
        </is>
      </c>
      <c r="K291" s="19" t="inlineStr">
        <is>
          <t>Credited as Bade Thakur, first of a trio completed by Dara Singh's Majle Thakur and Ravindra Kapoor's Chhote Thakur, in an article with no synopsis.</t>
        </is>
      </c>
      <c r="L291" s="5" t="n"/>
      <c r="M291" s="5" t="inlineStr">
        <is>
          <t>SOURCE-042</t>
        </is>
      </c>
    </row>
    <row r="292" ht="34" customHeight="1">
      <c r="A292" s="15" t="inlineStr">
        <is>
          <t>CAST-291</t>
        </is>
      </c>
      <c r="B292" s="18" t="inlineStr">
        <is>
          <t>FILM-042</t>
        </is>
      </c>
      <c r="C292" s="5" t="inlineStr">
        <is>
          <t>Aan Aur Shaan</t>
        </is>
      </c>
      <c r="D292" s="17" t="n">
        <v>1984</v>
      </c>
      <c r="E292" s="5" t="inlineStr">
        <is>
          <t>Dara Singh</t>
        </is>
      </c>
      <c r="F292" s="5" t="inlineStr">
        <is>
          <t>Majle Thakur</t>
        </is>
      </c>
      <c r="G292" s="5" t="inlineStr">
        <is>
          <t>Family</t>
        </is>
      </c>
      <c r="H292" s="5" t="inlineStr">
        <is>
          <t>Medium</t>
        </is>
      </c>
      <c r="I292" s="5" t="inlineStr">
        <is>
          <t>Credited as the middle Thakur brother.</t>
        </is>
      </c>
      <c r="J292" s="5" t="inlineStr">
        <is>
          <t>Undocumented.</t>
        </is>
      </c>
      <c r="K292" s="19" t="inlineStr">
        <is>
          <t>Credited as Majle Thakur, the second of the film's three Thakurs, in an undocumented family drama.</t>
        </is>
      </c>
      <c r="L292" s="5" t="n"/>
      <c r="M292" s="5" t="inlineStr">
        <is>
          <t>SOURCE-042</t>
        </is>
      </c>
    </row>
    <row r="293" ht="49" customHeight="1">
      <c r="A293" s="15" t="inlineStr">
        <is>
          <t>CAST-292</t>
        </is>
      </c>
      <c r="B293" s="18" t="inlineStr">
        <is>
          <t>FILM-042</t>
        </is>
      </c>
      <c r="C293" s="5" t="inlineStr">
        <is>
          <t>Aan Aur Shaan</t>
        </is>
      </c>
      <c r="D293" s="17" t="n">
        <v>1984</v>
      </c>
      <c r="E293" s="5" t="inlineStr">
        <is>
          <t>Ravindra Kapoor</t>
        </is>
      </c>
      <c r="F293" s="5" t="inlineStr">
        <is>
          <t>Chhote Thakur</t>
        </is>
      </c>
      <c r="G293" s="5" t="inlineStr">
        <is>
          <t>Family</t>
        </is>
      </c>
      <c r="H293" s="5" t="inlineStr">
        <is>
          <t>Medium</t>
        </is>
      </c>
      <c r="I293" s="5" t="inlineStr">
        <is>
          <t>Credited as the youngest Thakur brother.</t>
        </is>
      </c>
      <c r="J293" s="5" t="inlineStr">
        <is>
          <t>Undocumented.</t>
        </is>
      </c>
      <c r="K293" s="19" t="inlineStr">
        <is>
          <t>Credited as Chhote Thakur, completing the trio of brothers the title's honour and pride presumably belong to; no plot is documented.</t>
        </is>
      </c>
      <c r="L293" s="5" t="n"/>
      <c r="M293" s="5" t="inlineStr">
        <is>
          <t>SOURCE-042</t>
        </is>
      </c>
    </row>
    <row r="294" ht="34" customHeight="1">
      <c r="A294" s="15" t="inlineStr">
        <is>
          <t>CAST-293</t>
        </is>
      </c>
      <c r="B294" s="18" t="inlineStr">
        <is>
          <t>FILM-042</t>
        </is>
      </c>
      <c r="C294" s="5" t="inlineStr">
        <is>
          <t>Aan Aur Shaan</t>
        </is>
      </c>
      <c r="D294" s="17" t="n">
        <v>1984</v>
      </c>
      <c r="E294" s="5" t="inlineStr">
        <is>
          <t>Nirupa Roy</t>
        </is>
      </c>
      <c r="F294" s="5" t="inlineStr">
        <is>
          <t>Kaushalya</t>
        </is>
      </c>
      <c r="G294" s="5" t="inlineStr">
        <is>
          <t>Family</t>
        </is>
      </c>
      <c r="H294" s="5" t="inlineStr">
        <is>
          <t>Medium</t>
        </is>
      </c>
      <c r="I294" s="5" t="inlineStr">
        <is>
          <t>Credited in the film's mother role.</t>
        </is>
      </c>
      <c r="J294" s="5" t="inlineStr">
        <is>
          <t>Undocumented.</t>
        </is>
      </c>
      <c r="K294" s="19" t="inlineStr">
        <is>
          <t>Credited as Kaushalya, in the maternal register the actress worked in throughout the period; the article gives no plot.</t>
        </is>
      </c>
      <c r="L294" s="5" t="n"/>
      <c r="M294" s="5" t="inlineStr">
        <is>
          <t>SOURCE-042</t>
        </is>
      </c>
    </row>
    <row r="295" ht="34" customHeight="1">
      <c r="A295" s="15" t="inlineStr">
        <is>
          <t>CAST-294</t>
        </is>
      </c>
      <c r="B295" s="18" t="inlineStr">
        <is>
          <t>FILM-042</t>
        </is>
      </c>
      <c r="C295" s="5" t="inlineStr">
        <is>
          <t>Aan Aur Shaan</t>
        </is>
      </c>
      <c r="D295" s="17" t="n">
        <v>1984</v>
      </c>
      <c r="E295" s="5" t="inlineStr">
        <is>
          <t>Ranjeet</t>
        </is>
      </c>
      <c r="F295" s="5" t="inlineStr">
        <is>
          <t>Shibu</t>
        </is>
      </c>
      <c r="G295" s="5" t="inlineStr">
        <is>
          <t>Antagonist</t>
        </is>
      </c>
      <c r="H295" s="5" t="inlineStr">
        <is>
          <t>Major</t>
        </is>
      </c>
      <c r="I295" s="5" t="inlineStr">
        <is>
          <t>Credited as the film's antagonist; undocumented beyond the cast list.</t>
        </is>
      </c>
      <c r="J295" s="5" t="inlineStr">
        <is>
          <t>Undocumented.</t>
        </is>
      </c>
      <c r="K295" s="19" t="inlineStr">
        <is>
          <t>Credited as Shibu, with Jeevan's Sitaram, in the opposition of a film whose plot is not recorded.</t>
        </is>
      </c>
      <c r="L295" s="5" t="n"/>
      <c r="M295" s="5" t="inlineStr">
        <is>
          <t>SOURCE-042</t>
        </is>
      </c>
    </row>
    <row r="296" ht="34" customHeight="1">
      <c r="A296" s="15" t="inlineStr">
        <is>
          <t>CAST-295</t>
        </is>
      </c>
      <c r="B296" s="18" t="inlineStr">
        <is>
          <t>FILM-042</t>
        </is>
      </c>
      <c r="C296" s="5" t="inlineStr">
        <is>
          <t>Aan Aur Shaan</t>
        </is>
      </c>
      <c r="D296" s="17" t="n">
        <v>1984</v>
      </c>
      <c r="E296" s="5" t="inlineStr">
        <is>
          <t>Farida Jalal</t>
        </is>
      </c>
      <c r="F296" s="5" t="inlineStr">
        <is>
          <t>Nun</t>
        </is>
      </c>
      <c r="G296" s="5" t="inlineStr">
        <is>
          <t>Supporting</t>
        </is>
      </c>
      <c r="H296" s="5" t="inlineStr">
        <is>
          <t>Minor</t>
        </is>
      </c>
      <c r="I296" s="5" t="inlineStr">
        <is>
          <t>Credited in a small part; undocumented.</t>
        </is>
      </c>
      <c r="J296" s="5" t="inlineStr">
        <is>
          <t>Undocumented.</t>
        </is>
      </c>
      <c r="K296" s="19" t="inlineStr">
        <is>
          <t>Credited simply as a nun, among the film's undocumented supporting parts.</t>
        </is>
      </c>
      <c r="L296" s="5" t="n"/>
      <c r="M296" s="5" t="inlineStr">
        <is>
          <t>SOURCE-042</t>
        </is>
      </c>
    </row>
    <row r="297" ht="64" customHeight="1">
      <c r="A297" s="15" t="inlineStr">
        <is>
          <t>CAST-296</t>
        </is>
      </c>
      <c r="B297" s="18" t="inlineStr">
        <is>
          <t>FILM-043</t>
        </is>
      </c>
      <c r="C297" s="5" t="inlineStr">
        <is>
          <t>Duniya</t>
        </is>
      </c>
      <c r="D297" s="17" t="n">
        <v>1984</v>
      </c>
      <c r="E297" s="5" t="inlineStr">
        <is>
          <t>Dilip Kumar</t>
        </is>
      </c>
      <c r="F297" s="5" t="inlineStr">
        <is>
          <t>Mohan Kumar</t>
        </is>
      </c>
      <c r="G297" s="5" t="inlineStr">
        <is>
          <t>Co-lead</t>
        </is>
      </c>
      <c r="H297" s="5" t="inlineStr">
        <is>
          <t>Major</t>
        </is>
      </c>
      <c r="I297" s="5" t="inlineStr">
        <is>
          <t>The film's protagonist, and the father Kapoor's character has lost and unknowingly works against.</t>
        </is>
      </c>
      <c r="J297" s="5" t="inlineStr">
        <is>
          <t>Outside the romance; the revenge plot the romance is subordinate to.</t>
        </is>
      </c>
      <c r="K297" s="19" t="inlineStr">
        <is>
          <t>An honest general manager framed for his friend's murder and jailed fourteen years, widowed while inside, who comes out with underworld help to destroy the three men responsible and cannot find his son.</t>
        </is>
      </c>
      <c r="L297" s="5" t="inlineStr">
        <is>
          <t>One of the second-career lead roles of Dilip Kumar's 1980s comeback.</t>
        </is>
      </c>
      <c r="M297" s="5" t="inlineStr">
        <is>
          <t>SOURCE-043</t>
        </is>
      </c>
    </row>
    <row r="298" ht="64" customHeight="1">
      <c r="A298" s="15" t="inlineStr">
        <is>
          <t>CAST-297</t>
        </is>
      </c>
      <c r="B298" s="18" t="inlineStr">
        <is>
          <t>FILM-043</t>
        </is>
      </c>
      <c r="C298" s="5" t="inlineStr">
        <is>
          <t>Duniya</t>
        </is>
      </c>
      <c r="D298" s="17" t="n">
        <v>1984</v>
      </c>
      <c r="E298" s="5" t="inlineStr">
        <is>
          <t>Amrita Singh</t>
        </is>
      </c>
      <c r="F298" s="5" t="inlineStr">
        <is>
          <t>Roma Verma</t>
        </is>
      </c>
      <c r="G298" s="5" t="inlineStr">
        <is>
          <t>Co-lead</t>
        </is>
      </c>
      <c r="H298" s="5" t="inlineStr">
        <is>
          <t>Major</t>
        </is>
      </c>
      <c r="I298" s="5" t="inlineStr">
        <is>
          <t>The woman Kapoor's character loves, raised in his own family's house before the frame-up scattered it.</t>
        </is>
      </c>
      <c r="J298" s="5" t="inlineStr">
        <is>
          <t>The whole of the pairing in Romances, and the thread that brings father and son back together.</t>
        </is>
      </c>
      <c r="K298" s="19" t="inlineStr">
        <is>
          <t>The orphaned daughter of the murdered Dinesh, attached as a child to Mohan Kumar's family, living with a mean alcoholic uncle, and loved by the son of the man she grew up calling family.</t>
        </is>
      </c>
      <c r="L298" s="5" t="inlineStr">
        <is>
          <t>Amrita Singh's debut.</t>
        </is>
      </c>
      <c r="M298" s="5" t="inlineStr">
        <is>
          <t>SOURCE-043</t>
        </is>
      </c>
    </row>
    <row r="299" ht="64" customHeight="1">
      <c r="A299" s="15" t="inlineStr">
        <is>
          <t>CAST-298</t>
        </is>
      </c>
      <c r="B299" s="18" t="inlineStr">
        <is>
          <t>FILM-043</t>
        </is>
      </c>
      <c r="C299" s="5" t="inlineStr">
        <is>
          <t>Duniya</t>
        </is>
      </c>
      <c r="D299" s="17" t="n">
        <v>1984</v>
      </c>
      <c r="E299" s="5" t="inlineStr">
        <is>
          <t>Pran</t>
        </is>
      </c>
      <c r="F299" s="5" t="inlineStr">
        <is>
          <t>Jugal Kishore Ahuja, called J. K.</t>
        </is>
      </c>
      <c r="G299" s="5" t="inlineStr">
        <is>
          <t>Antagonist</t>
        </is>
      </c>
      <c r="H299" s="5" t="inlineStr">
        <is>
          <t>Major</t>
        </is>
      </c>
      <c r="I299" s="5" t="inlineStr">
        <is>
          <t>The smuggler Kapoor's character works for without knowing he framed his own father.</t>
        </is>
      </c>
      <c r="J299" s="5" t="inlineStr">
        <is>
          <t>The power the lovers are finally rescued from.</t>
        </is>
      </c>
      <c r="K299" s="19" t="inlineStr">
        <is>
          <t>One of three subordinates who murder their employer's friend and frame their honest manager for it, and the man whose gang the lost son joins and is finally killed by father and son together.</t>
        </is>
      </c>
      <c r="L299" s="5" t="n"/>
      <c r="M299" s="5" t="inlineStr">
        <is>
          <t>SOURCE-043</t>
        </is>
      </c>
    </row>
    <row r="300" ht="34" customHeight="1">
      <c r="A300" s="15" t="inlineStr">
        <is>
          <t>CAST-299</t>
        </is>
      </c>
      <c r="B300" s="18" t="inlineStr">
        <is>
          <t>FILM-043</t>
        </is>
      </c>
      <c r="C300" s="5" t="inlineStr">
        <is>
          <t>Duniya</t>
        </is>
      </c>
      <c r="D300" s="17" t="n">
        <v>1984</v>
      </c>
      <c r="E300" s="5" t="inlineStr">
        <is>
          <t>Prem Chopra</t>
        </is>
      </c>
      <c r="F300" s="5" t="inlineStr">
        <is>
          <t>Prakash Chandra Bhandari</t>
        </is>
      </c>
      <c r="G300" s="5" t="inlineStr">
        <is>
          <t>Antagonist</t>
        </is>
      </c>
      <c r="H300" s="5" t="inlineStr">
        <is>
          <t>Major</t>
        </is>
      </c>
      <c r="I300" s="5" t="inlineStr">
        <is>
          <t>One of the three men whose frame-up destroyed his family.</t>
        </is>
      </c>
      <c r="J300" s="5" t="inlineStr">
        <is>
          <t>No direct part in the pairing.</t>
        </is>
      </c>
      <c r="K300" s="19" t="inlineStr">
        <is>
          <t>The second of the three smuggling subordinates who murder Dinesh and send Mohan Kumar to prison for fourteen years.</t>
        </is>
      </c>
      <c r="L300" s="5" t="n"/>
      <c r="M300" s="5" t="inlineStr">
        <is>
          <t>SOURCE-043</t>
        </is>
      </c>
    </row>
    <row r="301" ht="34" customHeight="1">
      <c r="A301" s="15" t="inlineStr">
        <is>
          <t>CAST-300</t>
        </is>
      </c>
      <c r="B301" s="18" t="inlineStr">
        <is>
          <t>FILM-043</t>
        </is>
      </c>
      <c r="C301" s="5" t="inlineStr">
        <is>
          <t>Duniya</t>
        </is>
      </c>
      <c r="D301" s="17" t="n">
        <v>1984</v>
      </c>
      <c r="E301" s="5" t="inlineStr">
        <is>
          <t>Amrish Puri</t>
        </is>
      </c>
      <c r="F301" s="5" t="inlineStr">
        <is>
          <t>Balwant Singh Kalra</t>
        </is>
      </c>
      <c r="G301" s="5" t="inlineStr">
        <is>
          <t>Antagonist</t>
        </is>
      </c>
      <c r="H301" s="5" t="inlineStr">
        <is>
          <t>Major</t>
        </is>
      </c>
      <c r="I301" s="5" t="inlineStr">
        <is>
          <t>The third of the men responsible for the family's destruction.</t>
        </is>
      </c>
      <c r="J301" s="5" t="inlineStr">
        <is>
          <t>No direct part in the pairing.</t>
        </is>
      </c>
      <c r="K301" s="19" t="inlineStr">
        <is>
          <t>The third smuggler in the conspiracy against Mohan Kumar, part of the trio the film's revenge is organised against.</t>
        </is>
      </c>
      <c r="L301" s="5" t="n"/>
      <c r="M301" s="5" t="inlineStr">
        <is>
          <t>SOURCE-043</t>
        </is>
      </c>
    </row>
    <row r="302" ht="49" customHeight="1">
      <c r="A302" s="15" t="inlineStr">
        <is>
          <t>CAST-301</t>
        </is>
      </c>
      <c r="B302" s="18" t="inlineStr">
        <is>
          <t>FILM-043</t>
        </is>
      </c>
      <c r="C302" s="5" t="inlineStr">
        <is>
          <t>Duniya</t>
        </is>
      </c>
      <c r="D302" s="17" t="n">
        <v>1984</v>
      </c>
      <c r="E302" s="5" t="inlineStr">
        <is>
          <t>Ashok Kumar</t>
        </is>
      </c>
      <c r="F302" s="5" t="inlineStr">
        <is>
          <t>R. D. Puri</t>
        </is>
      </c>
      <c r="G302" s="5" t="inlineStr">
        <is>
          <t>Mentor</t>
        </is>
      </c>
      <c r="H302" s="5" t="inlineStr">
        <is>
          <t>Major</t>
        </is>
      </c>
      <c r="I302" s="5" t="inlineStr">
        <is>
          <t>The underworld contact who makes the father's revenge possible.</t>
        </is>
      </c>
      <c r="J302" s="5" t="inlineStr">
        <is>
          <t>No direct part in the pairing.</t>
        </is>
      </c>
      <c r="K302" s="19" t="inlineStr">
        <is>
          <t>A man whose life Mohan Kumar saved in prison, with connections in the underworld, who helps him move against the three smugglers after his release.</t>
        </is>
      </c>
      <c r="L302" s="5" t="n"/>
      <c r="M302" s="5" t="inlineStr">
        <is>
          <t>SOURCE-043</t>
        </is>
      </c>
    </row>
    <row r="303" ht="49" customHeight="1">
      <c r="A303" s="15" t="inlineStr">
        <is>
          <t>CAST-302</t>
        </is>
      </c>
      <c r="B303" s="18" t="inlineStr">
        <is>
          <t>FILM-043</t>
        </is>
      </c>
      <c r="C303" s="5" t="inlineStr">
        <is>
          <t>Duniya</t>
        </is>
      </c>
      <c r="D303" s="17" t="n">
        <v>1984</v>
      </c>
      <c r="E303" s="5" t="inlineStr">
        <is>
          <t>Saira Banu</t>
        </is>
      </c>
      <c r="F303" s="5" t="inlineStr">
        <is>
          <t>Sumitra Kumar</t>
        </is>
      </c>
      <c r="G303" s="5" t="inlineStr">
        <is>
          <t>Family</t>
        </is>
      </c>
      <c r="H303" s="5" t="inlineStr">
        <is>
          <t>Medium</t>
        </is>
      </c>
      <c r="I303" s="5" t="inlineStr">
        <is>
          <t>Kapoor's character's mother, killed while his father was in prison.</t>
        </is>
      </c>
      <c r="J303" s="5" t="inlineStr">
        <is>
          <t>Outside the pairing.</t>
        </is>
      </c>
      <c r="K303" s="19" t="inlineStr">
        <is>
          <t>Mohan Kumar's wife, attached to the orphaned Roma, and killed in an accident at about the time of her husband's sentence.</t>
        </is>
      </c>
      <c r="L303" s="5" t="n"/>
      <c r="M303" s="5" t="inlineStr">
        <is>
          <t>SOURCE-043</t>
        </is>
      </c>
    </row>
    <row r="304" ht="49" customHeight="1">
      <c r="A304" s="15" t="inlineStr">
        <is>
          <t>CAST-303</t>
        </is>
      </c>
      <c r="B304" s="18" t="inlineStr">
        <is>
          <t>FILM-043</t>
        </is>
      </c>
      <c r="C304" s="5" t="inlineStr">
        <is>
          <t>Duniya</t>
        </is>
      </c>
      <c r="D304" s="17" t="n">
        <v>1984</v>
      </c>
      <c r="E304" s="5" t="inlineStr">
        <is>
          <t>Pradeep Kumar</t>
        </is>
      </c>
      <c r="F304" s="5" t="inlineStr">
        <is>
          <t>Dinesh Verma</t>
        </is>
      </c>
      <c r="G304" s="5" t="inlineStr">
        <is>
          <t>Supporting</t>
        </is>
      </c>
      <c r="H304" s="5" t="inlineStr">
        <is>
          <t>Medium</t>
        </is>
      </c>
      <c r="I304" s="5" t="inlineStr">
        <is>
          <t>Roma's father, whose murder sets the whole plot going.</t>
        </is>
      </c>
      <c r="J304" s="5" t="inlineStr">
        <is>
          <t>His death puts the heroine in the house where the romance later begins.</t>
        </is>
      </c>
      <c r="K304" s="19" t="inlineStr">
        <is>
          <t>A widowed shipping-company owner and Mohan Kumar's friend, murdered by his own employees when his manager discovers their smuggling.</t>
        </is>
      </c>
      <c r="L304" s="5" t="n"/>
      <c r="M304" s="5" t="inlineStr">
        <is>
          <t>SOURCE-043</t>
        </is>
      </c>
    </row>
    <row r="305" ht="49" customHeight="1">
      <c r="A305" s="15" t="inlineStr">
        <is>
          <t>CAST-304</t>
        </is>
      </c>
      <c r="B305" s="18" t="inlineStr">
        <is>
          <t>FILM-043</t>
        </is>
      </c>
      <c r="C305" s="5" t="inlineStr">
        <is>
          <t>Duniya</t>
        </is>
      </c>
      <c r="D305" s="17" t="n">
        <v>1984</v>
      </c>
      <c r="E305" s="5" t="inlineStr">
        <is>
          <t>Satyen Kappu</t>
        </is>
      </c>
      <c r="F305" s="5" t="inlineStr">
        <is>
          <t>Jagdish</t>
        </is>
      </c>
      <c r="G305" s="5" t="inlineStr">
        <is>
          <t>Family</t>
        </is>
      </c>
      <c r="H305" s="5" t="inlineStr">
        <is>
          <t>Medium</t>
        </is>
      </c>
      <c r="I305" s="5" t="inlineStr">
        <is>
          <t>Roma's uncle and guardian, and the condition she is living in when the romance begins.</t>
        </is>
      </c>
      <c r="J305" s="5" t="inlineStr">
        <is>
          <t>The household the heroine needs rescuing from.</t>
        </is>
      </c>
      <c r="K305" s="19" t="inlineStr">
        <is>
          <t>Roma's wayward uncle, a mean alcoholic in whose house the orphaned girl is left.</t>
        </is>
      </c>
      <c r="L305" s="5" t="n"/>
      <c r="M305" s="5" t="inlineStr">
        <is>
          <t>SOURCE-043</t>
        </is>
      </c>
    </row>
    <row r="306" ht="64" customHeight="1">
      <c r="A306" s="15" t="inlineStr">
        <is>
          <t>CAST-305</t>
        </is>
      </c>
      <c r="B306" s="18" t="inlineStr">
        <is>
          <t>FILM-044</t>
        </is>
      </c>
      <c r="C306" s="5" t="inlineStr">
        <is>
          <t>Yeh Ishq Nahin Aasaan</t>
        </is>
      </c>
      <c r="D306" s="17" t="n">
        <v>1984</v>
      </c>
      <c r="E306" s="5" t="inlineStr">
        <is>
          <t>Padmini Kolhapure</t>
        </is>
      </c>
      <c r="F306" s="5" t="inlineStr">
        <is>
          <t>Salma Khan</t>
        </is>
      </c>
      <c r="G306" s="5" t="inlineStr">
        <is>
          <t>Co-lead</t>
        </is>
      </c>
      <c r="H306" s="5" t="inlineStr">
        <is>
          <t>Major</t>
        </is>
      </c>
      <c r="I306" s="5" t="inlineStr">
        <is>
          <t>Salim's neighbour in Lucknow and the love of his life, taken out of reach to Lahore.</t>
        </is>
      </c>
      <c r="J306" s="5" t="inlineStr">
        <is>
          <t>The first pairing in Romances, and the attachment the rest of his life is organised around failing to recover.</t>
        </is>
      </c>
      <c r="K306" s="19" t="inlineStr">
        <is>
          <t>A widower's daughter, promised to a wealthy man named Anwar on her mother's deathbed, confined to the house when she persists with Salim, and removed to Pakistan when her father sells up.</t>
        </is>
      </c>
      <c r="L306" s="5" t="n"/>
      <c r="M306" s="5" t="inlineStr">
        <is>
          <t>SOURCE-044</t>
        </is>
      </c>
    </row>
    <row r="307" ht="49" customHeight="1">
      <c r="A307" s="15" t="inlineStr">
        <is>
          <t>CAST-306</t>
        </is>
      </c>
      <c r="B307" s="18" t="inlineStr">
        <is>
          <t>FILM-044</t>
        </is>
      </c>
      <c r="C307" s="5" t="inlineStr">
        <is>
          <t>Yeh Ishq Nahin Aasaan</t>
        </is>
      </c>
      <c r="D307" s="17" t="n">
        <v>1984</v>
      </c>
      <c r="E307" s="5" t="inlineStr">
        <is>
          <t>Deepti Naval</t>
        </is>
      </c>
      <c r="F307" s="5" t="inlineStr">
        <is>
          <t>Sahira</t>
        </is>
      </c>
      <c r="G307" s="5" t="inlineStr">
        <is>
          <t>Co-lead</t>
        </is>
      </c>
      <c r="H307" s="5" t="inlineStr">
        <is>
          <t>Major</t>
        </is>
      </c>
      <c r="I307" s="5" t="inlineStr">
        <is>
          <t>The woman his mother compels him to marry, and who refuses to be the formality he intends.</t>
        </is>
      </c>
      <c r="J307" s="5" t="inlineStr">
        <is>
          <t>The second pairing in Romances, a marriage made against his will and held by her will.</t>
        </is>
      </c>
      <c r="K307" s="19" t="inlineStr">
        <is>
          <t>The new neighbour's daughter married to Salim at his mother's insistence, seemingly demure, and the article's final turn is that she will not let him go.</t>
        </is>
      </c>
      <c r="L307" s="5" t="n"/>
      <c r="M307" s="5" t="inlineStr">
        <is>
          <t>SOURCE-044</t>
        </is>
      </c>
    </row>
    <row r="308" ht="49" customHeight="1">
      <c r="A308" s="15" t="inlineStr">
        <is>
          <t>CAST-307</t>
        </is>
      </c>
      <c r="B308" s="18" t="inlineStr">
        <is>
          <t>FILM-044</t>
        </is>
      </c>
      <c r="C308" s="5" t="inlineStr">
        <is>
          <t>Yeh Ishq Nahin Aasaan</t>
        </is>
      </c>
      <c r="D308" s="17" t="n">
        <v>1984</v>
      </c>
      <c r="E308" s="5" t="inlineStr">
        <is>
          <t>Yogeeta Bali</t>
        </is>
      </c>
      <c r="F308" s="5" t="inlineStr">
        <is>
          <t>Phoolrani</t>
        </is>
      </c>
      <c r="G308" s="5" t="inlineStr">
        <is>
          <t>Supporting</t>
        </is>
      </c>
      <c r="H308" s="5" t="inlineStr">
        <is>
          <t>Major</t>
        </is>
      </c>
      <c r="I308" s="5" t="inlineStr">
        <is>
          <t>The courtesan he takes to after the beating, and keeps visiting through the marriage.</t>
        </is>
      </c>
      <c r="J308" s="5" t="inlineStr">
        <is>
          <t>The third claim on him, and the measure of what the first loss did.</t>
        </is>
      </c>
      <c r="K308" s="19" t="inlineStr">
        <is>
          <t>A courtesan whose brothel Salim frequents heavily after Salma is taken away, and continues to visit while married to Sahira.</t>
        </is>
      </c>
      <c r="L308" s="5" t="n"/>
      <c r="M308" s="5" t="inlineStr">
        <is>
          <t>SOURCE-044</t>
        </is>
      </c>
    </row>
    <row r="309" ht="79" customHeight="1">
      <c r="A309" s="15" t="inlineStr">
        <is>
          <t>CAST-308</t>
        </is>
      </c>
      <c r="B309" s="18" t="inlineStr">
        <is>
          <t>FILM-044</t>
        </is>
      </c>
      <c r="C309" s="5" t="inlineStr">
        <is>
          <t>Yeh Ishq Nahin Aasaan</t>
        </is>
      </c>
      <c r="D309" s="17" t="n">
        <v>1984</v>
      </c>
      <c r="E309" s="5" t="inlineStr">
        <is>
          <t>Iftekhar</t>
        </is>
      </c>
      <c r="F309" s="5" t="inlineStr">
        <is>
          <t>Akhtar Mirza</t>
        </is>
      </c>
      <c r="G309" s="5" t="inlineStr">
        <is>
          <t>Authority figure</t>
        </is>
      </c>
      <c r="H309" s="5" t="inlineStr">
        <is>
          <t>Major</t>
        </is>
      </c>
      <c r="I309" s="5" t="inlineStr">
        <is>
          <t>Credited in the senior role; the plot's hostile father, who assaults Salim and sells the house, is named Hamid in the synopsis and is not matched to a performer.</t>
        </is>
      </c>
      <c r="J309" s="5" t="inlineStr">
        <is>
          <t>The whole of the external opposition to the first pairing, on grounds of a promise and of wealth.</t>
        </is>
      </c>
      <c r="K309" s="19" t="inlineStr">
        <is>
          <t>Credited as Akhtar Mirza in a film whose synopsis gives the heroine's father the name Hamid, the widower who beats Salim senseless and takes his daughter to Lahore.</t>
        </is>
      </c>
      <c r="L309" s="5" t="n"/>
      <c r="M309" s="5" t="inlineStr">
        <is>
          <t>SOURCE-044</t>
        </is>
      </c>
    </row>
    <row r="310" ht="34" customHeight="1">
      <c r="A310" s="15" t="inlineStr">
        <is>
          <t>CAST-309</t>
        </is>
      </c>
      <c r="B310" s="18" t="inlineStr">
        <is>
          <t>FILM-044</t>
        </is>
      </c>
      <c r="C310" s="5" t="inlineStr">
        <is>
          <t>Yeh Ishq Nahin Aasaan</t>
        </is>
      </c>
      <c r="D310" s="17" t="n">
        <v>1984</v>
      </c>
      <c r="E310" s="5" t="inlineStr">
        <is>
          <t>Om Prakash</t>
        </is>
      </c>
      <c r="F310" s="5" t="inlineStr">
        <is>
          <t>Nawab</t>
        </is>
      </c>
      <c r="G310" s="5" t="inlineStr">
        <is>
          <t>Supporting</t>
        </is>
      </c>
      <c r="H310" s="5" t="inlineStr">
        <is>
          <t>Medium</t>
        </is>
      </c>
      <c r="I310" s="5" t="inlineStr">
        <is>
          <t>A credited senior figure in the Lucknow world of the film.</t>
        </is>
      </c>
      <c r="J310" s="5" t="inlineStr">
        <is>
          <t>No documented part in either pairing.</t>
        </is>
      </c>
      <c r="K310" s="19" t="inlineStr">
        <is>
          <t>Credited as the Nawab, in the Lucknow setting the poet-architect moves to.</t>
        </is>
      </c>
      <c r="L310" s="5" t="n"/>
      <c r="M310" s="5" t="inlineStr">
        <is>
          <t>SOURCE-044</t>
        </is>
      </c>
    </row>
    <row r="311" ht="34" customHeight="1">
      <c r="A311" s="15" t="inlineStr">
        <is>
          <t>CAST-310</t>
        </is>
      </c>
      <c r="B311" s="18" t="inlineStr">
        <is>
          <t>FILM-044</t>
        </is>
      </c>
      <c r="C311" s="5" t="inlineStr">
        <is>
          <t>Yeh Ishq Nahin Aasaan</t>
        </is>
      </c>
      <c r="D311" s="17" t="n">
        <v>1984</v>
      </c>
      <c r="E311" s="5" t="inlineStr">
        <is>
          <t>Asrani</t>
        </is>
      </c>
      <c r="F311" s="5" t="inlineStr">
        <is>
          <t>Jamal</t>
        </is>
      </c>
      <c r="G311" s="5" t="inlineStr">
        <is>
          <t>Comic support</t>
        </is>
      </c>
      <c r="H311" s="5" t="inlineStr">
        <is>
          <t>Medium</t>
        </is>
      </c>
      <c r="I311" s="5" t="inlineStr">
        <is>
          <t>The comic companion in a film otherwise built on loss.</t>
        </is>
      </c>
      <c r="J311" s="5" t="inlineStr">
        <is>
          <t>Comic attendance on the courtship.</t>
        </is>
      </c>
      <c r="K311" s="19" t="inlineStr">
        <is>
          <t>Credited as Jamal, the comic part in a cast list of only six names.</t>
        </is>
      </c>
      <c r="L311" s="5" t="n"/>
      <c r="M311" s="5" t="inlineStr">
        <is>
          <t>SOURCE-044</t>
        </is>
      </c>
    </row>
    <row r="312" ht="64" customHeight="1">
      <c r="A312" s="15" t="inlineStr">
        <is>
          <t>CAST-311</t>
        </is>
      </c>
      <c r="B312" s="18" t="inlineStr">
        <is>
          <t>FILM-045</t>
        </is>
      </c>
      <c r="C312" s="5" t="inlineStr">
        <is>
          <t>Ram Tere Kitne Nam</t>
        </is>
      </c>
      <c r="D312" s="17" t="n">
        <v>1985</v>
      </c>
      <c r="E312" s="5" t="inlineStr">
        <is>
          <t>Sanjeev Kumar</t>
        </is>
      </c>
      <c r="F312" s="5" t="inlineStr">
        <is>
          <t>Ram, called Peturam, later Ram Kumar</t>
        </is>
      </c>
      <c r="G312" s="5" t="inlineStr">
        <is>
          <t>Co-lead</t>
        </is>
      </c>
      <c r="H312" s="5" t="inlineStr">
        <is>
          <t>Major</t>
        </is>
      </c>
      <c r="I312" s="5" t="inlineStr">
        <is>
          <t>The film's protagonist; Kapoor appears as himself with no part in the story.</t>
        </is>
      </c>
      <c r="J312" s="5" t="inlineStr">
        <is>
          <t>Holds the film's only romance, which is lost before it can be claimed.</t>
        </is>
      </c>
      <c r="K312" s="19" t="inlineStr">
        <is>
          <t>An overweight, sensitive man told to raise ten lakh rupees before he may propose, who drives a taxi in Bombay, becomes a film star by accident, and returns rich to find Radha married and pregnant.</t>
        </is>
      </c>
      <c r="L312" s="5" t="n"/>
      <c r="M312" s="5" t="inlineStr">
        <is>
          <t>SOURCE-050</t>
        </is>
      </c>
    </row>
    <row r="313" ht="49" customHeight="1">
      <c r="A313" s="15" t="inlineStr">
        <is>
          <t>CAST-312</t>
        </is>
      </c>
      <c r="B313" s="18" t="inlineStr">
        <is>
          <t>FILM-045</t>
        </is>
      </c>
      <c r="C313" s="5" t="inlineStr">
        <is>
          <t>Ram Tere Kitne Nam</t>
        </is>
      </c>
      <c r="D313" s="17" t="n">
        <v>1985</v>
      </c>
      <c r="E313" s="5" t="inlineStr">
        <is>
          <t>Rekha</t>
        </is>
      </c>
      <c r="F313" s="5" t="inlineStr">
        <is>
          <t>Radha Singh</t>
        </is>
      </c>
      <c r="G313" s="5" t="inlineStr">
        <is>
          <t>Co-lead</t>
        </is>
      </c>
      <c r="H313" s="5" t="inlineStr">
        <is>
          <t>Major</t>
        </is>
      </c>
      <c r="I313" s="5" t="inlineStr">
        <is>
          <t>The woman the protagonist loves, outside Kapoor's appearance.</t>
        </is>
      </c>
      <c r="J313" s="5" t="inlineStr">
        <is>
          <t>The object of the film's romance, married off while the hero is away earning the right to ask.</t>
        </is>
      </c>
      <c r="K313" s="19" t="inlineStr">
        <is>
          <t>Thakur Tej Singh's only sister, loved by Ram, and married to Aloknath Gupta and expecting a child by the time he comes back with the money.</t>
        </is>
      </c>
      <c r="L313" s="5" t="n"/>
      <c r="M313" s="5" t="inlineStr">
        <is>
          <t>SOURCE-050</t>
        </is>
      </c>
    </row>
    <row r="314" ht="49" customHeight="1">
      <c r="A314" s="15" t="inlineStr">
        <is>
          <t>CAST-313</t>
        </is>
      </c>
      <c r="B314" s="18" t="inlineStr">
        <is>
          <t>FILM-045</t>
        </is>
      </c>
      <c r="C314" s="5" t="inlineStr">
        <is>
          <t>Ram Tere Kitne Nam</t>
        </is>
      </c>
      <c r="D314" s="17" t="n">
        <v>1985</v>
      </c>
      <c r="E314" s="5" t="inlineStr">
        <is>
          <t>Prem Chopra</t>
        </is>
      </c>
      <c r="F314" s="5" t="inlineStr">
        <is>
          <t>Thakur Tej Singh</t>
        </is>
      </c>
      <c r="G314" s="5" t="inlineStr">
        <is>
          <t>Antagonist</t>
        </is>
      </c>
      <c r="H314" s="5" t="inlineStr">
        <is>
          <t>Major</t>
        </is>
      </c>
      <c r="I314" s="5" t="inlineStr">
        <is>
          <t>The brother who humiliates the protagonist and sets the price on his sister.</t>
        </is>
      </c>
      <c r="J314" s="5" t="inlineStr">
        <is>
          <t>The whole of the external opposition, expressed as a sum of money.</t>
        </is>
      </c>
      <c r="K314" s="19" t="inlineStr">
        <is>
          <t>Radha's brother, who laughs at Ram's proposal and tells him to come back with ten lakh rupees, then marries her elsewhere while he is away.</t>
        </is>
      </c>
      <c r="L314" s="5" t="n"/>
      <c r="M314" s="5" t="inlineStr">
        <is>
          <t>SOURCE-050</t>
        </is>
      </c>
    </row>
    <row r="315" ht="34" customHeight="1">
      <c r="A315" s="15" t="inlineStr">
        <is>
          <t>CAST-314</t>
        </is>
      </c>
      <c r="B315" s="18" t="inlineStr">
        <is>
          <t>FILM-045</t>
        </is>
      </c>
      <c r="C315" s="5" t="inlineStr">
        <is>
          <t>Ram Tere Kitne Nam</t>
        </is>
      </c>
      <c r="D315" s="17" t="n">
        <v>1985</v>
      </c>
      <c r="E315" s="5" t="inlineStr">
        <is>
          <t>Vinod Mehra</t>
        </is>
      </c>
      <c r="F315" s="5" t="inlineStr">
        <is>
          <t>Aloknath Gupta</t>
        </is>
      </c>
      <c r="G315" s="5" t="inlineStr">
        <is>
          <t>Romantic rival</t>
        </is>
      </c>
      <c r="H315" s="5" t="inlineStr">
        <is>
          <t>Medium</t>
        </is>
      </c>
      <c r="I315" s="5" t="inlineStr">
        <is>
          <t>The man Radha is married to in the protagonist's absence.</t>
        </is>
      </c>
      <c r="J315" s="5" t="inlineStr">
        <is>
          <t>Closes the romance before the hero can return to it.</t>
        </is>
      </c>
      <c r="K315" s="19" t="inlineStr">
        <is>
          <t>The man Radha marries while Ram is in Bombay, and by whom she is expecting a child when he comes home.</t>
        </is>
      </c>
      <c r="L315" s="5" t="n"/>
      <c r="M315" s="5" t="inlineStr">
        <is>
          <t>SOURCE-050</t>
        </is>
      </c>
    </row>
    <row r="316" ht="49" customHeight="1">
      <c r="A316" s="15" t="inlineStr">
        <is>
          <t>CAST-315</t>
        </is>
      </c>
      <c r="B316" s="18" t="inlineStr">
        <is>
          <t>FILM-045</t>
        </is>
      </c>
      <c r="C316" s="5" t="inlineStr">
        <is>
          <t>Ram Tere Kitne Nam</t>
        </is>
      </c>
      <c r="D316" s="17" t="n">
        <v>1985</v>
      </c>
      <c r="E316" s="5" t="inlineStr">
        <is>
          <t>Shammi Kapoor</t>
        </is>
      </c>
      <c r="F316" s="5" t="inlineStr">
        <is>
          <t>Film director</t>
        </is>
      </c>
      <c r="G316" s="5" t="inlineStr">
        <is>
          <t>Mentor</t>
        </is>
      </c>
      <c r="H316" s="5" t="inlineStr">
        <is>
          <t>Medium</t>
        </is>
      </c>
      <c r="I316" s="5" t="inlineStr">
        <is>
          <t>The director who gives the protagonist the career that makes him rich too late.</t>
        </is>
      </c>
      <c r="J316" s="5" t="inlineStr">
        <is>
          <t>Supplies the wealth the romance was priced at, after it is already lost.</t>
        </is>
      </c>
      <c r="K316" s="19" t="inlineStr">
        <is>
          <t>A film director who gives the taxi-driving Ram a chance in pictures, making him a millionaire overnight in a career he never wanted.</t>
        </is>
      </c>
      <c r="L316" s="5" t="n"/>
      <c r="M316" s="5" t="inlineStr">
        <is>
          <t>SOURCE-050</t>
        </is>
      </c>
    </row>
    <row r="317" ht="34" customHeight="1">
      <c r="A317" s="15" t="inlineStr">
        <is>
          <t>CAST-316</t>
        </is>
      </c>
      <c r="B317" s="18" t="inlineStr">
        <is>
          <t>FILM-045</t>
        </is>
      </c>
      <c r="C317" s="5" t="inlineStr">
        <is>
          <t>Ram Tere Kitne Nam</t>
        </is>
      </c>
      <c r="D317" s="17" t="n">
        <v>1985</v>
      </c>
      <c r="E317" s="5" t="inlineStr">
        <is>
          <t>Lalita Pawar</t>
        </is>
      </c>
      <c r="F317" s="5" t="inlineStr">
        <is>
          <t>Ram's grandmother</t>
        </is>
      </c>
      <c r="G317" s="5" t="inlineStr">
        <is>
          <t>Family</t>
        </is>
      </c>
      <c r="H317" s="5" t="inlineStr">
        <is>
          <t>Minor</t>
        </is>
      </c>
      <c r="I317" s="5" t="inlineStr">
        <is>
          <t>The protagonist's grandmother, in the home he leaves and returns to.</t>
        </is>
      </c>
      <c r="J317" s="5" t="inlineStr">
        <is>
          <t>Family background to the refused proposal.</t>
        </is>
      </c>
      <c r="K317" s="19" t="inlineStr">
        <is>
          <t>Credited as Ram's grandmother, in the small-town household he leaves for Bombay.</t>
        </is>
      </c>
      <c r="L317" s="5" t="n"/>
      <c r="M317" s="5" t="inlineStr">
        <is>
          <t>SOURCE-050</t>
        </is>
      </c>
    </row>
    <row r="318" ht="64" customHeight="1">
      <c r="A318" s="15" t="inlineStr">
        <is>
          <t>CAST-317</t>
        </is>
      </c>
      <c r="B318" s="18" t="inlineStr">
        <is>
          <t>FILM-046</t>
        </is>
      </c>
      <c r="C318" s="5" t="inlineStr">
        <is>
          <t>Zamana</t>
        </is>
      </c>
      <c r="D318" s="17" t="n">
        <v>1985</v>
      </c>
      <c r="E318" s="5" t="inlineStr">
        <is>
          <t>Rajesh Khanna</t>
        </is>
      </c>
      <c r="F318" s="5" t="inlineStr">
        <is>
          <t>Inspector Vinod Kumar</t>
        </is>
      </c>
      <c r="G318" s="5" t="inlineStr">
        <is>
          <t>Co-lead</t>
        </is>
      </c>
      <c r="H318" s="5" t="inlineStr">
        <is>
          <t>Major</t>
        </is>
      </c>
      <c r="I318" s="5" t="inlineStr">
        <is>
          <t>Kapoor's elder brother, three years old when their father was murdered, and the policeman set against his criminal brother.</t>
        </is>
      </c>
      <c r="J318" s="5" t="inlineStr">
        <is>
          <t>The rival claim in the film's triangle, and the brother the reconciliation is with.</t>
        </is>
      </c>
      <c r="K318" s="19" t="inlineStr">
        <is>
          <t>A police inspector who grows up without knowing who killed his father, finds the killers, and persuades his younger brother out of the criminal world they have ended up on opposite sides of.</t>
        </is>
      </c>
      <c r="L318" s="5" t="n"/>
      <c r="M318" s="5" t="inlineStr">
        <is>
          <t>SOURCE-045</t>
        </is>
      </c>
    </row>
    <row r="319" ht="49" customHeight="1">
      <c r="A319" s="15" t="inlineStr">
        <is>
          <t>CAST-318</t>
        </is>
      </c>
      <c r="B319" s="18" t="inlineStr">
        <is>
          <t>FILM-046</t>
        </is>
      </c>
      <c r="C319" s="5" t="inlineStr">
        <is>
          <t>Zamana</t>
        </is>
      </c>
      <c r="D319" s="17" t="n">
        <v>1985</v>
      </c>
      <c r="E319" s="5" t="inlineStr">
        <is>
          <t>Poonam Dhillon</t>
        </is>
      </c>
      <c r="F319" s="5" t="inlineStr">
        <is>
          <t>Sheetal</t>
        </is>
      </c>
      <c r="G319" s="5" t="inlineStr">
        <is>
          <t>Co-lead</t>
        </is>
      </c>
      <c r="H319" s="5" t="inlineStr">
        <is>
          <t>Major</t>
        </is>
      </c>
      <c r="I319" s="5" t="inlineStr">
        <is>
          <t>The woman both brothers love.</t>
        </is>
      </c>
      <c r="J319" s="5" t="inlineStr">
        <is>
          <t>The whole of the pairing in Romances, and the apex of a triangle the article leaves unresolved.</t>
        </is>
      </c>
      <c r="K319" s="19" t="inlineStr">
        <is>
          <t>The daughter of Ramprasad, loved by both the inspector and the criminal, in a film that reconciles the brothers without saying which of them she ends with.</t>
        </is>
      </c>
      <c r="L319" s="5" t="n"/>
      <c r="M319" s="5" t="inlineStr">
        <is>
          <t>SOURCE-045</t>
        </is>
      </c>
    </row>
    <row r="320" ht="34" customHeight="1">
      <c r="A320" s="15" t="inlineStr">
        <is>
          <t>CAST-319</t>
        </is>
      </c>
      <c r="B320" s="18" t="inlineStr">
        <is>
          <t>FILM-046</t>
        </is>
      </c>
      <c r="C320" s="5" t="inlineStr">
        <is>
          <t>Zamana</t>
        </is>
      </c>
      <c r="D320" s="17" t="n">
        <v>1985</v>
      </c>
      <c r="E320" s="5" t="inlineStr">
        <is>
          <t>Kulbhushan Kharbanda</t>
        </is>
      </c>
      <c r="F320" s="5" t="inlineStr">
        <is>
          <t>Jogeshwar Dayal, called J. D.</t>
        </is>
      </c>
      <c r="G320" s="5" t="inlineStr">
        <is>
          <t>Antagonist</t>
        </is>
      </c>
      <c r="H320" s="5" t="inlineStr">
        <is>
          <t>Major</t>
        </is>
      </c>
      <c r="I320" s="5" t="inlineStr">
        <is>
          <t>The don Kapoor's character works for, and the life he is talked out of.</t>
        </is>
      </c>
      <c r="J320" s="5" t="inlineStr">
        <is>
          <t>The world the romance has to be extracted from.</t>
        </is>
      </c>
      <c r="K320" s="19" t="inlineStr">
        <is>
          <t>The don whose organisation Ravi works in, and whom the film's reconciliation requires him to leave.</t>
        </is>
      </c>
      <c r="L320" s="5" t="n"/>
      <c r="M320" s="5" t="inlineStr">
        <is>
          <t>SOURCE-045</t>
        </is>
      </c>
    </row>
    <row r="321" ht="49" customHeight="1">
      <c r="A321" s="15" t="inlineStr">
        <is>
          <t>CAST-320</t>
        </is>
      </c>
      <c r="B321" s="18" t="inlineStr">
        <is>
          <t>FILM-046</t>
        </is>
      </c>
      <c r="C321" s="5" t="inlineStr">
        <is>
          <t>Zamana</t>
        </is>
      </c>
      <c r="D321" s="17" t="n">
        <v>1985</v>
      </c>
      <c r="E321" s="5" t="inlineStr">
        <is>
          <t>Ashalata Wabgaonkar</t>
        </is>
      </c>
      <c r="F321" s="5" t="inlineStr">
        <is>
          <t>Sudha</t>
        </is>
      </c>
      <c r="G321" s="5" t="inlineStr">
        <is>
          <t>Family</t>
        </is>
      </c>
      <c r="H321" s="5" t="inlineStr">
        <is>
          <t>Major</t>
        </is>
      </c>
      <c r="I321" s="5" t="inlineStr">
        <is>
          <t>The mother who was pregnant with Kapoor's character when his father was killed.</t>
        </is>
      </c>
      <c r="J321" s="5" t="inlineStr">
        <is>
          <t>Outside the triangle; the figure the brothers' estrangement is measured against.</t>
        </is>
      </c>
      <c r="K321" s="19" t="inlineStr">
        <is>
          <t>Widowed while expecting her second son, and the parent both brothers grow up with, on either side of the law.</t>
        </is>
      </c>
      <c r="L321" s="5" t="n"/>
      <c r="M321" s="5" t="inlineStr">
        <is>
          <t>SOURCE-045</t>
        </is>
      </c>
    </row>
    <row r="322" ht="34" customHeight="1">
      <c r="A322" s="15" t="inlineStr">
        <is>
          <t>CAST-321</t>
        </is>
      </c>
      <c r="B322" s="18" t="inlineStr">
        <is>
          <t>FILM-046</t>
        </is>
      </c>
      <c r="C322" s="5" t="inlineStr">
        <is>
          <t>Zamana</t>
        </is>
      </c>
      <c r="D322" s="17" t="n">
        <v>1985</v>
      </c>
      <c r="E322" s="5" t="inlineStr">
        <is>
          <t>Girish Karnad</t>
        </is>
      </c>
      <c r="F322" s="5" t="inlineStr">
        <is>
          <t>Satish Kumar</t>
        </is>
      </c>
      <c r="G322" s="5" t="inlineStr">
        <is>
          <t>Family</t>
        </is>
      </c>
      <c r="H322" s="5" t="inlineStr">
        <is>
          <t>Medium</t>
        </is>
      </c>
      <c r="I322" s="5" t="inlineStr">
        <is>
          <t>The father Kapoor's character never met, murdered before his birth.</t>
        </is>
      </c>
      <c r="J322" s="5" t="inlineStr">
        <is>
          <t>Outside the romance; the crime the plot resolves.</t>
        </is>
      </c>
      <c r="K322" s="19" t="inlineStr">
        <is>
          <t>A photographer murdered when his elder son was three, the killing the elder son spends the film solving.</t>
        </is>
      </c>
      <c r="L322" s="5" t="n"/>
      <c r="M322" s="5" t="inlineStr">
        <is>
          <t>SOURCE-045</t>
        </is>
      </c>
    </row>
    <row r="323" ht="34" customHeight="1">
      <c r="A323" s="15" t="inlineStr">
        <is>
          <t>CAST-322</t>
        </is>
      </c>
      <c r="B323" s="18" t="inlineStr">
        <is>
          <t>FILM-046</t>
        </is>
      </c>
      <c r="C323" s="5" t="inlineStr">
        <is>
          <t>Zamana</t>
        </is>
      </c>
      <c r="D323" s="17" t="n">
        <v>1985</v>
      </c>
      <c r="E323" s="5" t="inlineStr">
        <is>
          <t>Ranjeeta</t>
        </is>
      </c>
      <c r="F323" s="5" t="inlineStr">
        <is>
          <t>Geeta</t>
        </is>
      </c>
      <c r="G323" s="5" t="inlineStr">
        <is>
          <t>Supporting</t>
        </is>
      </c>
      <c r="H323" s="5" t="inlineStr">
        <is>
          <t>Medium</t>
        </is>
      </c>
      <c r="I323" s="5" t="inlineStr">
        <is>
          <t>Credited as the film's second woman; the synopsis does not place her.</t>
        </is>
      </c>
      <c r="J323" s="5" t="inlineStr">
        <is>
          <t>No documented part in the triangle.</t>
        </is>
      </c>
      <c r="K323" s="19" t="inlineStr">
        <is>
          <t>Credited as Geeta, the second female part in a plot the article summarises only in outline.</t>
        </is>
      </c>
      <c r="L323" s="5" t="n"/>
      <c r="M323" s="5" t="inlineStr">
        <is>
          <t>SOURCE-045</t>
        </is>
      </c>
    </row>
    <row r="324" ht="49" customHeight="1">
      <c r="A324" s="15" t="inlineStr">
        <is>
          <t>CAST-323</t>
        </is>
      </c>
      <c r="B324" s="18" t="inlineStr">
        <is>
          <t>FILM-046</t>
        </is>
      </c>
      <c r="C324" s="5" t="inlineStr">
        <is>
          <t>Zamana</t>
        </is>
      </c>
      <c r="D324" s="17" t="n">
        <v>1985</v>
      </c>
      <c r="E324" s="5" t="inlineStr">
        <is>
          <t>Om Puri</t>
        </is>
      </c>
      <c r="F324" s="5" t="inlineStr">
        <is>
          <t>Shyam</t>
        </is>
      </c>
      <c r="G324" s="5" t="inlineStr">
        <is>
          <t>Supporting</t>
        </is>
      </c>
      <c r="H324" s="5" t="inlineStr">
        <is>
          <t>Medium</t>
        </is>
      </c>
      <c r="I324" s="5" t="inlineStr">
        <is>
          <t>A credited supporting presence in the criminal half of the film.</t>
        </is>
      </c>
      <c r="J324" s="5" t="inlineStr">
        <is>
          <t>No documented part in the triangle.</t>
        </is>
      </c>
      <c r="K324" s="19" t="inlineStr">
        <is>
          <t>Credited as Shyam, among the film's supporting parts, in the period when the actor was moving between parallel and mainstream cinema.</t>
        </is>
      </c>
      <c r="L324" s="5" t="n"/>
      <c r="M324" s="5" t="inlineStr">
        <is>
          <t>SOURCE-045</t>
        </is>
      </c>
    </row>
    <row r="325" ht="34" customHeight="1">
      <c r="A325" s="15" t="inlineStr">
        <is>
          <t>CAST-324</t>
        </is>
      </c>
      <c r="B325" s="18" t="inlineStr">
        <is>
          <t>FILM-046</t>
        </is>
      </c>
      <c r="C325" s="5" t="inlineStr">
        <is>
          <t>Zamana</t>
        </is>
      </c>
      <c r="D325" s="17" t="n">
        <v>1985</v>
      </c>
      <c r="E325" s="5" t="inlineStr">
        <is>
          <t>Satyendra Kapoor</t>
        </is>
      </c>
      <c r="F325" s="5" t="inlineStr">
        <is>
          <t>Ramprasad, Sheetal's father</t>
        </is>
      </c>
      <c r="G325" s="5" t="inlineStr">
        <is>
          <t>Family</t>
        </is>
      </c>
      <c r="H325" s="5" t="inlineStr">
        <is>
          <t>Minor</t>
        </is>
      </c>
      <c r="I325" s="5" t="inlineStr">
        <is>
          <t>The heroine's father, the family authority over the contested match.</t>
        </is>
      </c>
      <c r="J325" s="5" t="inlineStr">
        <is>
          <t>The household both brothers' claims have to pass through.</t>
        </is>
      </c>
      <c r="K325" s="19" t="inlineStr">
        <is>
          <t>Credited as Ramprasad, Sheetal's father, in the family the two brothers' rivalry is conducted in front of.</t>
        </is>
      </c>
      <c r="L325" s="5" t="n"/>
      <c r="M325" s="5" t="inlineStr">
        <is>
          <t>SOURCE-045</t>
        </is>
      </c>
    </row>
    <row r="326" ht="64" customHeight="1">
      <c r="A326" s="15" t="inlineStr">
        <is>
          <t>CAST-325</t>
        </is>
      </c>
      <c r="B326" s="18" t="inlineStr">
        <is>
          <t>FILM-047</t>
        </is>
      </c>
      <c r="C326" s="5" t="inlineStr">
        <is>
          <t>Rahi Badal Gaye</t>
        </is>
      </c>
      <c r="D326" s="17" t="n">
        <v>1985</v>
      </c>
      <c r="E326" s="5" t="inlineStr">
        <is>
          <t>Shabana Azmi</t>
        </is>
      </c>
      <c r="F326" s="5" t="inlineStr">
        <is>
          <t>Bhavna</t>
        </is>
      </c>
      <c r="G326" s="5" t="inlineStr">
        <is>
          <t>Co-lead</t>
        </is>
      </c>
      <c r="H326" s="5" t="inlineStr">
        <is>
          <t>Major</t>
        </is>
      </c>
      <c r="I326" s="5" t="inlineStr">
        <is>
          <t>The hotel receptionist Amar loves and is too shy to tell, and who loses her mind when he dies.</t>
        </is>
      </c>
      <c r="J326" s="5" t="inlineStr">
        <is>
          <t>The first pairing in Romances, and the one the film's second half is a treatment for rather than a continuation of.</t>
        </is>
      </c>
      <c r="K326" s="19" t="inlineStr">
        <is>
          <t>A hotel receptionist who loves Amar and learns it is returned only through her sister, is destroyed by his fall from the mountain, and is then treated by being shown a stranger with his face.</t>
        </is>
      </c>
      <c r="L326" s="5" t="n"/>
      <c r="M326" s="5" t="inlineStr">
        <is>
          <t>SOURCE-047</t>
        </is>
      </c>
    </row>
    <row r="327" ht="64" customHeight="1">
      <c r="A327" s="15" t="inlineStr">
        <is>
          <t>CAST-326</t>
        </is>
      </c>
      <c r="B327" s="18" t="inlineStr">
        <is>
          <t>FILM-047</t>
        </is>
      </c>
      <c r="C327" s="5" t="inlineStr">
        <is>
          <t>Rahi Badal Gaye</t>
        </is>
      </c>
      <c r="D327" s="17" t="n">
        <v>1985</v>
      </c>
      <c r="E327" s="5" t="inlineStr">
        <is>
          <t>Padmini Kolhapure</t>
        </is>
      </c>
      <c r="F327" s="5" t="inlineStr">
        <is>
          <t>Sangeeta</t>
        </is>
      </c>
      <c r="G327" s="5" t="inlineStr">
        <is>
          <t>Co-lead</t>
        </is>
      </c>
      <c r="H327" s="5" t="inlineStr">
        <is>
          <t>Major</t>
        </is>
      </c>
      <c r="I327" s="5" t="inlineStr">
        <is>
          <t>Bhavna's sister, who brings the first romance about and then manages the impersonation that follows it.</t>
        </is>
      </c>
      <c r="J327" s="5" t="inlineStr">
        <is>
          <t>The second pairing in Romances, and the agent of the deception at the centre of the film.</t>
        </is>
      </c>
      <c r="K327" s="19" t="inlineStr">
        <is>
          <t>The sister who tells Amar his love is returned, is talked out of Vicky Mehra after a violent confrontation, and seduces the airman Pawan into impersonating the dead man for her sister's sake.</t>
        </is>
      </c>
      <c r="L327" s="5" t="n"/>
      <c r="M327" s="5" t="inlineStr">
        <is>
          <t>SOURCE-047</t>
        </is>
      </c>
    </row>
    <row r="328" ht="49" customHeight="1">
      <c r="A328" s="15" t="inlineStr">
        <is>
          <t>CAST-327</t>
        </is>
      </c>
      <c r="B328" s="18" t="inlineStr">
        <is>
          <t>FILM-047</t>
        </is>
      </c>
      <c r="C328" s="5" t="inlineStr">
        <is>
          <t>Rahi Badal Gaye</t>
        </is>
      </c>
      <c r="D328" s="17" t="n">
        <v>1985</v>
      </c>
      <c r="E328" s="5" t="inlineStr">
        <is>
          <t>Suresh Oberoi</t>
        </is>
      </c>
      <c r="F328" s="5" t="inlineStr">
        <is>
          <t>Dr. Mehra</t>
        </is>
      </c>
      <c r="G328" s="5" t="inlineStr">
        <is>
          <t>Mentor</t>
        </is>
      </c>
      <c r="H328" s="5" t="inlineStr">
        <is>
          <t>Major</t>
        </is>
      </c>
      <c r="I328" s="5" t="inlineStr">
        <is>
          <t>The doctor treating Bhavna, who proposes that the double impersonate the dead man.</t>
        </is>
      </c>
      <c r="J328" s="5" t="inlineStr">
        <is>
          <t>Turns the romance into a course of treatment.</t>
        </is>
      </c>
      <c r="K328" s="19" t="inlineStr">
        <is>
          <t>The physician treating Bhavna's breakdown, who asks Flight Lieutenant Pawan Kumar Saxena to pose as Amar and is refused.</t>
        </is>
      </c>
      <c r="L328" s="5" t="n"/>
      <c r="M328" s="5" t="inlineStr">
        <is>
          <t>SOURCE-047</t>
        </is>
      </c>
    </row>
    <row r="329" ht="34" customHeight="1">
      <c r="A329" s="15" t="inlineStr">
        <is>
          <t>CAST-328</t>
        </is>
      </c>
      <c r="B329" s="18" t="inlineStr">
        <is>
          <t>FILM-047</t>
        </is>
      </c>
      <c r="C329" s="5" t="inlineStr">
        <is>
          <t>Rahi Badal Gaye</t>
        </is>
      </c>
      <c r="D329" s="17" t="n">
        <v>1985</v>
      </c>
      <c r="E329" s="5" t="inlineStr">
        <is>
          <t>Shakti Kapoor</t>
        </is>
      </c>
      <c r="F329" s="5" t="inlineStr">
        <is>
          <t>Vikram Mehra, called Vicky</t>
        </is>
      </c>
      <c r="G329" s="5" t="inlineStr">
        <is>
          <t>Antagonist</t>
        </is>
      </c>
      <c r="H329" s="5" t="inlineStr">
        <is>
          <t>Major</t>
        </is>
      </c>
      <c r="I329" s="5" t="inlineStr">
        <is>
          <t>The man Amar drives away from Sangeeta in a violent confrontation.</t>
        </is>
      </c>
      <c r="J329" s="5" t="inlineStr">
        <is>
          <t>The threat to the second sister, and the film's first act of violence.</t>
        </is>
      </c>
      <c r="K329" s="19" t="inlineStr">
        <is>
          <t>An alcoholic and womaniser who befriends Sangeeta, and whom Amar convinces her to drop after a violent confrontation.</t>
        </is>
      </c>
      <c r="L329" s="5" t="n"/>
      <c r="M329" s="5" t="inlineStr">
        <is>
          <t>SOURCE-047</t>
        </is>
      </c>
    </row>
    <row r="330" ht="34" customHeight="1">
      <c r="A330" s="15" t="inlineStr">
        <is>
          <t>CAST-329</t>
        </is>
      </c>
      <c r="B330" s="18" t="inlineStr">
        <is>
          <t>FILM-047</t>
        </is>
      </c>
      <c r="C330" s="5" t="inlineStr">
        <is>
          <t>Rahi Badal Gaye</t>
        </is>
      </c>
      <c r="D330" s="17" t="n">
        <v>1985</v>
      </c>
      <c r="E330" s="5" t="inlineStr">
        <is>
          <t>Ashalata Wabgaonkar</t>
        </is>
      </c>
      <c r="F330" s="5" t="inlineStr">
        <is>
          <t>Ashalata</t>
        </is>
      </c>
      <c r="G330" s="5" t="inlineStr">
        <is>
          <t>Family</t>
        </is>
      </c>
      <c r="H330" s="5" t="inlineStr">
        <is>
          <t>Medium</t>
        </is>
      </c>
      <c r="I330" s="5" t="inlineStr">
        <is>
          <t>Credited in the family around the two sisters.</t>
        </is>
      </c>
      <c r="J330" s="5" t="inlineStr">
        <is>
          <t>Family background to both pairings.</t>
        </is>
      </c>
      <c r="K330" s="19" t="inlineStr">
        <is>
          <t>Credited under her own first name, in the household of the two sisters at the centre of the film.</t>
        </is>
      </c>
      <c r="L330" s="5" t="n"/>
      <c r="M330" s="5" t="inlineStr">
        <is>
          <t>SOURCE-047</t>
        </is>
      </c>
    </row>
    <row r="331" ht="34" customHeight="1">
      <c r="A331" s="15" t="inlineStr">
        <is>
          <t>CAST-330</t>
        </is>
      </c>
      <c r="B331" s="18" t="inlineStr">
        <is>
          <t>FILM-047</t>
        </is>
      </c>
      <c r="C331" s="5" t="inlineStr">
        <is>
          <t>Rahi Badal Gaye</t>
        </is>
      </c>
      <c r="D331" s="17" t="n">
        <v>1985</v>
      </c>
      <c r="E331" s="5" t="inlineStr">
        <is>
          <t>Rajendranath</t>
        </is>
      </c>
      <c r="F331" s="5" t="inlineStr">
        <is>
          <t>Raghunathan</t>
        </is>
      </c>
      <c r="G331" s="5" t="inlineStr">
        <is>
          <t>Comic support</t>
        </is>
      </c>
      <c r="H331" s="5" t="inlineStr">
        <is>
          <t>Minor</t>
        </is>
      </c>
      <c r="I331" s="5" t="inlineStr">
        <is>
          <t>The comic presence in the Kashmir tourist world the film opens in.</t>
        </is>
      </c>
      <c r="J331" s="5" t="inlineStr">
        <is>
          <t>Comic attendance on the courtship.</t>
        </is>
      </c>
      <c r="K331" s="19" t="inlineStr">
        <is>
          <t>Credited as Raghunathan, the comic part in a film that turns on a double and a bereavement.</t>
        </is>
      </c>
      <c r="L331" s="5" t="n"/>
      <c r="M331" s="5" t="inlineStr">
        <is>
          <t>SOURCE-047</t>
        </is>
      </c>
    </row>
    <row r="332" ht="49" customHeight="1">
      <c r="A332" s="15" t="inlineStr">
        <is>
          <t>CAST-331</t>
        </is>
      </c>
      <c r="B332" s="18" t="inlineStr">
        <is>
          <t>FILM-048</t>
        </is>
      </c>
      <c r="C332" s="5" t="inlineStr">
        <is>
          <t>Sitamgar</t>
        </is>
      </c>
      <c r="D332" s="17" t="n">
        <v>1985</v>
      </c>
      <c r="E332" s="5" t="inlineStr">
        <is>
          <t>Dharmendra</t>
        </is>
      </c>
      <c r="F332" s="5" t="inlineStr">
        <is>
          <t>Sonu / Shankar</t>
        </is>
      </c>
      <c r="G332" s="5" t="inlineStr">
        <is>
          <t>Co-lead</t>
        </is>
      </c>
      <c r="H332" s="5" t="inlineStr">
        <is>
          <t>Major</t>
        </is>
      </c>
      <c r="I332" s="5" t="inlineStr">
        <is>
          <t>Top-billed opposite Kapoor's Jai; the article's plot section is empty, so the relationship is undocumented.</t>
        </is>
      </c>
      <c r="J332" s="5" t="inlineStr">
        <is>
          <t>Undocumented.</t>
        </is>
      </c>
      <c r="K332" s="19" t="inlineStr">
        <is>
          <t>Credited in a double or disguised role as Sonu and Shankar, in a Raj N. Sippy action film whose plot the article does not record.</t>
        </is>
      </c>
      <c r="L332" s="5" t="n"/>
      <c r="M332" s="5" t="inlineStr">
        <is>
          <t>SOURCE-048</t>
        </is>
      </c>
    </row>
    <row r="333" ht="64" customHeight="1">
      <c r="A333" s="15" t="inlineStr">
        <is>
          <t>CAST-332</t>
        </is>
      </c>
      <c r="B333" s="18" t="inlineStr">
        <is>
          <t>FILM-048</t>
        </is>
      </c>
      <c r="C333" s="5" t="inlineStr">
        <is>
          <t>Sitamgar</t>
        </is>
      </c>
      <c r="D333" s="17" t="n">
        <v>1985</v>
      </c>
      <c r="E333" s="5" t="inlineStr">
        <is>
          <t>Poonam Dhillon</t>
        </is>
      </c>
      <c r="F333" s="5" t="inlineStr">
        <is>
          <t>Nisha</t>
        </is>
      </c>
      <c r="G333" s="5" t="inlineStr">
        <is>
          <t>Co-lead</t>
        </is>
      </c>
      <c r="H333" s="5" t="inlineStr">
        <is>
          <t>Major</t>
        </is>
      </c>
      <c r="I333" s="5" t="inlineStr">
        <is>
          <t>Credited with a mother of her own, and by billing order the woman opposite Kapoor; no synopsis confirms it.</t>
        </is>
      </c>
      <c r="J333" s="5" t="inlineStr">
        <is>
          <t>The filmography records a secondary romance here, but nothing about it is documented, which is why there is no Romances row.</t>
        </is>
      </c>
      <c r="K333" s="19" t="inlineStr">
        <is>
          <t>Credited as Nisha, with Sonia Sahni as her mother, in a film whose plot section was left empty.</t>
        </is>
      </c>
      <c r="L333" s="5" t="n"/>
      <c r="M333" s="5" t="inlineStr">
        <is>
          <t>SOURCE-048</t>
        </is>
      </c>
    </row>
    <row r="334" ht="34" customHeight="1">
      <c r="A334" s="15" t="inlineStr">
        <is>
          <t>CAST-333</t>
        </is>
      </c>
      <c r="B334" s="18" t="inlineStr">
        <is>
          <t>FILM-048</t>
        </is>
      </c>
      <c r="C334" s="5" t="inlineStr">
        <is>
          <t>Sitamgar</t>
        </is>
      </c>
      <c r="D334" s="17" t="n">
        <v>1985</v>
      </c>
      <c r="E334" s="5" t="inlineStr">
        <is>
          <t>Parveen Babi</t>
        </is>
      </c>
      <c r="F334" s="5" t="inlineStr">
        <is>
          <t>Sheela</t>
        </is>
      </c>
      <c r="G334" s="5" t="inlineStr">
        <is>
          <t>Co-lead</t>
        </is>
      </c>
      <c r="H334" s="5" t="inlineStr">
        <is>
          <t>Major</t>
        </is>
      </c>
      <c r="I334" s="5" t="inlineStr">
        <is>
          <t>Credited as the senior heroine; undocumented.</t>
        </is>
      </c>
      <c r="J334" s="5" t="inlineStr">
        <is>
          <t>Undocumented.</t>
        </is>
      </c>
      <c r="K334" s="19" t="inlineStr">
        <is>
          <t>Credited as Sheela, the first of the film's two heroines, in an article with no plot.</t>
        </is>
      </c>
      <c r="L334" s="5" t="n"/>
      <c r="M334" s="5" t="inlineStr">
        <is>
          <t>SOURCE-048</t>
        </is>
      </c>
    </row>
    <row r="335" ht="34" customHeight="1">
      <c r="A335" s="15" t="inlineStr">
        <is>
          <t>CAST-334</t>
        </is>
      </c>
      <c r="B335" s="18" t="inlineStr">
        <is>
          <t>FILM-048</t>
        </is>
      </c>
      <c r="C335" s="5" t="inlineStr">
        <is>
          <t>Sitamgar</t>
        </is>
      </c>
      <c r="D335" s="17" t="n">
        <v>1985</v>
      </c>
      <c r="E335" s="5" t="inlineStr">
        <is>
          <t>Prem Chopra</t>
        </is>
      </c>
      <c r="F335" s="5" t="inlineStr">
        <is>
          <t>Jeevan</t>
        </is>
      </c>
      <c r="G335" s="5" t="inlineStr">
        <is>
          <t>Antagonist</t>
        </is>
      </c>
      <c r="H335" s="5" t="inlineStr">
        <is>
          <t>Major</t>
        </is>
      </c>
      <c r="I335" s="5" t="inlineStr">
        <is>
          <t>Credited as the film's antagonist; undocumented.</t>
        </is>
      </c>
      <c r="J335" s="5" t="inlineStr">
        <is>
          <t>Undocumented.</t>
        </is>
      </c>
      <c r="K335" s="19" t="inlineStr">
        <is>
          <t>Credited as Jeevan, with Narendra Nath's Kundan, in the undocumented opposition of an action film.</t>
        </is>
      </c>
      <c r="L335" s="5" t="n"/>
      <c r="M335" s="5" t="inlineStr">
        <is>
          <t>SOURCE-048</t>
        </is>
      </c>
    </row>
    <row r="336" ht="34" customHeight="1">
      <c r="A336" s="15" t="inlineStr">
        <is>
          <t>CAST-335</t>
        </is>
      </c>
      <c r="B336" s="18" t="inlineStr">
        <is>
          <t>FILM-048</t>
        </is>
      </c>
      <c r="C336" s="5" t="inlineStr">
        <is>
          <t>Sitamgar</t>
        </is>
      </c>
      <c r="D336" s="17" t="n">
        <v>1985</v>
      </c>
      <c r="E336" s="5" t="inlineStr">
        <is>
          <t>Shreeram Lagoo</t>
        </is>
      </c>
      <c r="F336" s="5" t="inlineStr">
        <is>
          <t>Nath</t>
        </is>
      </c>
      <c r="G336" s="5" t="inlineStr">
        <is>
          <t>Supporting</t>
        </is>
      </c>
      <c r="H336" s="5" t="inlineStr">
        <is>
          <t>Medium</t>
        </is>
      </c>
      <c r="I336" s="5" t="inlineStr">
        <is>
          <t>Credited in the senior supporting role; undocumented.</t>
        </is>
      </c>
      <c r="J336" s="5" t="inlineStr">
        <is>
          <t>Undocumented.</t>
        </is>
      </c>
      <c r="K336" s="19" t="inlineStr">
        <is>
          <t>Credited as Nath, high in a cast list the article gives with no synopsis.</t>
        </is>
      </c>
      <c r="L336" s="5" t="n"/>
      <c r="M336" s="5" t="inlineStr">
        <is>
          <t>SOURCE-048</t>
        </is>
      </c>
    </row>
    <row r="337" ht="34" customHeight="1">
      <c r="A337" s="15" t="inlineStr">
        <is>
          <t>CAST-336</t>
        </is>
      </c>
      <c r="B337" s="18" t="inlineStr">
        <is>
          <t>FILM-048</t>
        </is>
      </c>
      <c r="C337" s="5" t="inlineStr">
        <is>
          <t>Sitamgar</t>
        </is>
      </c>
      <c r="D337" s="17" t="n">
        <v>1985</v>
      </c>
      <c r="E337" s="5" t="inlineStr">
        <is>
          <t>Narendra Nath</t>
        </is>
      </c>
      <c r="F337" s="5" t="inlineStr">
        <is>
          <t>Kundan</t>
        </is>
      </c>
      <c r="G337" s="5" t="inlineStr">
        <is>
          <t>Antagonist</t>
        </is>
      </c>
      <c r="H337" s="5" t="inlineStr">
        <is>
          <t>Medium</t>
        </is>
      </c>
      <c r="I337" s="5" t="inlineStr">
        <is>
          <t>Credited among the film's opposition; undocumented.</t>
        </is>
      </c>
      <c r="J337" s="5" t="inlineStr">
        <is>
          <t>Undocumented.</t>
        </is>
      </c>
      <c r="K337" s="19" t="inlineStr">
        <is>
          <t>Credited as Kundan, beneath Prem Chopra's Jeevan in the undocumented villain ranks.</t>
        </is>
      </c>
      <c r="L337" s="5" t="n"/>
      <c r="M337" s="5" t="inlineStr">
        <is>
          <t>SOURCE-048</t>
        </is>
      </c>
    </row>
    <row r="338" ht="49" customHeight="1">
      <c r="A338" s="15" t="inlineStr">
        <is>
          <t>CAST-337</t>
        </is>
      </c>
      <c r="B338" s="18" t="inlineStr">
        <is>
          <t>FILM-048</t>
        </is>
      </c>
      <c r="C338" s="5" t="inlineStr">
        <is>
          <t>Sitamgar</t>
        </is>
      </c>
      <c r="D338" s="17" t="n">
        <v>1985</v>
      </c>
      <c r="E338" s="5" t="inlineStr">
        <is>
          <t>Sonia Sahni</t>
        </is>
      </c>
      <c r="F338" s="5" t="inlineStr">
        <is>
          <t>Nisha's mother</t>
        </is>
      </c>
      <c r="G338" s="5" t="inlineStr">
        <is>
          <t>Family</t>
        </is>
      </c>
      <c r="H338" s="5" t="inlineStr">
        <is>
          <t>Minor</t>
        </is>
      </c>
      <c r="I338" s="5" t="inlineStr">
        <is>
          <t>Credited as the mother of the second heroine.</t>
        </is>
      </c>
      <c r="J338" s="5" t="inlineStr">
        <is>
          <t>Undocumented, though the position implies family authority over the match.</t>
        </is>
      </c>
      <c r="K338" s="19" t="inlineStr">
        <is>
          <t>Credited as Nisha's mother, in an article that documents the film only through its credits.</t>
        </is>
      </c>
      <c r="L338" s="5" t="n"/>
      <c r="M338" s="5" t="inlineStr">
        <is>
          <t>SOURCE-048</t>
        </is>
      </c>
    </row>
    <row r="339" ht="49" customHeight="1">
      <c r="A339" s="15" t="inlineStr">
        <is>
          <t>CAST-338</t>
        </is>
      </c>
      <c r="B339" s="18" t="inlineStr">
        <is>
          <t>FILM-049</t>
        </is>
      </c>
      <c r="C339" s="5" t="inlineStr">
        <is>
          <t>Saagar</t>
        </is>
      </c>
      <c r="D339" s="17" t="n">
        <v>1985</v>
      </c>
      <c r="E339" s="5" t="inlineStr">
        <is>
          <t>Dimple Kapadia</t>
        </is>
      </c>
      <c r="F339" s="5" t="inlineStr">
        <is>
          <t>Mona D'Silva</t>
        </is>
      </c>
      <c r="G339" s="5" t="inlineStr">
        <is>
          <t>Co-lead</t>
        </is>
      </c>
      <c r="H339" s="5" t="inlineStr">
        <is>
          <t>Major</t>
        </is>
      </c>
      <c r="I339" s="5" t="inlineStr">
        <is>
          <t>The woman Ravi falls in love with in Goa, and the friend his rival has loved in silence for years.</t>
        </is>
      </c>
      <c r="J339" s="5" t="inlineStr">
        <is>
          <t>The whole of the pairing in Romances, and the apex of the triangle the film resolves by sacrifice.</t>
        </is>
      </c>
      <c r="K339" s="19" t="inlineStr">
        <is>
          <t>A young woman running a small restaurant in Goa, loved silently by her neighbour Raja and openly by the returning Ravi, and married to Ravi at the cost of Raja's life.</t>
        </is>
      </c>
      <c r="L339" s="5" t="inlineStr">
        <is>
          <t>Kapadia's return to the screen after her marriage, opposite the co-star of her debut twelve years earlier.</t>
        </is>
      </c>
      <c r="M339" s="5" t="inlineStr">
        <is>
          <t>SOURCE-049</t>
        </is>
      </c>
    </row>
    <row r="340" ht="49" customHeight="1">
      <c r="A340" s="15" t="inlineStr">
        <is>
          <t>CAST-339</t>
        </is>
      </c>
      <c r="B340" s="18" t="inlineStr">
        <is>
          <t>FILM-049</t>
        </is>
      </c>
      <c r="C340" s="5" t="inlineStr">
        <is>
          <t>Saagar</t>
        </is>
      </c>
      <c r="D340" s="17" t="n">
        <v>1985</v>
      </c>
      <c r="E340" s="5" t="inlineStr">
        <is>
          <t>Kamal Haasan</t>
        </is>
      </c>
      <c r="F340" s="5" t="inlineStr">
        <is>
          <t>Raja</t>
        </is>
      </c>
      <c r="G340" s="5" t="inlineStr">
        <is>
          <t>Co-lead</t>
        </is>
      </c>
      <c r="H340" s="5" t="inlineStr">
        <is>
          <t>Major</t>
        </is>
      </c>
      <c r="I340" s="5" t="inlineStr">
        <is>
          <t>Ravi's friend, Mona's neighbour, and the rival who never declares himself.</t>
        </is>
      </c>
      <c r="J340" s="5" t="inlineStr">
        <is>
          <t>The second claim in the triangle, and the one whose renunciation ends the film.</t>
        </is>
      </c>
      <c r="K340" s="19" t="inlineStr">
        <is>
          <t>A fisherman living near Mona's restaurant, in love with her and unable to say so, engaged to Rosy, and the man who gives up both his love and his life for the couple.</t>
        </is>
      </c>
      <c r="L340" s="5" t="inlineStr">
        <is>
          <t>Among the most praised of Kamal Haasan's Hindi performances.</t>
        </is>
      </c>
      <c r="M340" s="5" t="inlineStr">
        <is>
          <t>SOURCE-049</t>
        </is>
      </c>
    </row>
    <row r="341" ht="49" customHeight="1">
      <c r="A341" s="15" t="inlineStr">
        <is>
          <t>CAST-340</t>
        </is>
      </c>
      <c r="B341" s="18" t="inlineStr">
        <is>
          <t>FILM-049</t>
        </is>
      </c>
      <c r="C341" s="5" t="inlineStr">
        <is>
          <t>Saagar</t>
        </is>
      </c>
      <c r="D341" s="17" t="n">
        <v>1985</v>
      </c>
      <c r="E341" s="5" t="inlineStr">
        <is>
          <t>Madhur Jaffrey</t>
        </is>
      </c>
      <c r="F341" s="5" t="inlineStr">
        <is>
          <t>Kamladevi</t>
        </is>
      </c>
      <c r="G341" s="5" t="inlineStr">
        <is>
          <t>Family</t>
        </is>
      </c>
      <c r="H341" s="5" t="inlineStr">
        <is>
          <t>Major</t>
        </is>
      </c>
      <c r="I341" s="5" t="inlineStr">
        <is>
          <t>Ravi's grandmother, and the opposition to his marriage.</t>
        </is>
      </c>
      <c r="J341" s="5" t="inlineStr">
        <is>
          <t>The whole of the external opposition, stated in terms of class.</t>
        </is>
      </c>
      <c r="K341" s="19" t="inlineStr">
        <is>
          <t>The grandmother of the industrialist family Ravi belongs to, who opposes the match with a Goan restaurant-keeper on grounds of class difference.</t>
        </is>
      </c>
      <c r="L341" s="5" t="n"/>
      <c r="M341" s="5" t="inlineStr">
        <is>
          <t>SOURCE-049</t>
        </is>
      </c>
    </row>
    <row r="342" ht="34" customHeight="1">
      <c r="A342" s="15" t="inlineStr">
        <is>
          <t>CAST-341</t>
        </is>
      </c>
      <c r="B342" s="18" t="inlineStr">
        <is>
          <t>FILM-049</t>
        </is>
      </c>
      <c r="C342" s="5" t="inlineStr">
        <is>
          <t>Saagar</t>
        </is>
      </c>
      <c r="D342" s="17" t="n">
        <v>1985</v>
      </c>
      <c r="E342" s="5" t="inlineStr">
        <is>
          <t>Saeed Jaffrey</t>
        </is>
      </c>
      <c r="F342" s="5" t="inlineStr">
        <is>
          <t>Mr. D'Silva</t>
        </is>
      </c>
      <c r="G342" s="5" t="inlineStr">
        <is>
          <t>Family</t>
        </is>
      </c>
      <c r="H342" s="5" t="inlineStr">
        <is>
          <t>Medium</t>
        </is>
      </c>
      <c r="I342" s="5" t="inlineStr">
        <is>
          <t>Mona's father, on the poorer side of the class divide.</t>
        </is>
      </c>
      <c r="J342" s="5" t="inlineStr">
        <is>
          <t>The heroine's household, set against the grandmother's.</t>
        </is>
      </c>
      <c r="K342" s="19" t="inlineStr">
        <is>
          <t>Mona's father, in the Goan Catholic world the industrialist family's objection is aimed at.</t>
        </is>
      </c>
      <c r="L342" s="5" t="n"/>
      <c r="M342" s="5" t="inlineStr">
        <is>
          <t>SOURCE-049</t>
        </is>
      </c>
    </row>
    <row r="343" ht="49" customHeight="1">
      <c r="A343" s="15" t="inlineStr">
        <is>
          <t>CAST-342</t>
        </is>
      </c>
      <c r="B343" s="18" t="inlineStr">
        <is>
          <t>FILM-049</t>
        </is>
      </c>
      <c r="C343" s="5" t="inlineStr">
        <is>
          <t>Saagar</t>
        </is>
      </c>
      <c r="D343" s="17" t="n">
        <v>1985</v>
      </c>
      <c r="E343" s="5" t="inlineStr">
        <is>
          <t>Lissy</t>
        </is>
      </c>
      <c r="F343" s="5" t="inlineStr">
        <is>
          <t>Rosy</t>
        </is>
      </c>
      <c r="G343" s="5" t="inlineStr">
        <is>
          <t>Supporting</t>
        </is>
      </c>
      <c r="H343" s="5" t="inlineStr">
        <is>
          <t>Medium</t>
        </is>
      </c>
      <c r="I343" s="5" t="inlineStr">
        <is>
          <t>Raja's fiancee, and the claim he sets aside by loving Mona.</t>
        </is>
      </c>
      <c r="J343" s="5" t="inlineStr">
        <is>
          <t>The fourth corner of the romantic arrangement, and the measure of Raja's silence.</t>
        </is>
      </c>
      <c r="K343" s="19" t="inlineStr">
        <is>
          <t>Credited as Raja's fiancee, the attachment that makes his unspoken love for Mona a betrayal of someone as well as a sacrifice.</t>
        </is>
      </c>
      <c r="L343" s="5" t="n"/>
      <c r="M343" s="5" t="inlineStr">
        <is>
          <t>SOURCE-049</t>
        </is>
      </c>
    </row>
    <row r="344" ht="34" customHeight="1">
      <c r="A344" s="15" t="inlineStr">
        <is>
          <t>CAST-343</t>
        </is>
      </c>
      <c r="B344" s="18" t="inlineStr">
        <is>
          <t>FILM-049</t>
        </is>
      </c>
      <c r="C344" s="5" t="inlineStr">
        <is>
          <t>Saagar</t>
        </is>
      </c>
      <c r="D344" s="17" t="n">
        <v>1985</v>
      </c>
      <c r="E344" s="5" t="inlineStr">
        <is>
          <t>Nadira</t>
        </is>
      </c>
      <c r="F344" s="5" t="inlineStr">
        <is>
          <t>Miss Joseph</t>
        </is>
      </c>
      <c r="G344" s="5" t="inlineStr">
        <is>
          <t>Supporting</t>
        </is>
      </c>
      <c r="H344" s="5" t="inlineStr">
        <is>
          <t>Medium</t>
        </is>
      </c>
      <c r="I344" s="5" t="inlineStr">
        <is>
          <t>A credited figure of the Goan world the romance is set in.</t>
        </is>
      </c>
      <c r="J344" s="5" t="inlineStr">
        <is>
          <t>No direct part in the triangle.</t>
        </is>
      </c>
      <c r="K344" s="19" t="inlineStr">
        <is>
          <t>Credited as Miss Joseph, among the Goan characters around Mona's restaurant.</t>
        </is>
      </c>
      <c r="L344" s="5" t="n"/>
      <c r="M344" s="5" t="inlineStr">
        <is>
          <t>SOURCE-049</t>
        </is>
      </c>
    </row>
    <row r="345" ht="34" customHeight="1">
      <c r="A345" s="15" t="inlineStr">
        <is>
          <t>CAST-344</t>
        </is>
      </c>
      <c r="B345" s="18" t="inlineStr">
        <is>
          <t>FILM-049</t>
        </is>
      </c>
      <c r="C345" s="5" t="inlineStr">
        <is>
          <t>Saagar</t>
        </is>
      </c>
      <c r="D345" s="17" t="n">
        <v>1985</v>
      </c>
      <c r="E345" s="5" t="inlineStr">
        <is>
          <t>A. K. Hangal</t>
        </is>
      </c>
      <c r="F345" s="5" t="inlineStr">
        <is>
          <t>Baba</t>
        </is>
      </c>
      <c r="G345" s="5" t="inlineStr">
        <is>
          <t>Supporting</t>
        </is>
      </c>
      <c r="H345" s="5" t="inlineStr">
        <is>
          <t>Minor</t>
        </is>
      </c>
      <c r="I345" s="5" t="inlineStr">
        <is>
          <t>The old man in the lighthouse, part of the film's coastal setting.</t>
        </is>
      </c>
      <c r="J345" s="5" t="inlineStr">
        <is>
          <t>No direct part in the triangle.</t>
        </is>
      </c>
      <c r="K345" s="19" t="inlineStr">
        <is>
          <t>Credited as Baba in the lighthouse, one of the fixed points of the film's Goan geography.</t>
        </is>
      </c>
      <c r="L345" s="5" t="n"/>
      <c r="M345" s="5" t="inlineStr">
        <is>
          <t>SOURCE-049</t>
        </is>
      </c>
    </row>
    <row r="346" ht="34" customHeight="1">
      <c r="A346" s="15" t="inlineStr">
        <is>
          <t>CAST-345</t>
        </is>
      </c>
      <c r="B346" s="18" t="inlineStr">
        <is>
          <t>FILM-049</t>
        </is>
      </c>
      <c r="C346" s="5" t="inlineStr">
        <is>
          <t>Saagar</t>
        </is>
      </c>
      <c r="D346" s="17" t="n">
        <v>1985</v>
      </c>
      <c r="E346" s="5" t="inlineStr">
        <is>
          <t>Satish Kaushik</t>
        </is>
      </c>
      <c r="F346" s="5" t="inlineStr">
        <is>
          <t>Batuk Laal</t>
        </is>
      </c>
      <c r="G346" s="5" t="inlineStr">
        <is>
          <t>Comic support</t>
        </is>
      </c>
      <c r="H346" s="5" t="inlineStr">
        <is>
          <t>Minor</t>
        </is>
      </c>
      <c r="I346" s="5" t="inlineStr">
        <is>
          <t>The comic presence in the film's seaside world.</t>
        </is>
      </c>
      <c r="J346" s="5" t="inlineStr">
        <is>
          <t>Comic attendance on the romance.</t>
        </is>
      </c>
      <c r="K346" s="19" t="inlineStr">
        <is>
          <t>Credited as Batuk Laal, in an early screen part for the actor.</t>
        </is>
      </c>
      <c r="L346" s="5" t="n"/>
      <c r="M346" s="5" t="inlineStr">
        <is>
          <t>SOURCE-049</t>
        </is>
      </c>
    </row>
    <row r="347" ht="64" customHeight="1">
      <c r="A347" s="15" t="inlineStr">
        <is>
          <t>CAST-346</t>
        </is>
      </c>
      <c r="B347" s="18" t="inlineStr">
        <is>
          <t>FILM-050</t>
        </is>
      </c>
      <c r="C347" s="5" t="inlineStr">
        <is>
          <t>Tawaif</t>
        </is>
      </c>
      <c r="D347" s="17" t="n">
        <v>1985</v>
      </c>
      <c r="E347" s="5" t="inlineStr">
        <is>
          <t>Rati Agnihotri</t>
        </is>
      </c>
      <c r="F347" s="5" t="inlineStr">
        <is>
          <t>Sultana</t>
        </is>
      </c>
      <c r="G347" s="5" t="inlineStr">
        <is>
          <t>Co-lead</t>
        </is>
      </c>
      <c r="H347" s="5" t="inlineStr">
        <is>
          <t>Major</t>
        </is>
      </c>
      <c r="I347" s="5" t="inlineStr">
        <is>
          <t>The courtesan forced on him at knifepoint for one night, who then keeps house in his name until he comes to love her.</t>
        </is>
      </c>
      <c r="J347" s="5" t="inlineStr">
        <is>
          <t>The first pairing in Romances, and the one the film ends by endorsing.</t>
        </is>
      </c>
      <c r="K347" s="19" t="inlineStr">
        <is>
          <t>A courtesan bought by Rahim Shaikh to be resold to the highest bidder, left in Dawood's room under threat, taken by the neighbourhood for his wife, and finally the woman he goes to reclaim.</t>
        </is>
      </c>
      <c r="L347" s="5" t="inlineStr">
        <is>
          <t>Among Rati Agnihotri's most substantial roles, in a B. R. Chopra production built around the character.</t>
        </is>
      </c>
      <c r="M347" s="5" t="inlineStr">
        <is>
          <t>SOURCE-046</t>
        </is>
      </c>
    </row>
    <row r="348" ht="64" customHeight="1">
      <c r="A348" s="15" t="inlineStr">
        <is>
          <t>CAST-347</t>
        </is>
      </c>
      <c r="B348" s="18" t="inlineStr">
        <is>
          <t>FILM-050</t>
        </is>
      </c>
      <c r="C348" s="5" t="inlineStr">
        <is>
          <t>Tawaif</t>
        </is>
      </c>
      <c r="D348" s="17" t="n">
        <v>1985</v>
      </c>
      <c r="E348" s="5" t="inlineStr">
        <is>
          <t>Poonam Dhillon</t>
        </is>
      </c>
      <c r="F348" s="5" t="inlineStr">
        <is>
          <t>Kaynat Mirza</t>
        </is>
      </c>
      <c r="G348" s="5" t="inlineStr">
        <is>
          <t>Co-lead</t>
        </is>
      </c>
      <c r="H348" s="5" t="inlineStr">
        <is>
          <t>Major</t>
        </is>
      </c>
      <c r="I348" s="5" t="inlineStr">
        <is>
          <t>The writer whose manuscript he finds and returns, and the woman he is courting while a stranger lives as his wife.</t>
        </is>
      </c>
      <c r="J348" s="5" t="inlineStr">
        <is>
          <t>The second pairing in Romances, which she ends herself by telling him whom he actually loves.</t>
        </is>
      </c>
      <c r="K348" s="19" t="inlineStr">
        <is>
          <t>A young writer whose lost manuscript brings Dawood to her door, courted by him and introduced by him to the editor Sulaiman, and the one who relinquishes him and sends him after Sultana.</t>
        </is>
      </c>
      <c r="L348" s="5" t="n"/>
      <c r="M348" s="5" t="inlineStr">
        <is>
          <t>SOURCE-046</t>
        </is>
      </c>
    </row>
    <row r="349" ht="49" customHeight="1">
      <c r="A349" s="15" t="inlineStr">
        <is>
          <t>CAST-348</t>
        </is>
      </c>
      <c r="B349" s="18" t="inlineStr">
        <is>
          <t>FILM-050</t>
        </is>
      </c>
      <c r="C349" s="5" t="inlineStr">
        <is>
          <t>Tawaif</t>
        </is>
      </c>
      <c r="D349" s="17" t="n">
        <v>1985</v>
      </c>
      <c r="E349" s="5" t="inlineStr">
        <is>
          <t>Kader Khan</t>
        </is>
      </c>
      <c r="F349" s="5" t="inlineStr">
        <is>
          <t>Rahim Shaikh</t>
        </is>
      </c>
      <c r="G349" s="5" t="inlineStr">
        <is>
          <t>Antagonist</t>
        </is>
      </c>
      <c r="H349" s="5" t="inlineStr">
        <is>
          <t>Major</t>
        </is>
      </c>
      <c r="I349" s="5" t="inlineStr">
        <is>
          <t>The mafia lord who forces the woman on him at knifepoint and later takes her back.</t>
        </is>
      </c>
      <c r="J349" s="5" t="inlineStr">
        <is>
          <t>Both the origin of the first pairing and the obstacle it ends against.</t>
        </is>
      </c>
      <c r="K349" s="19" t="inlineStr">
        <is>
          <t>A mafia lord who buys Sultana to resell her, hides her in Dawood's room when the police close in, is arrested, and holds her again at the point the film breaks off.</t>
        </is>
      </c>
      <c r="L349" s="5" t="n"/>
      <c r="M349" s="5" t="inlineStr">
        <is>
          <t>SOURCE-046</t>
        </is>
      </c>
    </row>
    <row r="350" ht="49" customHeight="1">
      <c r="A350" s="15" t="inlineStr">
        <is>
          <t>CAST-349</t>
        </is>
      </c>
      <c r="B350" s="18" t="inlineStr">
        <is>
          <t>FILM-050</t>
        </is>
      </c>
      <c r="C350" s="5" t="inlineStr">
        <is>
          <t>Tawaif</t>
        </is>
      </c>
      <c r="D350" s="17" t="n">
        <v>1985</v>
      </c>
      <c r="E350" s="5" t="inlineStr">
        <is>
          <t>Sushma Seth</t>
        </is>
      </c>
      <c r="F350" s="5" t="inlineStr">
        <is>
          <t>Ameena Bai</t>
        </is>
      </c>
      <c r="G350" s="5" t="inlineStr">
        <is>
          <t>Family</t>
        </is>
      </c>
      <c r="H350" s="5" t="inlineStr">
        <is>
          <t>Major</t>
        </is>
      </c>
      <c r="I350" s="5" t="inlineStr">
        <is>
          <t>The woman who runs the community home where the orphaned Dawood lives and treats him as a son.</t>
        </is>
      </c>
      <c r="J350" s="5" t="inlineStr">
        <is>
          <t>Her assumption that Sultana is his wife is what converts a night's coercion into a household.</t>
        </is>
      </c>
      <c r="K350" s="19" t="inlineStr">
        <is>
          <t>The owner of the community home that raised Dawood, who on seeing the woman in his room assumes a marriage and arranges a feast for the couple.</t>
        </is>
      </c>
      <c r="L350" s="5" t="n"/>
      <c r="M350" s="5" t="inlineStr">
        <is>
          <t>SOURCE-046</t>
        </is>
      </c>
    </row>
    <row r="351" ht="49" customHeight="1">
      <c r="A351" s="15" t="inlineStr">
        <is>
          <t>CAST-350</t>
        </is>
      </c>
      <c r="B351" s="18" t="inlineStr">
        <is>
          <t>FILM-050</t>
        </is>
      </c>
      <c r="C351" s="5" t="inlineStr">
        <is>
          <t>Tawaif</t>
        </is>
      </c>
      <c r="D351" s="17" t="n">
        <v>1985</v>
      </c>
      <c r="E351" s="5" t="inlineStr">
        <is>
          <t>Ashok Kumar</t>
        </is>
      </c>
      <c r="F351" s="5" t="inlineStr">
        <is>
          <t>Mr. Nigam</t>
        </is>
      </c>
      <c r="G351" s="5" t="inlineStr">
        <is>
          <t>Authority figure</t>
        </is>
      </c>
      <c r="H351" s="5" t="inlineStr">
        <is>
          <t>Medium</t>
        </is>
      </c>
      <c r="I351" s="5" t="inlineStr">
        <is>
          <t>The owner of the publishing house where Dawood works.</t>
        </is>
      </c>
      <c r="J351" s="5" t="inlineStr">
        <is>
          <t>The professional world through which he meets the writer he courts.</t>
        </is>
      </c>
      <c r="K351" s="19" t="inlineStr">
        <is>
          <t>Top-billed as the owner of the publishing house Kitaab Gher, where Dawood is employed and where the manuscript plot runs.</t>
        </is>
      </c>
      <c r="L351" s="5" t="n"/>
      <c r="M351" s="5" t="inlineStr">
        <is>
          <t>SOURCE-046</t>
        </is>
      </c>
    </row>
    <row r="352" ht="49" customHeight="1">
      <c r="A352" s="15" t="inlineStr">
        <is>
          <t>CAST-351</t>
        </is>
      </c>
      <c r="B352" s="18" t="inlineStr">
        <is>
          <t>FILM-050</t>
        </is>
      </c>
      <c r="C352" s="5" t="inlineStr">
        <is>
          <t>Tawaif</t>
        </is>
      </c>
      <c r="D352" s="17" t="n">
        <v>1985</v>
      </c>
      <c r="E352" s="5" t="inlineStr">
        <is>
          <t>Deepak Parashar</t>
        </is>
      </c>
      <c r="F352" s="5" t="inlineStr">
        <is>
          <t>Sulaiman</t>
        </is>
      </c>
      <c r="G352" s="5" t="inlineStr">
        <is>
          <t>Supporting</t>
        </is>
      </c>
      <c r="H352" s="5" t="inlineStr">
        <is>
          <t>Medium</t>
        </is>
      </c>
      <c r="I352" s="5" t="inlineStr">
        <is>
          <t>The editor Dawood introduces to the writer, and so a complication of his own making.</t>
        </is>
      </c>
      <c r="J352" s="5" t="inlineStr">
        <is>
          <t>Placed inside the second pairing by Dawood's own introduction.</t>
        </is>
      </c>
      <c r="K352" s="19" t="inlineStr">
        <is>
          <t>The editor of the publishing house, whom Dawood arranges for Kaynat to meet about her manuscript.</t>
        </is>
      </c>
      <c r="L352" s="5" t="n"/>
      <c r="M352" s="5" t="inlineStr">
        <is>
          <t>SOURCE-046</t>
        </is>
      </c>
    </row>
    <row r="353" ht="34" customHeight="1">
      <c r="A353" s="15" t="inlineStr">
        <is>
          <t>CAST-352</t>
        </is>
      </c>
      <c r="B353" s="18" t="inlineStr">
        <is>
          <t>FILM-050</t>
        </is>
      </c>
      <c r="C353" s="5" t="inlineStr">
        <is>
          <t>Tawaif</t>
        </is>
      </c>
      <c r="D353" s="17" t="n">
        <v>1985</v>
      </c>
      <c r="E353" s="5" t="inlineStr">
        <is>
          <t>Shashikala</t>
        </is>
      </c>
      <c r="F353" s="5" t="inlineStr">
        <is>
          <t>Bilquis Bai</t>
        </is>
      </c>
      <c r="G353" s="5" t="inlineStr">
        <is>
          <t>Supporting</t>
        </is>
      </c>
      <c r="H353" s="5" t="inlineStr">
        <is>
          <t>Medium</t>
        </is>
      </c>
      <c r="I353" s="5" t="inlineStr">
        <is>
          <t>A credited figure of the courtesan world the heroine is held in.</t>
        </is>
      </c>
      <c r="J353" s="5" t="inlineStr">
        <is>
          <t>Belongs to the trade the first pairing has to be rescued from.</t>
        </is>
      </c>
      <c r="K353" s="19" t="inlineStr">
        <is>
          <t>Credited as Bilquis Bai, in the kotha world against which the film sets its argument about a courtesan's respectability.</t>
        </is>
      </c>
      <c r="L353" s="5" t="n"/>
      <c r="M353" s="5" t="inlineStr">
        <is>
          <t>SOURCE-046</t>
        </is>
      </c>
    </row>
    <row r="354" ht="34" customHeight="1">
      <c r="A354" s="15" t="inlineStr">
        <is>
          <t>CAST-353</t>
        </is>
      </c>
      <c r="B354" s="18" t="inlineStr">
        <is>
          <t>FILM-050</t>
        </is>
      </c>
      <c r="C354" s="5" t="inlineStr">
        <is>
          <t>Tawaif</t>
        </is>
      </c>
      <c r="D354" s="17" t="n">
        <v>1985</v>
      </c>
      <c r="E354" s="5" t="inlineStr">
        <is>
          <t>Asrani</t>
        </is>
      </c>
      <c r="F354" s="5" t="inlineStr">
        <is>
          <t>Constable Pandya</t>
        </is>
      </c>
      <c r="G354" s="5" t="inlineStr">
        <is>
          <t>Comic support</t>
        </is>
      </c>
      <c r="H354" s="5" t="inlineStr">
        <is>
          <t>Minor</t>
        </is>
      </c>
      <c r="I354" s="5" t="inlineStr">
        <is>
          <t>The policeman in the comic register, around the raid and the arrest.</t>
        </is>
      </c>
      <c r="J354" s="5" t="inlineStr">
        <is>
          <t>Comic attendance on the household imposture.</t>
        </is>
      </c>
      <c r="K354" s="19" t="inlineStr">
        <is>
          <t>Credited as Constable Pandya, in the comic policing of the film's bidding and arrest sequences.</t>
        </is>
      </c>
      <c r="L354" s="5" t="n"/>
      <c r="M354" s="5" t="inlineStr">
        <is>
          <t>SOURCE-046</t>
        </is>
      </c>
    </row>
    <row r="355" ht="64" customHeight="1">
      <c r="A355" s="15" t="inlineStr">
        <is>
          <t>CAST-354</t>
        </is>
      </c>
      <c r="B355" s="18" t="inlineStr">
        <is>
          <t>FILM-052</t>
        </is>
      </c>
      <c r="C355" s="5" t="inlineStr">
        <is>
          <t>Naseeb Apna Apna</t>
        </is>
      </c>
      <c r="D355" s="17" t="n">
        <v>1986</v>
      </c>
      <c r="E355" s="5" t="inlineStr">
        <is>
          <t>Radhika</t>
        </is>
      </c>
      <c r="F355" s="5" t="inlineStr">
        <is>
          <t>Chando</t>
        </is>
      </c>
      <c r="G355" s="5" t="inlineStr">
        <is>
          <t>Co-lead</t>
        </is>
      </c>
      <c r="H355" s="5" t="inlineStr">
        <is>
          <t>Major</t>
        </is>
      </c>
      <c r="I355" s="5" t="inlineStr">
        <is>
          <t>The wife forced on Kishan, whom he refuses to live with and then abandons at a station.</t>
        </is>
      </c>
      <c r="J355" s="5" t="inlineStr">
        <is>
          <t>The first pairing in Romances, and the one the film treats as a wrong done rather than a relationship.</t>
        </is>
      </c>
      <c r="K355" s="19" t="inlineStr">
        <is>
          <t>An innocent, dark-skinned girl her father struggles to marry off, wed to Kishan by the fathers' friendship, serving a husband who will not sleep in the same room, abandoned, and installed in his new house as a maid.</t>
        </is>
      </c>
      <c r="L355" s="5" t="n"/>
      <c r="M355" s="5" t="inlineStr">
        <is>
          <t>SOURCE-055</t>
        </is>
      </c>
    </row>
    <row r="356" ht="64" customHeight="1">
      <c r="A356" s="15" t="inlineStr">
        <is>
          <t>CAST-355</t>
        </is>
      </c>
      <c r="B356" s="18" t="inlineStr">
        <is>
          <t>FILM-052</t>
        </is>
      </c>
      <c r="C356" s="5" t="inlineStr">
        <is>
          <t>Naseeb Apna Apna</t>
        </is>
      </c>
      <c r="D356" s="17" t="n">
        <v>1986</v>
      </c>
      <c r="E356" s="5" t="inlineStr">
        <is>
          <t>Farah Naaz</t>
        </is>
      </c>
      <c r="F356" s="5" t="inlineStr">
        <is>
          <t>Radha Singh</t>
        </is>
      </c>
      <c r="G356" s="5" t="inlineStr">
        <is>
          <t>Co-lead</t>
        </is>
      </c>
      <c r="H356" s="5" t="inlineStr">
        <is>
          <t>Major</t>
        </is>
      </c>
      <c r="I356" s="5" t="inlineStr">
        <is>
          <t>The woman Kishan marries in Bombay without disclosing the first marriage.</t>
        </is>
      </c>
      <c r="J356" s="5" t="inlineStr">
        <is>
          <t>The second pairing in Romances, founded on a concealment, and the article ends with the two wives becoming close.</t>
        </is>
      </c>
      <c r="K356" s="19" t="inlineStr">
        <is>
          <t>A beautiful award-winning professional Kishan meets in Bombay and marries bigamously, who befriends the servant in her house without knowing she is her husband's first wife.</t>
        </is>
      </c>
      <c r="L356" s="5" t="n"/>
      <c r="M356" s="5" t="inlineStr">
        <is>
          <t>SOURCE-055</t>
        </is>
      </c>
    </row>
    <row r="357" ht="49" customHeight="1">
      <c r="A357" s="15" t="inlineStr">
        <is>
          <t>CAST-356</t>
        </is>
      </c>
      <c r="B357" s="18" t="inlineStr">
        <is>
          <t>FILM-052</t>
        </is>
      </c>
      <c r="C357" s="5" t="inlineStr">
        <is>
          <t>Naseeb Apna Apna</t>
        </is>
      </c>
      <c r="D357" s="17" t="n">
        <v>1986</v>
      </c>
      <c r="E357" s="5" t="inlineStr">
        <is>
          <t>Amrish Puri</t>
        </is>
      </c>
      <c r="F357" s="5" t="inlineStr">
        <is>
          <t>Bhim Singh</t>
        </is>
      </c>
      <c r="G357" s="5" t="inlineStr">
        <is>
          <t>Family</t>
        </is>
      </c>
      <c r="H357" s="5" t="inlineStr">
        <is>
          <t>Major</t>
        </is>
      </c>
      <c r="I357" s="5" t="inlineStr">
        <is>
          <t>The dominating father whose arrangement forces the first marriage and whose fear keeps Kishan in it.</t>
        </is>
      </c>
      <c r="J357" s="5" t="inlineStr">
        <is>
          <t>The whole of the coercion behind the first pairing.</t>
        </is>
      </c>
      <c r="K357" s="19" t="inlineStr">
        <is>
          <t>Kishan's dominant father, who settles his son's marriage to his friend's unmarriageable daughter without asking him, and whom the son is too frightened of to refuse.</t>
        </is>
      </c>
      <c r="L357" s="5" t="n"/>
      <c r="M357" s="5" t="inlineStr">
        <is>
          <t>SOURCE-055</t>
        </is>
      </c>
    </row>
    <row r="358" ht="49" customHeight="1">
      <c r="A358" s="15" t="inlineStr">
        <is>
          <t>CAST-357</t>
        </is>
      </c>
      <c r="B358" s="18" t="inlineStr">
        <is>
          <t>FILM-052</t>
        </is>
      </c>
      <c r="C358" s="5" t="inlineStr">
        <is>
          <t>Naseeb Apna Apna</t>
        </is>
      </c>
      <c r="D358" s="17" t="n">
        <v>1986</v>
      </c>
      <c r="E358" s="5" t="inlineStr">
        <is>
          <t>Satyen Kappu</t>
        </is>
      </c>
      <c r="F358" s="5" t="inlineStr">
        <is>
          <t>Ramlal</t>
        </is>
      </c>
      <c r="G358" s="5" t="inlineStr">
        <is>
          <t>Family</t>
        </is>
      </c>
      <c r="H358" s="5" t="inlineStr">
        <is>
          <t>Medium</t>
        </is>
      </c>
      <c r="I358" s="5" t="inlineStr">
        <is>
          <t>Chando's father, whose difficulty in marrying her off produces the arrangement.</t>
        </is>
      </c>
      <c r="J358" s="5" t="inlineStr">
        <is>
          <t>The other half of the fathers' bargain.</t>
        </is>
      </c>
      <c r="K358" s="19" t="inlineStr">
        <is>
          <t>Chando's father and Bhim Singh's close friend, whose diligent search for a groom for his plain daughter is answered by his friend's unilateral arrangement.</t>
        </is>
      </c>
      <c r="L358" s="5" t="n"/>
      <c r="M358" s="5" t="inlineStr">
        <is>
          <t>SOURCE-055</t>
        </is>
      </c>
    </row>
    <row r="359" ht="34" customHeight="1">
      <c r="A359" s="15" t="inlineStr">
        <is>
          <t>CAST-358</t>
        </is>
      </c>
      <c r="B359" s="18" t="inlineStr">
        <is>
          <t>FILM-052</t>
        </is>
      </c>
      <c r="C359" s="5" t="inlineStr">
        <is>
          <t>Naseeb Apna Apna</t>
        </is>
      </c>
      <c r="D359" s="17" t="n">
        <v>1986</v>
      </c>
      <c r="E359" s="5" t="inlineStr">
        <is>
          <t>Seema Deo</t>
        </is>
      </c>
      <c r="F359" s="5" t="inlineStr">
        <is>
          <t>Kishan's mother</t>
        </is>
      </c>
      <c r="G359" s="5" t="inlineStr">
        <is>
          <t>Family</t>
        </is>
      </c>
      <c r="H359" s="5" t="inlineStr">
        <is>
          <t>Medium</t>
        </is>
      </c>
      <c r="I359" s="5" t="inlineStr">
        <is>
          <t>Kishan's mother, in the household the forced marriage is made in.</t>
        </is>
      </c>
      <c r="J359" s="5" t="inlineStr">
        <is>
          <t>Family background to the coercion.</t>
        </is>
      </c>
      <c r="K359" s="19" t="inlineStr">
        <is>
          <t>Credited as Kishan's mother, in the house where a son too afraid of his father marries where he is told.</t>
        </is>
      </c>
      <c r="L359" s="5" t="n"/>
      <c r="M359" s="5" t="inlineStr">
        <is>
          <t>SOURCE-055</t>
        </is>
      </c>
    </row>
    <row r="360" ht="34" customHeight="1">
      <c r="A360" s="15" t="inlineStr">
        <is>
          <t>CAST-359</t>
        </is>
      </c>
      <c r="B360" s="18" t="inlineStr">
        <is>
          <t>FILM-052</t>
        </is>
      </c>
      <c r="C360" s="5" t="inlineStr">
        <is>
          <t>Naseeb Apna Apna</t>
        </is>
      </c>
      <c r="D360" s="17" t="n">
        <v>1986</v>
      </c>
      <c r="E360" s="5" t="inlineStr">
        <is>
          <t>Rakesh Bedi</t>
        </is>
      </c>
      <c r="F360" s="5" t="inlineStr">
        <is>
          <t>Deepak</t>
        </is>
      </c>
      <c r="G360" s="5" t="inlineStr">
        <is>
          <t>Family</t>
        </is>
      </c>
      <c r="H360" s="5" t="inlineStr">
        <is>
          <t>Medium</t>
        </is>
      </c>
      <c r="I360" s="5" t="inlineStr">
        <is>
          <t>Radha's brother, in the family of the second marriage.</t>
        </is>
      </c>
      <c r="J360" s="5" t="inlineStr">
        <is>
          <t>Part of the household the bigamy is concealed from.</t>
        </is>
      </c>
      <c r="K360" s="19" t="inlineStr">
        <is>
          <t>Credited as Radha's brother, on the Bombay side of a plot built on an undisclosed first wife.</t>
        </is>
      </c>
      <c r="L360" s="5" t="n"/>
      <c r="M360" s="5" t="inlineStr">
        <is>
          <t>SOURCE-055</t>
        </is>
      </c>
    </row>
    <row r="361" ht="49" customHeight="1">
      <c r="A361" s="15" t="inlineStr">
        <is>
          <t>CAST-360</t>
        </is>
      </c>
      <c r="B361" s="18" t="inlineStr">
        <is>
          <t>FILM-052</t>
        </is>
      </c>
      <c r="C361" s="5" t="inlineStr">
        <is>
          <t>Naseeb Apna Apna</t>
        </is>
      </c>
      <c r="D361" s="17" t="n">
        <v>1986</v>
      </c>
      <c r="E361" s="5" t="inlineStr">
        <is>
          <t>Gulshan Kumar</t>
        </is>
      </c>
      <c r="F361" s="5" t="inlineStr">
        <is>
          <t>Himself</t>
        </is>
      </c>
      <c r="G361" s="5" t="inlineStr">
        <is>
          <t>Self appearance</t>
        </is>
      </c>
      <c r="H361" s="5" t="inlineStr">
        <is>
          <t>Minor</t>
        </is>
      </c>
      <c r="I361" s="5" t="inlineStr">
        <is>
          <t>Appears as the chief guest at the award ceremony where Kishan meets his second wife.</t>
        </is>
      </c>
      <c r="J361" s="5" t="inlineStr">
        <is>
          <t>Presides over the scene in which the second pairing begins.</t>
        </is>
      </c>
      <c r="K361" s="19" t="inlineStr">
        <is>
          <t>A special appearance as himself, named in the cast list as the owner of Super Cassettes Industries and T-Series, in the stage sequence at the film's turning point.</t>
        </is>
      </c>
      <c r="L361" s="5" t="n"/>
      <c r="M361" s="5" t="inlineStr">
        <is>
          <t>SOURCE-055</t>
        </is>
      </c>
    </row>
    <row r="362" ht="49" customHeight="1">
      <c r="A362" s="15" t="inlineStr">
        <is>
          <t>CAST-361</t>
        </is>
      </c>
      <c r="B362" s="18" t="inlineStr">
        <is>
          <t>FILM-053</t>
        </is>
      </c>
      <c r="C362" s="5" t="inlineStr">
        <is>
          <t>Allah Rakha</t>
        </is>
      </c>
      <c r="D362" s="17" t="n">
        <v>1986</v>
      </c>
      <c r="E362" s="5" t="inlineStr">
        <is>
          <t>Jackie Shroff</t>
        </is>
      </c>
      <c r="F362" s="5" t="inlineStr">
        <is>
          <t>Allah Rakha / Iqbal and Don Jr.</t>
        </is>
      </c>
      <c r="G362" s="5" t="inlineStr">
        <is>
          <t>Co-lead</t>
        </is>
      </c>
      <c r="H362" s="5" t="inlineStr">
        <is>
          <t>Major</t>
        </is>
      </c>
      <c r="I362" s="5" t="inlineStr">
        <is>
          <t>The film's protagonist in a dual role; Kapoor appears as himself with no part in the story.</t>
        </is>
      </c>
      <c r="J362" s="5" t="inlineStr">
        <is>
          <t>Holds the film's romances, outside Kapoor's appearance.</t>
        </is>
      </c>
      <c r="K362" s="19" t="inlineStr">
        <is>
          <t>Credited in a dual role as the son of a policeman, swapped as an infant for a dead child and raised as the convict Karim Khan's son, and as the Don's own son.</t>
        </is>
      </c>
      <c r="L362" s="5" t="n"/>
      <c r="M362" s="5" t="inlineStr">
        <is>
          <t>SOURCE-051</t>
        </is>
      </c>
    </row>
    <row r="363" ht="49" customHeight="1">
      <c r="A363" s="15" t="inlineStr">
        <is>
          <t>CAST-362</t>
        </is>
      </c>
      <c r="B363" s="18" t="inlineStr">
        <is>
          <t>FILM-053</t>
        </is>
      </c>
      <c r="C363" s="5" t="inlineStr">
        <is>
          <t>Allah Rakha</t>
        </is>
      </c>
      <c r="D363" s="17" t="n">
        <v>1986</v>
      </c>
      <c r="E363" s="5" t="inlineStr">
        <is>
          <t>Shammi Kapoor</t>
        </is>
      </c>
      <c r="F363" s="5" t="inlineStr">
        <is>
          <t>Karim Khan</t>
        </is>
      </c>
      <c r="G363" s="5" t="inlineStr">
        <is>
          <t>Family</t>
        </is>
      </c>
      <c r="H363" s="5" t="inlineStr">
        <is>
          <t>Major</t>
        </is>
      </c>
      <c r="I363" s="5" t="inlineStr">
        <is>
          <t>The man who raises the protagonist as his own son, and Kapoor's own uncle.</t>
        </is>
      </c>
      <c r="J363" s="5" t="inlineStr">
        <is>
          <t>Outside the romances; the film's moral centre.</t>
        </is>
      </c>
      <c r="K363" s="19" t="inlineStr">
        <is>
          <t>A man who takes the blame for his employer's murder, serves the sentence, and on release is handed a child everyone believes is his, avenging his wife's death by killing the Don.</t>
        </is>
      </c>
      <c r="L363" s="5" t="n"/>
      <c r="M363" s="5" t="inlineStr">
        <is>
          <t>SOURCE-051</t>
        </is>
      </c>
    </row>
    <row r="364" ht="49" customHeight="1">
      <c r="A364" s="15" t="inlineStr">
        <is>
          <t>CAST-363</t>
        </is>
      </c>
      <c r="B364" s="18" t="inlineStr">
        <is>
          <t>FILM-053</t>
        </is>
      </c>
      <c r="C364" s="5" t="inlineStr">
        <is>
          <t>Allah Rakha</t>
        </is>
      </c>
      <c r="D364" s="17" t="n">
        <v>1986</v>
      </c>
      <c r="E364" s="5" t="inlineStr">
        <is>
          <t>Waheeda Rehman</t>
        </is>
      </c>
      <c r="F364" s="5" t="inlineStr">
        <is>
          <t>Advocate Salma</t>
        </is>
      </c>
      <c r="G364" s="5" t="inlineStr">
        <is>
          <t>Family</t>
        </is>
      </c>
      <c r="H364" s="5" t="inlineStr">
        <is>
          <t>Major</t>
        </is>
      </c>
      <c r="I364" s="5" t="inlineStr">
        <is>
          <t>The protagonist's natural mother, blinded in the accident that follows his supposed death.</t>
        </is>
      </c>
      <c r="J364" s="5" t="inlineStr">
        <is>
          <t>Outside the romances; the reunion the plot works towards.</t>
        </is>
      </c>
      <c r="K364" s="19" t="inlineStr">
        <is>
          <t>An advocate and the inspector's wife, whose son needs a pacemaker only the Don can supply, and who is struck by a truck and loses her sight on being told the boy is dead.</t>
        </is>
      </c>
      <c r="L364" s="5" t="n"/>
      <c r="M364" s="5" t="inlineStr">
        <is>
          <t>SOURCE-051</t>
        </is>
      </c>
    </row>
    <row r="365" ht="64" customHeight="1">
      <c r="A365" s="15" t="inlineStr">
        <is>
          <t>CAST-364</t>
        </is>
      </c>
      <c r="B365" s="18" t="inlineStr">
        <is>
          <t>FILM-053</t>
        </is>
      </c>
      <c r="C365" s="5" t="inlineStr">
        <is>
          <t>Allah Rakha</t>
        </is>
      </c>
      <c r="D365" s="17" t="n">
        <v>1986</v>
      </c>
      <c r="E365" s="5" t="inlineStr">
        <is>
          <t>Aruna Irani</t>
        </is>
      </c>
      <c r="F365" s="5" t="inlineStr">
        <is>
          <t>Razia Khan</t>
        </is>
      </c>
      <c r="G365" s="5" t="inlineStr">
        <is>
          <t>Family</t>
        </is>
      </c>
      <c r="H365" s="5" t="inlineStr">
        <is>
          <t>Major</t>
        </is>
      </c>
      <c r="I365" s="5" t="inlineStr">
        <is>
          <t>Karim Khan's wife, who saves the kidnapped child by substituting her own dead infant and is killed for it.</t>
        </is>
      </c>
      <c r="J365" s="5" t="inlineStr">
        <is>
          <t>Outside the romances; the sacrifice the plot turns on.</t>
        </is>
      </c>
      <c r="K365" s="19" t="inlineStr">
        <is>
          <t>Karim's wife, nearly raped by the Don when she goes to collect her husband's wages, who rescues the kidnapped Iqbal by swapping him with her own dead baby and is run down by the Don's men.</t>
        </is>
      </c>
      <c r="L365" s="5" t="n"/>
      <c r="M365" s="5" t="inlineStr">
        <is>
          <t>SOURCE-051</t>
        </is>
      </c>
    </row>
    <row r="366" ht="34" customHeight="1">
      <c r="A366" s="15" t="inlineStr">
        <is>
          <t>CAST-365</t>
        </is>
      </c>
      <c r="B366" s="18" t="inlineStr">
        <is>
          <t>FILM-053</t>
        </is>
      </c>
      <c r="C366" s="5" t="inlineStr">
        <is>
          <t>Allah Rakha</t>
        </is>
      </c>
      <c r="D366" s="17" t="n">
        <v>1986</v>
      </c>
      <c r="E366" s="5" t="inlineStr">
        <is>
          <t>Dimple Kapadia</t>
        </is>
      </c>
      <c r="F366" s="5" t="inlineStr">
        <is>
          <t>Julie Khera</t>
        </is>
      </c>
      <c r="G366" s="5" t="inlineStr">
        <is>
          <t>Co-lead</t>
        </is>
      </c>
      <c r="H366" s="5" t="inlineStr">
        <is>
          <t>Major</t>
        </is>
      </c>
      <c r="I366" s="5" t="inlineStr">
        <is>
          <t>Credited as the senior heroine opposite the protagonist.</t>
        </is>
      </c>
      <c r="J366" s="5" t="inlineStr">
        <is>
          <t>One of the film's two romantic leads, outside Kapoor's guest appearance.</t>
        </is>
      </c>
      <c r="K366" s="19" t="inlineStr">
        <is>
          <t>Credited as Julie Khera, daughter of Anupam Kher's R. S. Khera, one of the film's two heroines.</t>
        </is>
      </c>
      <c r="L366" s="5" t="n"/>
      <c r="M366" s="5" t="inlineStr">
        <is>
          <t>SOURCE-051</t>
        </is>
      </c>
    </row>
    <row r="367" ht="34" customHeight="1">
      <c r="A367" s="15" t="inlineStr">
        <is>
          <t>CAST-366</t>
        </is>
      </c>
      <c r="B367" s="18" t="inlineStr">
        <is>
          <t>FILM-053</t>
        </is>
      </c>
      <c r="C367" s="5" t="inlineStr">
        <is>
          <t>Allah Rakha</t>
        </is>
      </c>
      <c r="D367" s="17" t="n">
        <v>1986</v>
      </c>
      <c r="E367" s="5" t="inlineStr">
        <is>
          <t>Meenakshi Seshadri</t>
        </is>
      </c>
      <c r="F367" s="5" t="inlineStr">
        <is>
          <t>Rani</t>
        </is>
      </c>
      <c r="G367" s="5" t="inlineStr">
        <is>
          <t>Co-lead</t>
        </is>
      </c>
      <c r="H367" s="5" t="inlineStr">
        <is>
          <t>Major</t>
        </is>
      </c>
      <c r="I367" s="5" t="inlineStr">
        <is>
          <t>Credited as the film's second heroine.</t>
        </is>
      </c>
      <c r="J367" s="5" t="inlineStr">
        <is>
          <t>The second romantic lead of a dual-role plot.</t>
        </is>
      </c>
      <c r="K367" s="19" t="inlineStr">
        <is>
          <t>Credited as Rani, the second heroine opposite Jackie Shroff's two characters.</t>
        </is>
      </c>
      <c r="L367" s="5" t="n"/>
      <c r="M367" s="5" t="inlineStr">
        <is>
          <t>SOURCE-051</t>
        </is>
      </c>
    </row>
    <row r="368" ht="49" customHeight="1">
      <c r="A368" s="15" t="inlineStr">
        <is>
          <t>CAST-367</t>
        </is>
      </c>
      <c r="B368" s="18" t="inlineStr">
        <is>
          <t>FILM-053</t>
        </is>
      </c>
      <c r="C368" s="5" t="inlineStr">
        <is>
          <t>Allah Rakha</t>
        </is>
      </c>
      <c r="D368" s="17" t="n">
        <v>1986</v>
      </c>
      <c r="E368" s="5" t="inlineStr">
        <is>
          <t>Bob Christo</t>
        </is>
      </c>
      <c r="F368" s="5" t="inlineStr">
        <is>
          <t>Don</t>
        </is>
      </c>
      <c r="G368" s="5" t="inlineStr">
        <is>
          <t>Antagonist</t>
        </is>
      </c>
      <c r="H368" s="5" t="inlineStr">
        <is>
          <t>Major</t>
        </is>
      </c>
      <c r="I368" s="5" t="inlineStr">
        <is>
          <t>The film's villain, whose murder Karim Khan takes the blame for and who dies at his hands.</t>
        </is>
      </c>
      <c r="J368" s="5" t="inlineStr">
        <is>
          <t>No part in the romances.</t>
        </is>
      </c>
      <c r="K368" s="19" t="inlineStr">
        <is>
          <t>The crime boss whose killing Karim covers up, who attempts to rape his wife, blackmails a policeman with a pacemaker, and is finally killed by the man who went to prison for him.</t>
        </is>
      </c>
      <c r="L368" s="5" t="n"/>
      <c r="M368" s="5" t="inlineStr">
        <is>
          <t>SOURCE-051</t>
        </is>
      </c>
    </row>
    <row r="369" ht="64" customHeight="1">
      <c r="A369" s="15" t="inlineStr">
        <is>
          <t>CAST-368</t>
        </is>
      </c>
      <c r="B369" s="18" t="inlineStr">
        <is>
          <t>FILM-054</t>
        </is>
      </c>
      <c r="C369" s="5" t="inlineStr">
        <is>
          <t>Ek Chadar Maili Si</t>
        </is>
      </c>
      <c r="D369" s="17" t="n">
        <v>1986</v>
      </c>
      <c r="E369" s="5" t="inlineStr">
        <is>
          <t>Hema Malini</t>
        </is>
      </c>
      <c r="F369" s="5" t="inlineStr">
        <is>
          <t>Rano Singh</t>
        </is>
      </c>
      <c r="G369" s="5" t="inlineStr">
        <is>
          <t>Co-lead</t>
        </is>
      </c>
      <c r="H369" s="5" t="inlineStr">
        <is>
          <t>Major</t>
        </is>
      </c>
      <c r="I369" s="5" t="inlineStr">
        <is>
          <t>His elder brother's wife, whom he protects from that brother and is then compelled to marry.</t>
        </is>
      </c>
      <c r="J369" s="5" t="inlineStr">
        <is>
          <t>The whole of the first pairing in Romances, in which the protector becomes the second husband and the second abuser.</t>
        </is>
      </c>
      <c r="K369" s="19" t="inlineStr">
        <is>
          <t>A feisty village woman berated for years over her dowry by her mother-in-law, beaten by a drunkard husband, widowed when he is killed, and forced by custom to marry his younger brother.</t>
        </is>
      </c>
      <c r="L369" s="5" t="inlineStr">
        <is>
          <t>Among the most praised dramatic performances of Hema Malini's career, in an adaptation of Rajinder Singh Bedi's novel.</t>
        </is>
      </c>
      <c r="M369" s="5" t="inlineStr">
        <is>
          <t>SOURCE-052</t>
        </is>
      </c>
    </row>
    <row r="370" ht="49" customHeight="1">
      <c r="A370" s="15" t="inlineStr">
        <is>
          <t>CAST-369</t>
        </is>
      </c>
      <c r="B370" s="18" t="inlineStr">
        <is>
          <t>FILM-054</t>
        </is>
      </c>
      <c r="C370" s="5" t="inlineStr">
        <is>
          <t>Ek Chadar Maili Si</t>
        </is>
      </c>
      <c r="D370" s="17" t="n">
        <v>1986</v>
      </c>
      <c r="E370" s="5" t="inlineStr">
        <is>
          <t>Poonam Dhillon</t>
        </is>
      </c>
      <c r="F370" s="5" t="inlineStr">
        <is>
          <t>Raji</t>
        </is>
      </c>
      <c r="G370" s="5" t="inlineStr">
        <is>
          <t>Supporting</t>
        </is>
      </c>
      <c r="H370" s="5" t="inlineStr">
        <is>
          <t>Major</t>
        </is>
      </c>
      <c r="I370" s="5" t="inlineStr">
        <is>
          <t>The gypsy girl who is Mangal's own love interest before custom disposes of him otherwise.</t>
        </is>
      </c>
      <c r="J370" s="5" t="inlineStr">
        <is>
          <t>The second pairing in Romances, and the attachment the forced marriage displaces.</t>
        </is>
      </c>
      <c r="K370" s="19" t="inlineStr">
        <is>
          <t>A gypsy girl, Mangal's love interest, in a plot that then marries him to his widowed sister-in-law instead.</t>
        </is>
      </c>
      <c r="L370" s="5" t="n"/>
      <c r="M370" s="5" t="inlineStr">
        <is>
          <t>SOURCE-052</t>
        </is>
      </c>
    </row>
    <row r="371" ht="49" customHeight="1">
      <c r="A371" s="15" t="inlineStr">
        <is>
          <t>CAST-370</t>
        </is>
      </c>
      <c r="B371" s="18" t="inlineStr">
        <is>
          <t>FILM-054</t>
        </is>
      </c>
      <c r="C371" s="5" t="inlineStr">
        <is>
          <t>Ek Chadar Maili Si</t>
        </is>
      </c>
      <c r="D371" s="17" t="n">
        <v>1986</v>
      </c>
      <c r="E371" s="5" t="inlineStr">
        <is>
          <t>Kulbhushan Kharbanda</t>
        </is>
      </c>
      <c r="F371" s="5" t="inlineStr">
        <is>
          <t>Trilok Singh</t>
        </is>
      </c>
      <c r="G371" s="5" t="inlineStr">
        <is>
          <t>Antagonist</t>
        </is>
      </c>
      <c r="H371" s="5" t="inlineStr">
        <is>
          <t>Major</t>
        </is>
      </c>
      <c r="I371" s="5" t="inlineStr">
        <is>
          <t>His elder brother, the drunkard whose wife he shields and whose death puts her in his hands.</t>
        </is>
      </c>
      <c r="J371" s="5" t="inlineStr">
        <is>
          <t>The violence the first pairing begins by escaping and ends by repeating.</t>
        </is>
      </c>
      <c r="K371" s="19" t="inlineStr">
        <is>
          <t>Rano's drunkard husband, who takes a stranded girl to a nearby inn and is killed in rage by her brother when she is found raped the next morning.</t>
        </is>
      </c>
      <c r="L371" s="5" t="n"/>
      <c r="M371" s="5" t="inlineStr">
        <is>
          <t>SOURCE-052</t>
        </is>
      </c>
    </row>
    <row r="372" ht="49" customHeight="1">
      <c r="A372" s="15" t="inlineStr">
        <is>
          <t>CAST-371</t>
        </is>
      </c>
      <c r="B372" s="18" t="inlineStr">
        <is>
          <t>FILM-054</t>
        </is>
      </c>
      <c r="C372" s="5" t="inlineStr">
        <is>
          <t>Ek Chadar Maili Si</t>
        </is>
      </c>
      <c r="D372" s="17" t="n">
        <v>1986</v>
      </c>
      <c r="E372" s="5" t="inlineStr">
        <is>
          <t>Dina Pathak</t>
        </is>
      </c>
      <c r="F372" s="5" t="inlineStr">
        <is>
          <t>Zinda Singh</t>
        </is>
      </c>
      <c r="G372" s="5" t="inlineStr">
        <is>
          <t>Family</t>
        </is>
      </c>
      <c r="H372" s="5" t="inlineStr">
        <is>
          <t>Major</t>
        </is>
      </c>
      <c r="I372" s="5" t="inlineStr">
        <is>
          <t>His mother, and the household authority that grinds Rano down and then remarries her.</t>
        </is>
      </c>
      <c r="J372" s="5" t="inlineStr">
        <is>
          <t>The family power behind both the abuse and the forced marriage.</t>
        </is>
      </c>
      <c r="K372" s="19" t="inlineStr">
        <is>
          <t>Mangal and Trilok's mother, who berates her daughter-in-law over an inadequate dowry years after the wedding, and in whose house the widow's second marriage is settled.</t>
        </is>
      </c>
      <c r="L372" s="5" t="n"/>
      <c r="M372" s="5" t="inlineStr">
        <is>
          <t>SOURCE-052</t>
        </is>
      </c>
    </row>
    <row r="373" ht="49" customHeight="1">
      <c r="A373" s="15" t="inlineStr">
        <is>
          <t>CAST-372</t>
        </is>
      </c>
      <c r="B373" s="18" t="inlineStr">
        <is>
          <t>FILM-054</t>
        </is>
      </c>
      <c r="C373" s="5" t="inlineStr">
        <is>
          <t>Ek Chadar Maili Si</t>
        </is>
      </c>
      <c r="D373" s="17" t="n">
        <v>1986</v>
      </c>
      <c r="E373" s="5" t="inlineStr">
        <is>
          <t>A. K. Hangal</t>
        </is>
      </c>
      <c r="F373" s="5" t="inlineStr">
        <is>
          <t>Hazur Singh</t>
        </is>
      </c>
      <c r="G373" s="5" t="inlineStr">
        <is>
          <t>Family</t>
        </is>
      </c>
      <c r="H373" s="5" t="inlineStr">
        <is>
          <t>Medium</t>
        </is>
      </c>
      <c r="I373" s="5" t="inlineStr">
        <is>
          <t>His blind father, the one kind figure in the household and powerless in it.</t>
        </is>
      </c>
      <c r="J373" s="5" t="inlineStr">
        <is>
          <t>Sympathy without protection, which the film uses to measure the woman's isolation.</t>
        </is>
      </c>
      <c r="K373" s="19" t="inlineStr">
        <is>
          <t>Mangal and Trilok's old blind father, kind to Rano and able to do almost nothing for her.</t>
        </is>
      </c>
      <c r="L373" s="5" t="n"/>
      <c r="M373" s="5" t="inlineStr">
        <is>
          <t>SOURCE-052</t>
        </is>
      </c>
    </row>
    <row r="374" ht="34" customHeight="1">
      <c r="A374" s="15" t="inlineStr">
        <is>
          <t>CAST-373</t>
        </is>
      </c>
      <c r="B374" s="18" t="inlineStr">
        <is>
          <t>FILM-054</t>
        </is>
      </c>
      <c r="C374" s="5" t="inlineStr">
        <is>
          <t>Ek Chadar Maili Si</t>
        </is>
      </c>
      <c r="D374" s="17" t="n">
        <v>1986</v>
      </c>
      <c r="E374" s="5" t="inlineStr">
        <is>
          <t>Gita Siddharth</t>
        </is>
      </c>
      <c r="F374" s="5" t="inlineStr">
        <is>
          <t>Channo</t>
        </is>
      </c>
      <c r="G374" s="5" t="inlineStr">
        <is>
          <t>Supporting</t>
        </is>
      </c>
      <c r="H374" s="5" t="inlineStr">
        <is>
          <t>Minor</t>
        </is>
      </c>
      <c r="I374" s="5" t="inlineStr">
        <is>
          <t>A credited presence in the village household.</t>
        </is>
      </c>
      <c r="J374" s="5" t="inlineStr">
        <is>
          <t>No documented part in either pairing.</t>
        </is>
      </c>
      <c r="K374" s="19" t="inlineStr">
        <is>
          <t>Credited as Channo, with Shammi as Jelmi, among the village women around the family.</t>
        </is>
      </c>
      <c r="L374" s="5" t="n"/>
      <c r="M374" s="5" t="inlineStr">
        <is>
          <t>SOURCE-052</t>
        </is>
      </c>
    </row>
    <row r="375" ht="64" customHeight="1">
      <c r="A375" s="15" t="inlineStr">
        <is>
          <t>CAST-374</t>
        </is>
      </c>
      <c r="B375" s="18" t="inlineStr">
        <is>
          <t>FILM-055</t>
        </is>
      </c>
      <c r="C375" s="5" t="inlineStr">
        <is>
          <t>Dosti Dushmani</t>
        </is>
      </c>
      <c r="D375" s="17" t="n">
        <v>1986</v>
      </c>
      <c r="E375" s="5" t="inlineStr">
        <is>
          <t>Jeetendra</t>
        </is>
      </c>
      <c r="F375" s="5" t="inlineStr">
        <is>
          <t>Dr. Sandeep Kumar</t>
        </is>
      </c>
      <c r="G375" s="5" t="inlineStr">
        <is>
          <t>Co-lead</t>
        </is>
      </c>
      <c r="H375" s="5" t="inlineStr">
        <is>
          <t>Major</t>
        </is>
      </c>
      <c r="I375" s="5" t="inlineStr">
        <is>
          <t>One of the three friends, the doctor Kapoor's lawyer defends when the third friend arrests him.</t>
        </is>
      </c>
      <c r="J375" s="5" t="inlineStr">
        <is>
          <t>Holds one of the film's romances, and the false marriage Kapoor's character manufactures for him.</t>
        </is>
      </c>
      <c r="K375" s="19" t="inlineStr">
        <is>
          <t>A renowned doctor and one of three childhood friends, framed by Daaga for a murder after beating the man who molested Ranjit's pregnant wife, and acquitted through a fabricated wife.</t>
        </is>
      </c>
      <c r="L375" s="5" t="n"/>
      <c r="M375" s="5" t="inlineStr">
        <is>
          <t>SOURCE-053</t>
        </is>
      </c>
    </row>
    <row r="376" ht="49" customHeight="1">
      <c r="A376" s="15" t="inlineStr">
        <is>
          <t>CAST-375</t>
        </is>
      </c>
      <c r="B376" s="18" t="inlineStr">
        <is>
          <t>FILM-055</t>
        </is>
      </c>
      <c r="C376" s="5" t="inlineStr">
        <is>
          <t>Dosti Dushmani</t>
        </is>
      </c>
      <c r="D376" s="17" t="n">
        <v>1986</v>
      </c>
      <c r="E376" s="5" t="inlineStr">
        <is>
          <t>Rajinikanth</t>
        </is>
      </c>
      <c r="F376" s="5" t="inlineStr">
        <is>
          <t>Inspector Ranjit</t>
        </is>
      </c>
      <c r="G376" s="5" t="inlineStr">
        <is>
          <t>Co-lead</t>
        </is>
      </c>
      <c r="H376" s="5" t="inlineStr">
        <is>
          <t>Major</t>
        </is>
      </c>
      <c r="I376" s="5" t="inlineStr">
        <is>
          <t>The policeman of the three friends, and the son of the film's villain.</t>
        </is>
      </c>
      <c r="J376" s="5" t="inlineStr">
        <is>
          <t>His wife's molestation is the act the whole plot turns on.</t>
        </is>
      </c>
      <c r="K376" s="19" t="inlineStr">
        <is>
          <t>A fearless policeman who handed his gangster father to the police as a boy and was fostered by Sandeep's parents, duty-bound to arrest the friend Kapoor's lawyer then defends.</t>
        </is>
      </c>
      <c r="L376" s="5" t="n"/>
      <c r="M376" s="5" t="inlineStr">
        <is>
          <t>SOURCE-053</t>
        </is>
      </c>
    </row>
    <row r="377" ht="49" customHeight="1">
      <c r="A377" s="15" t="inlineStr">
        <is>
          <t>CAST-376</t>
        </is>
      </c>
      <c r="B377" s="18" t="inlineStr">
        <is>
          <t>FILM-055</t>
        </is>
      </c>
      <c r="C377" s="5" t="inlineStr">
        <is>
          <t>Dosti Dushmani</t>
        </is>
      </c>
      <c r="D377" s="17" t="n">
        <v>1986</v>
      </c>
      <c r="E377" s="5" t="inlineStr">
        <is>
          <t>Kimi Katkar</t>
        </is>
      </c>
      <c r="F377" s="5" t="inlineStr">
        <is>
          <t>Shanti</t>
        </is>
      </c>
      <c r="G377" s="5" t="inlineStr">
        <is>
          <t>Co-lead</t>
        </is>
      </c>
      <c r="H377" s="5" t="inlineStr">
        <is>
          <t>Major</t>
        </is>
      </c>
      <c r="I377" s="5" t="inlineStr">
        <is>
          <t>Kapoor's romantic interest, a pickpocket among Daaga's victims.</t>
        </is>
      </c>
      <c r="J377" s="5" t="inlineStr">
        <is>
          <t>The whole of the pairing in Romances, deliberately minor beside the friendship plot.</t>
        </is>
      </c>
      <c r="K377" s="19" t="inlineStr">
        <is>
          <t>A pickpocket and one of Daaga's victims, paired with the lawyer Prakash in the lightest of the film's three threads.</t>
        </is>
      </c>
      <c r="L377" s="5" t="n"/>
      <c r="M377" s="5" t="inlineStr">
        <is>
          <t>SOURCE-053</t>
        </is>
      </c>
    </row>
    <row r="378" ht="49" customHeight="1">
      <c r="A378" s="15" t="inlineStr">
        <is>
          <t>CAST-377</t>
        </is>
      </c>
      <c r="B378" s="18" t="inlineStr">
        <is>
          <t>FILM-055</t>
        </is>
      </c>
      <c r="C378" s="5" t="inlineStr">
        <is>
          <t>Dosti Dushmani</t>
        </is>
      </c>
      <c r="D378" s="17" t="n">
        <v>1986</v>
      </c>
      <c r="E378" s="5" t="inlineStr">
        <is>
          <t>Amrish Puri</t>
        </is>
      </c>
      <c r="F378" s="5" t="inlineStr">
        <is>
          <t>Daaga</t>
        </is>
      </c>
      <c r="G378" s="5" t="inlineStr">
        <is>
          <t>Antagonist</t>
        </is>
      </c>
      <c r="H378" s="5" t="inlineStr">
        <is>
          <t>Major</t>
        </is>
      </c>
      <c r="I378" s="5" t="inlineStr">
        <is>
          <t>The gangster father of one of the three friends, and the author of the rift between them.</t>
        </is>
      </c>
      <c r="J378" s="5" t="inlineStr">
        <is>
          <t>The external power all three threads, Kapoor's included, are set against.</t>
        </is>
      </c>
      <c r="K378" s="19" t="inlineStr">
        <is>
          <t>A gangster betrayed to the police by his own son, who absconds with his wife and daughter, frames Sandeep by killing his own henchman, and keeps the three friends divided.</t>
        </is>
      </c>
      <c r="L378" s="5" t="n"/>
      <c r="M378" s="5" t="inlineStr">
        <is>
          <t>SOURCE-053</t>
        </is>
      </c>
    </row>
    <row r="379" ht="49" customHeight="1">
      <c r="A379" s="15" t="inlineStr">
        <is>
          <t>CAST-378</t>
        </is>
      </c>
      <c r="B379" s="18" t="inlineStr">
        <is>
          <t>FILM-055</t>
        </is>
      </c>
      <c r="C379" s="5" t="inlineStr">
        <is>
          <t>Dosti Dushmani</t>
        </is>
      </c>
      <c r="D379" s="17" t="n">
        <v>1986</v>
      </c>
      <c r="E379" s="5" t="inlineStr">
        <is>
          <t>Poonam Dhillon</t>
        </is>
      </c>
      <c r="F379" s="5" t="inlineStr">
        <is>
          <t>Lata</t>
        </is>
      </c>
      <c r="G379" s="5" t="inlineStr">
        <is>
          <t>Supporting</t>
        </is>
      </c>
      <c r="H379" s="5" t="inlineStr">
        <is>
          <t>Major</t>
        </is>
      </c>
      <c r="I379" s="5" t="inlineStr">
        <is>
          <t>Ranjit's pregnant wife, whose molestation starts the chain of events.</t>
        </is>
      </c>
      <c r="J379" s="5" t="inlineStr">
        <is>
          <t>Belongs to the policeman's household rather than Kapoor's romance.</t>
        </is>
      </c>
      <c r="K379" s="19" t="inlineStr">
        <is>
          <t>Ranjit's pregnant wife, molested by Daaga's henchman and persuaded by Sandeep to keep silent, the silence Daaga then exploits.</t>
        </is>
      </c>
      <c r="L379" s="5" t="n"/>
      <c r="M379" s="5" t="inlineStr">
        <is>
          <t>SOURCE-053</t>
        </is>
      </c>
    </row>
    <row r="380" ht="49" customHeight="1">
      <c r="A380" s="15" t="inlineStr">
        <is>
          <t>CAST-379</t>
        </is>
      </c>
      <c r="B380" s="18" t="inlineStr">
        <is>
          <t>FILM-055</t>
        </is>
      </c>
      <c r="C380" s="5" t="inlineStr">
        <is>
          <t>Dosti Dushmani</t>
        </is>
      </c>
      <c r="D380" s="17" t="n">
        <v>1986</v>
      </c>
      <c r="E380" s="5" t="inlineStr">
        <is>
          <t>Bhanupriya</t>
        </is>
      </c>
      <c r="F380" s="5" t="inlineStr">
        <is>
          <t>Rekha</t>
        </is>
      </c>
      <c r="G380" s="5" t="inlineStr">
        <is>
          <t>Supporting</t>
        </is>
      </c>
      <c r="H380" s="5" t="inlineStr">
        <is>
          <t>Medium</t>
        </is>
      </c>
      <c r="I380" s="5" t="inlineStr">
        <is>
          <t>Daaga's daughter, whom Kapoor's lawyer passes off as the accused man's wife to win the case.</t>
        </is>
      </c>
      <c r="J380" s="5" t="inlineStr">
        <is>
          <t>The false marriage at the centre of the legal plot, rather than a romance.</t>
        </is>
      </c>
      <c r="K380" s="19" t="inlineStr">
        <is>
          <t>Daaga's daughter, absconded with as a child, and the woman Prakash forges as Sandeep's wife in order to acquit him.</t>
        </is>
      </c>
      <c r="L380" s="5" t="n"/>
      <c r="M380" s="5" t="inlineStr">
        <is>
          <t>SOURCE-053</t>
        </is>
      </c>
    </row>
    <row r="381" ht="34" customHeight="1">
      <c r="A381" s="15" t="inlineStr">
        <is>
          <t>CAST-380</t>
        </is>
      </c>
      <c r="B381" s="18" t="inlineStr">
        <is>
          <t>FILM-055</t>
        </is>
      </c>
      <c r="C381" s="5" t="inlineStr">
        <is>
          <t>Dosti Dushmani</t>
        </is>
      </c>
      <c r="D381" s="17" t="n">
        <v>1986</v>
      </c>
      <c r="E381" s="5" t="inlineStr">
        <is>
          <t>Pran</t>
        </is>
      </c>
      <c r="F381" s="5" t="inlineStr">
        <is>
          <t>Devendra Pratap Singh</t>
        </is>
      </c>
      <c r="G381" s="5" t="inlineStr">
        <is>
          <t>Family</t>
        </is>
      </c>
      <c r="H381" s="5" t="inlineStr">
        <is>
          <t>Medium</t>
        </is>
      </c>
      <c r="I381" s="5" t="inlineStr">
        <is>
          <t>A credited senior figure in the families around the three friends.</t>
        </is>
      </c>
      <c r="J381" s="5" t="inlineStr">
        <is>
          <t>No documented part in Kapoor's pairing.</t>
        </is>
      </c>
      <c r="K381" s="19" t="inlineStr">
        <is>
          <t>Credited as Devendra Pratap Singh, with Shavukar Janaki as Sumitra Singh, in the parental generation of the film.</t>
        </is>
      </c>
      <c r="L381" s="5" t="n"/>
      <c r="M381" s="5" t="inlineStr">
        <is>
          <t>SOURCE-053</t>
        </is>
      </c>
    </row>
    <row r="382" ht="34" customHeight="1">
      <c r="A382" s="15" t="inlineStr">
        <is>
          <t>CAST-381</t>
        </is>
      </c>
      <c r="B382" s="18" t="inlineStr">
        <is>
          <t>FILM-055</t>
        </is>
      </c>
      <c r="C382" s="5" t="inlineStr">
        <is>
          <t>Dosti Dushmani</t>
        </is>
      </c>
      <c r="D382" s="17" t="n">
        <v>1986</v>
      </c>
      <c r="E382" s="5" t="inlineStr">
        <is>
          <t>Kader Khan</t>
        </is>
      </c>
      <c r="F382" s="5" t="inlineStr">
        <is>
          <t>Nishaan</t>
        </is>
      </c>
      <c r="G382" s="5" t="inlineStr">
        <is>
          <t>Antagonist</t>
        </is>
      </c>
      <c r="H382" s="5" t="inlineStr">
        <is>
          <t>Medium</t>
        </is>
      </c>
      <c r="I382" s="5" t="inlineStr">
        <is>
          <t>Credited among the film's opposition, beneath Daaga.</t>
        </is>
      </c>
      <c r="J382" s="5" t="inlineStr">
        <is>
          <t>No documented part in Kapoor's pairing.</t>
        </is>
      </c>
      <c r="K382" s="19" t="inlineStr">
        <is>
          <t>Credited as Nishaan, with Shakti Kapoor's Kamal, in the ranks around the film's gangster.</t>
        </is>
      </c>
      <c r="L382" s="5" t="n"/>
      <c r="M382" s="5" t="inlineStr">
        <is>
          <t>SOURCE-053</t>
        </is>
      </c>
    </row>
    <row r="383" ht="64" customHeight="1">
      <c r="A383" s="15" t="inlineStr">
        <is>
          <t>CAST-382</t>
        </is>
      </c>
      <c r="B383" s="18" t="inlineStr">
        <is>
          <t>FILM-056</t>
        </is>
      </c>
      <c r="C383" s="5" t="inlineStr">
        <is>
          <t>Nagina</t>
        </is>
      </c>
      <c r="D383" s="17" t="n">
        <v>1986</v>
      </c>
      <c r="E383" s="5" t="inlineStr">
        <is>
          <t>Sridevi</t>
        </is>
      </c>
      <c r="F383" s="5" t="inlineStr">
        <is>
          <t>Rajni</t>
        </is>
      </c>
      <c r="G383" s="5" t="inlineStr">
        <is>
          <t>Co-lead</t>
        </is>
      </c>
      <c r="H383" s="5" t="inlineStr">
        <is>
          <t>Major</t>
        </is>
      </c>
      <c r="I383" s="5" t="inlineStr">
        <is>
          <t>The woman Rajiv marries, and the serpent who came to avenge a death he unknowingly caused as a child.</t>
        </is>
      </c>
      <c r="J383" s="5" t="inlineStr">
        <is>
          <t>The whole of the pairing in Romances, and the film's governing idea: the wife is both the protection and the danger.</t>
        </is>
      </c>
      <c r="K383" s="19" t="inlineStr">
        <is>
          <t>An ichchhadhari naagin in human form, an orphan without connections, who marries Rajiv to avenge her mate's death, defends him from the Thakur's goons and the tantric, and chooses the marriage over the vengeance.</t>
        </is>
      </c>
      <c r="L383" s="5" t="inlineStr">
        <is>
          <t>One of Sridevi's defining roles, and the source of the much-imitated 'Main Teri Dushman' snake dance.</t>
        </is>
      </c>
      <c r="M383" s="5" t="inlineStr">
        <is>
          <t>SOURCE-054</t>
        </is>
      </c>
    </row>
    <row r="384" ht="49" customHeight="1">
      <c r="A384" s="15" t="inlineStr">
        <is>
          <t>CAST-383</t>
        </is>
      </c>
      <c r="B384" s="18" t="inlineStr">
        <is>
          <t>FILM-056</t>
        </is>
      </c>
      <c r="C384" s="5" t="inlineStr">
        <is>
          <t>Nagina</t>
        </is>
      </c>
      <c r="D384" s="17" t="n">
        <v>1986</v>
      </c>
      <c r="E384" s="5" t="inlineStr">
        <is>
          <t>Amrish Puri</t>
        </is>
      </c>
      <c r="F384" s="5" t="inlineStr">
        <is>
          <t>Bhairon Nath</t>
        </is>
      </c>
      <c r="G384" s="5" t="inlineStr">
        <is>
          <t>Antagonist</t>
        </is>
      </c>
      <c r="H384" s="5" t="inlineStr">
        <is>
          <t>Major</t>
        </is>
      </c>
      <c r="I384" s="5" t="inlineStr">
        <is>
          <t>The tantric who identifies what Rajiv's wife is and sets out to destroy her.</t>
        </is>
      </c>
      <c r="J384" s="5" t="inlineStr">
        <is>
          <t>The principal external threat to the marriage, and the film's final antagonist.</t>
        </is>
      </c>
      <c r="K384" s="19" t="inlineStr">
        <is>
          <t>A sadhu able to control snakes, who senses a strange presence in the house, tells Rajiv's mother that his wife is an ichchhadhari naagin, and is destroyed by her at the climax.</t>
        </is>
      </c>
      <c r="L384" s="5" t="n"/>
      <c r="M384" s="5" t="inlineStr">
        <is>
          <t>SOURCE-054</t>
        </is>
      </c>
    </row>
    <row r="385" ht="49" customHeight="1">
      <c r="A385" s="15" t="inlineStr">
        <is>
          <t>CAST-384</t>
        </is>
      </c>
      <c r="B385" s="18" t="inlineStr">
        <is>
          <t>FILM-056</t>
        </is>
      </c>
      <c r="C385" s="5" t="inlineStr">
        <is>
          <t>Nagina</t>
        </is>
      </c>
      <c r="D385" s="17" t="n">
        <v>1986</v>
      </c>
      <c r="E385" s="5" t="inlineStr">
        <is>
          <t>Prem Chopra</t>
        </is>
      </c>
      <c r="F385" s="5" t="inlineStr">
        <is>
          <t>Thakur Ajay Singh</t>
        </is>
      </c>
      <c r="G385" s="5" t="inlineStr">
        <is>
          <t>Antagonist</t>
        </is>
      </c>
      <c r="H385" s="5" t="inlineStr">
        <is>
          <t>Major</t>
        </is>
      </c>
      <c r="I385" s="5" t="inlineStr">
        <is>
          <t>The man who has managed Rajiv's family estate for years expecting his daughter to marry him.</t>
        </is>
      </c>
      <c r="J385" s="5" t="inlineStr">
        <is>
          <t>The first external opposition, who sends goons to kill the bride.</t>
        </is>
      </c>
      <c r="K385" s="19" t="inlineStr">
        <is>
          <t>The estate manager whose plan for his daughter Vijaya collapses when Rajiv marries elsewhere, and who sends men to kill Rajni, only for two snakes to save her.</t>
        </is>
      </c>
      <c r="L385" s="5" t="n"/>
      <c r="M385" s="5" t="inlineStr">
        <is>
          <t>SOURCE-054</t>
        </is>
      </c>
    </row>
    <row r="386" ht="49" customHeight="1">
      <c r="A386" s="15" t="inlineStr">
        <is>
          <t>CAST-385</t>
        </is>
      </c>
      <c r="B386" s="18" t="inlineStr">
        <is>
          <t>FILM-056</t>
        </is>
      </c>
      <c r="C386" s="5" t="inlineStr">
        <is>
          <t>Nagina</t>
        </is>
      </c>
      <c r="D386" s="17" t="n">
        <v>1986</v>
      </c>
      <c r="E386" s="5" t="inlineStr">
        <is>
          <t>Sushma Seth</t>
        </is>
      </c>
      <c r="F386" s="5" t="inlineStr">
        <is>
          <t>Rajiv's mother</t>
        </is>
      </c>
      <c r="G386" s="5" t="inlineStr">
        <is>
          <t>Family</t>
        </is>
      </c>
      <c r="H386" s="5" t="inlineStr">
        <is>
          <t>Major</t>
        </is>
      </c>
      <c r="I386" s="5" t="inlineStr">
        <is>
          <t>The mother who wants the Thakur's daughter for him and then accepts his choice.</t>
        </is>
      </c>
      <c r="J386" s="5" t="inlineStr">
        <is>
          <t>The family opposition that is talked round, and the person the tantric exposes the bride to.</t>
        </is>
      </c>
      <c r="K386" s="19" t="inlineStr">
        <is>
          <t>Rajiv's mother, who prefers Vijaya Singh, relents after a favourable meeting with Rajni, and is the first to be told and shown what her daughter-in-law is.</t>
        </is>
      </c>
      <c r="L386" s="5" t="n"/>
      <c r="M386" s="5" t="inlineStr">
        <is>
          <t>SOURCE-054</t>
        </is>
      </c>
    </row>
    <row r="387" ht="49" customHeight="1">
      <c r="A387" s="15" t="inlineStr">
        <is>
          <t>CAST-386</t>
        </is>
      </c>
      <c r="B387" s="18" t="inlineStr">
        <is>
          <t>FILM-056</t>
        </is>
      </c>
      <c r="C387" s="5" t="inlineStr">
        <is>
          <t>Nagina</t>
        </is>
      </c>
      <c r="D387" s="17" t="n">
        <v>1986</v>
      </c>
      <c r="E387" s="5" t="inlineStr">
        <is>
          <t>Komal Mahuvakar</t>
        </is>
      </c>
      <c r="F387" s="5" t="inlineStr">
        <is>
          <t>Vijaya Singh</t>
        </is>
      </c>
      <c r="G387" s="5" t="inlineStr">
        <is>
          <t>Romantic rival</t>
        </is>
      </c>
      <c r="H387" s="5" t="inlineStr">
        <is>
          <t>Medium</t>
        </is>
      </c>
      <c r="I387" s="5" t="inlineStr">
        <is>
          <t>The Thakur's daughter intended for Rajiv by both families.</t>
        </is>
      </c>
      <c r="J387" s="5" t="inlineStr">
        <is>
          <t>The arranged alternative the marriage displaces, and the cause of her father's enmity.</t>
        </is>
      </c>
      <c r="K387" s="19" t="inlineStr">
        <is>
          <t>Thakur Ajay Singh's only daughter, expected for years to marry Rajiv, and set aside by his choice of an orphan without connections.</t>
        </is>
      </c>
      <c r="L387" s="5" t="n"/>
      <c r="M387" s="5" t="inlineStr">
        <is>
          <t>SOURCE-054</t>
        </is>
      </c>
    </row>
    <row r="388" ht="34" customHeight="1">
      <c r="A388" s="15" t="inlineStr">
        <is>
          <t>CAST-387</t>
        </is>
      </c>
      <c r="B388" s="18" t="inlineStr">
        <is>
          <t>FILM-056</t>
        </is>
      </c>
      <c r="C388" s="5" t="inlineStr">
        <is>
          <t>Nagina</t>
        </is>
      </c>
      <c r="D388" s="17" t="n">
        <v>1986</v>
      </c>
      <c r="E388" s="5" t="inlineStr">
        <is>
          <t>Jagdeep</t>
        </is>
      </c>
      <c r="F388" s="5" t="inlineStr">
        <is>
          <t>Munshiji</t>
        </is>
      </c>
      <c r="G388" s="5" t="inlineStr">
        <is>
          <t>Comic support</t>
        </is>
      </c>
      <c r="H388" s="5" t="inlineStr">
        <is>
          <t>Minor</t>
        </is>
      </c>
      <c r="I388" s="5" t="inlineStr">
        <is>
          <t>The comic retainer of the household.</t>
        </is>
      </c>
      <c r="J388" s="5" t="inlineStr">
        <is>
          <t>Comic attendance on the marriage.</t>
        </is>
      </c>
      <c r="K388" s="19" t="inlineStr">
        <is>
          <t>Credited as Munshiji, with Guddi Maruti as his wife Bhanumati, in the film's comic register.</t>
        </is>
      </c>
      <c r="L388" s="5" t="n"/>
      <c r="M388" s="5" t="inlineStr">
        <is>
          <t>SOURCE-054</t>
        </is>
      </c>
    </row>
    <row r="389" ht="34" customHeight="1">
      <c r="A389" s="15" t="inlineStr">
        <is>
          <t>CAST-388</t>
        </is>
      </c>
      <c r="B389" s="18" t="inlineStr">
        <is>
          <t>FILM-056</t>
        </is>
      </c>
      <c r="C389" s="5" t="inlineStr">
        <is>
          <t>Nagina</t>
        </is>
      </c>
      <c r="D389" s="17" t="n">
        <v>1986</v>
      </c>
      <c r="E389" s="5" t="inlineStr">
        <is>
          <t>Guddi Maruti</t>
        </is>
      </c>
      <c r="F389" s="5" t="inlineStr">
        <is>
          <t>Bhanumati</t>
        </is>
      </c>
      <c r="G389" s="5" t="inlineStr">
        <is>
          <t>Comic support</t>
        </is>
      </c>
      <c r="H389" s="5" t="inlineStr">
        <is>
          <t>Minor</t>
        </is>
      </c>
      <c r="I389" s="5" t="inlineStr">
        <is>
          <t>Part of the comic household around the couple.</t>
        </is>
      </c>
      <c r="J389" s="5" t="inlineStr">
        <is>
          <t>Comic attendance on the marriage.</t>
        </is>
      </c>
      <c r="K389" s="19" t="inlineStr">
        <is>
          <t>Credited as Munshiji's wife Bhanumati, with a mother-in-law of her own in the cast list.</t>
        </is>
      </c>
      <c r="L389" s="5" t="n"/>
      <c r="M389" s="5" t="inlineStr">
        <is>
          <t>SOURCE-054</t>
        </is>
      </c>
    </row>
    <row r="390" ht="49" customHeight="1">
      <c r="A390" s="15" t="inlineStr">
        <is>
          <t>CAST-389</t>
        </is>
      </c>
      <c r="B390" s="18" t="inlineStr">
        <is>
          <t>FILM-057</t>
        </is>
      </c>
      <c r="C390" s="5" t="inlineStr">
        <is>
          <t>Khazana</t>
        </is>
      </c>
      <c r="D390" s="17" t="n">
        <v>1987</v>
      </c>
      <c r="E390" s="5" t="inlineStr">
        <is>
          <t>Randhir Kapoor</t>
        </is>
      </c>
      <c r="F390" s="5" t="inlineStr">
        <is>
          <t>Raj Kumar</t>
        </is>
      </c>
      <c r="G390" s="5" t="inlineStr">
        <is>
          <t>Co-lead</t>
        </is>
      </c>
      <c r="H390" s="5" t="inlineStr">
        <is>
          <t>Major</t>
        </is>
      </c>
      <c r="I390" s="5" t="inlineStr">
        <is>
          <t>The film's protagonist, and Kapoor's elder brother; Kapoor himself appears only as a guest singer.</t>
        </is>
      </c>
      <c r="J390" s="5" t="inlineStr">
        <is>
          <t>Holds the film's romance with Anita, outside Kapoor's appearance.</t>
        </is>
      </c>
      <c r="K390" s="19" t="inlineStr">
        <is>
          <t>The son of the murdered jeweller Shanti Das, who follows his father's dying clue about a girl named Anita into the hunt for a Mughal treasure.</t>
        </is>
      </c>
      <c r="L390" s="5" t="n"/>
      <c r="M390" s="5" t="inlineStr">
        <is>
          <t>SOURCE-059</t>
        </is>
      </c>
    </row>
    <row r="391" ht="49" customHeight="1">
      <c r="A391" s="15" t="inlineStr">
        <is>
          <t>CAST-390</t>
        </is>
      </c>
      <c r="B391" s="18" t="inlineStr">
        <is>
          <t>FILM-057</t>
        </is>
      </c>
      <c r="C391" s="5" t="inlineStr">
        <is>
          <t>Khazana</t>
        </is>
      </c>
      <c r="D391" s="17" t="n">
        <v>1987</v>
      </c>
      <c r="E391" s="5" t="inlineStr">
        <is>
          <t>Rekha</t>
        </is>
      </c>
      <c r="F391" s="5" t="inlineStr">
        <is>
          <t>Anita Mathur</t>
        </is>
      </c>
      <c r="G391" s="5" t="inlineStr">
        <is>
          <t>Co-lead</t>
        </is>
      </c>
      <c r="H391" s="5" t="inlineStr">
        <is>
          <t>Major</t>
        </is>
      </c>
      <c r="I391" s="5" t="inlineStr">
        <is>
          <t>The film's heroine, outside Kapoor's guest spot.</t>
        </is>
      </c>
      <c r="J391" s="5" t="inlineStr">
        <is>
          <t>The romantic lead of the treasure plot.</t>
        </is>
      </c>
      <c r="K391" s="19" t="inlineStr">
        <is>
          <t>The daughter of Prof. Mathur, forced into the villain's gang after her father's abduction, and the name the dying jeweller leaves as a clue.</t>
        </is>
      </c>
      <c r="L391" s="5" t="n"/>
      <c r="M391" s="5" t="inlineStr">
        <is>
          <t>SOURCE-059</t>
        </is>
      </c>
    </row>
    <row r="392" ht="49" customHeight="1">
      <c r="A392" s="15" t="inlineStr">
        <is>
          <t>CAST-391</t>
        </is>
      </c>
      <c r="B392" s="18" t="inlineStr">
        <is>
          <t>FILM-057</t>
        </is>
      </c>
      <c r="C392" s="5" t="inlineStr">
        <is>
          <t>Khazana</t>
        </is>
      </c>
      <c r="D392" s="17" t="n">
        <v>1987</v>
      </c>
      <c r="E392" s="5" t="inlineStr">
        <is>
          <t>Madan Puri</t>
        </is>
      </c>
      <c r="F392" s="5" t="inlineStr">
        <is>
          <t>Jai Singh</t>
        </is>
      </c>
      <c r="G392" s="5" t="inlineStr">
        <is>
          <t>Antagonist</t>
        </is>
      </c>
      <c r="H392" s="5" t="inlineStr">
        <is>
          <t>Major</t>
        </is>
      </c>
      <c r="I392" s="5" t="inlineStr">
        <is>
          <t>The film's villain, pursuing the treasure against the protagonist.</t>
        </is>
      </c>
      <c r="J392" s="5" t="inlineStr">
        <is>
          <t>Holds the heroine's family, and so the romance's stakes.</t>
        </is>
      </c>
      <c r="K392" s="19" t="inlineStr">
        <is>
          <t>The man set on usurping the Mughal treasure, who abducts one archaeologist, kills the jeweller and the other archaeologist, and steals the map slab.</t>
        </is>
      </c>
      <c r="L392" s="5" t="n"/>
      <c r="M392" s="5" t="inlineStr">
        <is>
          <t>SOURCE-059</t>
        </is>
      </c>
    </row>
    <row r="393" ht="34" customHeight="1">
      <c r="A393" s="15" t="inlineStr">
        <is>
          <t>CAST-392</t>
        </is>
      </c>
      <c r="B393" s="18" t="inlineStr">
        <is>
          <t>FILM-057</t>
        </is>
      </c>
      <c r="C393" s="5" t="inlineStr">
        <is>
          <t>Khazana</t>
        </is>
      </c>
      <c r="D393" s="17" t="n">
        <v>1987</v>
      </c>
      <c r="E393" s="5" t="inlineStr">
        <is>
          <t>Jeetendra</t>
        </is>
      </c>
      <c r="F393" s="5" t="inlineStr">
        <is>
          <t>Ravi Khanna</t>
        </is>
      </c>
      <c r="G393" s="5" t="inlineStr">
        <is>
          <t>Cameo</t>
        </is>
      </c>
      <c r="H393" s="5" t="inlineStr">
        <is>
          <t>Minor</t>
        </is>
      </c>
      <c r="I393" s="5" t="inlineStr">
        <is>
          <t>A matching guest appearance beside Kapoor's, as a singer and dancer.</t>
        </is>
      </c>
      <c r="J393" s="5" t="inlineStr">
        <is>
          <t>No part in the plot.</t>
        </is>
      </c>
      <c r="K393" s="19" t="inlineStr">
        <is>
          <t>Credited as the singer and dancer Ravi Khanna, the twin of Kapoor's guest spot as Ramnath Shastri.</t>
        </is>
      </c>
      <c r="L393" s="5" t="n"/>
      <c r="M393" s="5" t="inlineStr">
        <is>
          <t>SOURCE-059</t>
        </is>
      </c>
    </row>
    <row r="394" ht="34" customHeight="1">
      <c r="A394" s="15" t="inlineStr">
        <is>
          <t>CAST-393</t>
        </is>
      </c>
      <c r="B394" s="18" t="inlineStr">
        <is>
          <t>FILM-057</t>
        </is>
      </c>
      <c r="C394" s="5" t="inlineStr">
        <is>
          <t>Khazana</t>
        </is>
      </c>
      <c r="D394" s="17" t="n">
        <v>1987</v>
      </c>
      <c r="E394" s="5" t="inlineStr">
        <is>
          <t>Bindu</t>
        </is>
      </c>
      <c r="F394" s="5" t="inlineStr">
        <is>
          <t>Sonam</t>
        </is>
      </c>
      <c r="G394" s="5" t="inlineStr">
        <is>
          <t>Supporting</t>
        </is>
      </c>
      <c r="H394" s="5" t="inlineStr">
        <is>
          <t>Medium</t>
        </is>
      </c>
      <c r="I394" s="5" t="inlineStr">
        <is>
          <t>A credited supporting presence in the treasure hunt.</t>
        </is>
      </c>
      <c r="J394" s="5" t="inlineStr">
        <is>
          <t>No documented part in the romance.</t>
        </is>
      </c>
      <c r="K394" s="19" t="inlineStr">
        <is>
          <t>Credited as Sonam, among the film's supporting parts.</t>
        </is>
      </c>
      <c r="L394" s="5" t="n"/>
      <c r="M394" s="5" t="inlineStr">
        <is>
          <t>SOURCE-059</t>
        </is>
      </c>
    </row>
    <row r="395" ht="34" customHeight="1">
      <c r="A395" s="15" t="inlineStr">
        <is>
          <t>CAST-394</t>
        </is>
      </c>
      <c r="B395" s="18" t="inlineStr">
        <is>
          <t>FILM-057</t>
        </is>
      </c>
      <c r="C395" s="5" t="inlineStr">
        <is>
          <t>Khazana</t>
        </is>
      </c>
      <c r="D395" s="17" t="n">
        <v>1987</v>
      </c>
      <c r="E395" s="5" t="inlineStr">
        <is>
          <t>Ranjeet</t>
        </is>
      </c>
      <c r="F395" s="5" t="inlineStr">
        <is>
          <t>Ramesh Sinha</t>
        </is>
      </c>
      <c r="G395" s="5" t="inlineStr">
        <is>
          <t>Antagonist</t>
        </is>
      </c>
      <c r="H395" s="5" t="inlineStr">
        <is>
          <t>Medium</t>
        </is>
      </c>
      <c r="I395" s="5" t="inlineStr">
        <is>
          <t>Credited among the film's opposition.</t>
        </is>
      </c>
      <c r="J395" s="5" t="inlineStr">
        <is>
          <t>No documented part in the romance.</t>
        </is>
      </c>
      <c r="K395" s="19" t="inlineStr">
        <is>
          <t>Credited as Ramesh Sinha, with Dev Kumar's Raka and Mohan Sherry's Usman in the villain's party.</t>
        </is>
      </c>
      <c r="L395" s="5" t="n"/>
      <c r="M395" s="5" t="inlineStr">
        <is>
          <t>SOURCE-059</t>
        </is>
      </c>
    </row>
    <row r="396" ht="64" customHeight="1">
      <c r="A396" s="15" t="inlineStr">
        <is>
          <t>CAST-395</t>
        </is>
      </c>
      <c r="B396" s="18" t="inlineStr">
        <is>
          <t>FILM-058</t>
        </is>
      </c>
      <c r="C396" s="5" t="inlineStr">
        <is>
          <t>Pyar Ke Kabil</t>
        </is>
      </c>
      <c r="D396" s="17" t="n">
        <v>1987</v>
      </c>
      <c r="E396" s="5" t="inlineStr">
        <is>
          <t>Padmini Kolhapure</t>
        </is>
      </c>
      <c r="F396" s="5" t="inlineStr">
        <is>
          <t>Sangeeta Kapoor</t>
        </is>
      </c>
      <c r="G396" s="5" t="inlineStr">
        <is>
          <t>Co-lead</t>
        </is>
      </c>
      <c r="H396" s="5" t="inlineStr">
        <is>
          <t>Major</t>
        </is>
      </c>
      <c r="I396" s="5" t="inlineStr">
        <is>
          <t>Credited opposite Kapoor's Amar Kapoor and sharing the character surname, which implies a marriage; the article has no plot section.</t>
        </is>
      </c>
      <c r="J396" s="5" t="inlineStr">
        <is>
          <t>The filmography records a major romance for this film, but nothing about it is documented, which is why there is no Romances row.</t>
        </is>
      </c>
      <c r="K396" s="19" t="inlineStr">
        <is>
          <t>Credited as Sangeeta Kapoor to Kapoor's Amar Kapoor, in the fifth of their six films together; the shared surname is all the article gives about the relationship.</t>
        </is>
      </c>
      <c r="L396" s="5" t="n"/>
      <c r="M396" s="5" t="inlineStr">
        <is>
          <t>SOURCE-056</t>
        </is>
      </c>
    </row>
    <row r="397" ht="49" customHeight="1">
      <c r="A397" s="15" t="inlineStr">
        <is>
          <t>CAST-396</t>
        </is>
      </c>
      <c r="B397" s="18" t="inlineStr">
        <is>
          <t>FILM-058</t>
        </is>
      </c>
      <c r="C397" s="5" t="inlineStr">
        <is>
          <t>Pyar Ke Kabil</t>
        </is>
      </c>
      <c r="D397" s="17" t="n">
        <v>1987</v>
      </c>
      <c r="E397" s="5" t="inlineStr">
        <is>
          <t>Gulshan Grover</t>
        </is>
      </c>
      <c r="F397" s="5" t="inlineStr">
        <is>
          <t>Kallu Kalan Kaalia, called Kalidas</t>
        </is>
      </c>
      <c r="G397" s="5" t="inlineStr">
        <is>
          <t>Antagonist</t>
        </is>
      </c>
      <c r="H397" s="5" t="inlineStr">
        <is>
          <t>Major</t>
        </is>
      </c>
      <c r="I397" s="5" t="inlineStr">
        <is>
          <t>Credited as the film's antagonist; undocumented beyond the cast list.</t>
        </is>
      </c>
      <c r="J397" s="5" t="inlineStr">
        <is>
          <t>Undocumented.</t>
        </is>
      </c>
      <c r="K397" s="19" t="inlineStr">
        <is>
          <t>Credited under a string of names as the film's villain, in an article that carries an infobox, a cast list and a soundtrack but no plot.</t>
        </is>
      </c>
      <c r="L397" s="5" t="n"/>
      <c r="M397" s="5" t="inlineStr">
        <is>
          <t>SOURCE-056</t>
        </is>
      </c>
    </row>
    <row r="398" ht="49" customHeight="1">
      <c r="A398" s="15" t="inlineStr">
        <is>
          <t>CAST-397</t>
        </is>
      </c>
      <c r="B398" s="18" t="inlineStr">
        <is>
          <t>FILM-058</t>
        </is>
      </c>
      <c r="C398" s="5" t="inlineStr">
        <is>
          <t>Pyar Ke Kabil</t>
        </is>
      </c>
      <c r="D398" s="17" t="n">
        <v>1987</v>
      </c>
      <c r="E398" s="5" t="inlineStr">
        <is>
          <t>Bindu</t>
        </is>
      </c>
      <c r="F398" s="5" t="inlineStr">
        <is>
          <t>Rukmani</t>
        </is>
      </c>
      <c r="G398" s="5" t="inlineStr">
        <is>
          <t>Supporting</t>
        </is>
      </c>
      <c r="H398" s="5" t="inlineStr">
        <is>
          <t>Major</t>
        </is>
      </c>
      <c r="I398" s="5" t="inlineStr">
        <is>
          <t>Credited third, with a husband of her own in the cast list; undocumented.</t>
        </is>
      </c>
      <c r="J398" s="5" t="inlineStr">
        <is>
          <t>Undocumented.</t>
        </is>
      </c>
      <c r="K398" s="19" t="inlineStr">
        <is>
          <t>Credited as Rukmani, with Utpal Dutt as her husband, high in a cast list the article gives without a synopsis.</t>
        </is>
      </c>
      <c r="L398" s="5" t="n"/>
      <c r="M398" s="5" t="inlineStr">
        <is>
          <t>SOURCE-056</t>
        </is>
      </c>
    </row>
    <row r="399" ht="34" customHeight="1">
      <c r="A399" s="15" t="inlineStr">
        <is>
          <t>CAST-398</t>
        </is>
      </c>
      <c r="B399" s="18" t="inlineStr">
        <is>
          <t>FILM-058</t>
        </is>
      </c>
      <c r="C399" s="5" t="inlineStr">
        <is>
          <t>Pyar Ke Kabil</t>
        </is>
      </c>
      <c r="D399" s="17" t="n">
        <v>1987</v>
      </c>
      <c r="E399" s="5" t="inlineStr">
        <is>
          <t>Utpal Dutt</t>
        </is>
      </c>
      <c r="F399" s="5" t="inlineStr">
        <is>
          <t>Rukmini's husband</t>
        </is>
      </c>
      <c r="G399" s="5" t="inlineStr">
        <is>
          <t>Supporting</t>
        </is>
      </c>
      <c r="H399" s="5" t="inlineStr">
        <is>
          <t>Medium</t>
        </is>
      </c>
      <c r="I399" s="5" t="inlineStr">
        <is>
          <t>Credited only by relation to another character; undocumented.</t>
        </is>
      </c>
      <c r="J399" s="5" t="inlineStr">
        <is>
          <t>Undocumented.</t>
        </is>
      </c>
      <c r="K399" s="19" t="inlineStr">
        <is>
          <t>Credited simply as Rukmini's husband, a character the cast list does not name independently.</t>
        </is>
      </c>
      <c r="L399" s="5" t="n"/>
      <c r="M399" s="5" t="inlineStr">
        <is>
          <t>SOURCE-056</t>
        </is>
      </c>
    </row>
    <row r="400" ht="34" customHeight="1">
      <c r="A400" s="15" t="inlineStr">
        <is>
          <t>CAST-399</t>
        </is>
      </c>
      <c r="B400" s="18" t="inlineStr">
        <is>
          <t>FILM-058</t>
        </is>
      </c>
      <c r="C400" s="5" t="inlineStr">
        <is>
          <t>Pyar Ke Kabil</t>
        </is>
      </c>
      <c r="D400" s="17" t="n">
        <v>1987</v>
      </c>
      <c r="E400" s="5" t="inlineStr">
        <is>
          <t>Deven Verma</t>
        </is>
      </c>
      <c r="F400" s="5" t="inlineStr">
        <is>
          <t>Nandkishore Govardhan</t>
        </is>
      </c>
      <c r="G400" s="5" t="inlineStr">
        <is>
          <t>Comic support</t>
        </is>
      </c>
      <c r="H400" s="5" t="inlineStr">
        <is>
          <t>Medium</t>
        </is>
      </c>
      <c r="I400" s="5" t="inlineStr">
        <is>
          <t>Credited in the comic register; undocumented.</t>
        </is>
      </c>
      <c r="J400" s="5" t="inlineStr">
        <is>
          <t>Undocumented.</t>
        </is>
      </c>
      <c r="K400" s="19" t="inlineStr">
        <is>
          <t>Credited as Nandkishore Govardhan, with Tiku Talsania also in the cast, in the film's comic ranks.</t>
        </is>
      </c>
      <c r="L400" s="5" t="n"/>
      <c r="M400" s="5" t="inlineStr">
        <is>
          <t>SOURCE-056</t>
        </is>
      </c>
    </row>
    <row r="401" ht="34" customHeight="1">
      <c r="A401" s="15" t="inlineStr">
        <is>
          <t>CAST-400</t>
        </is>
      </c>
      <c r="B401" s="18" t="inlineStr">
        <is>
          <t>FILM-058</t>
        </is>
      </c>
      <c r="C401" s="5" t="inlineStr">
        <is>
          <t>Pyar Ke Kabil</t>
        </is>
      </c>
      <c r="D401" s="17" t="n">
        <v>1987</v>
      </c>
      <c r="E401" s="5" t="inlineStr">
        <is>
          <t>Asha Sachdev</t>
        </is>
      </c>
      <c r="F401" s="5" t="inlineStr">
        <is>
          <t>Chanchal</t>
        </is>
      </c>
      <c r="G401" s="5" t="inlineStr">
        <is>
          <t>Supporting</t>
        </is>
      </c>
      <c r="H401" s="5" t="inlineStr">
        <is>
          <t>Medium</t>
        </is>
      </c>
      <c r="I401" s="5" t="inlineStr">
        <is>
          <t>Credited as a dance teacher, with a mother of her own; undocumented.</t>
        </is>
      </c>
      <c r="J401" s="5" t="inlineStr">
        <is>
          <t>Undocumented.</t>
        </is>
      </c>
      <c r="K401" s="19" t="inlineStr">
        <is>
          <t>Credited as Chanchal, a dance teacher, with Shubha Khote as her mother Komal.</t>
        </is>
      </c>
      <c r="L401" s="5" t="n"/>
      <c r="M401" s="5" t="inlineStr">
        <is>
          <t>SOURCE-056</t>
        </is>
      </c>
    </row>
    <row r="402" ht="34" customHeight="1">
      <c r="A402" s="15" t="inlineStr">
        <is>
          <t>CAST-401</t>
        </is>
      </c>
      <c r="B402" s="18" t="inlineStr">
        <is>
          <t>FILM-058</t>
        </is>
      </c>
      <c r="C402" s="5" t="inlineStr">
        <is>
          <t>Pyar Ke Kabil</t>
        </is>
      </c>
      <c r="D402" s="17" t="n">
        <v>1987</v>
      </c>
      <c r="E402" s="5" t="inlineStr">
        <is>
          <t>Shubha Khote</t>
        </is>
      </c>
      <c r="F402" s="5" t="inlineStr">
        <is>
          <t>Komal</t>
        </is>
      </c>
      <c r="G402" s="5" t="inlineStr">
        <is>
          <t>Family</t>
        </is>
      </c>
      <c r="H402" s="5" t="inlineStr">
        <is>
          <t>Minor</t>
        </is>
      </c>
      <c r="I402" s="5" t="inlineStr">
        <is>
          <t>Credited as the dance teacher's mother; undocumented.</t>
        </is>
      </c>
      <c r="J402" s="5" t="inlineStr">
        <is>
          <t>Undocumented.</t>
        </is>
      </c>
      <c r="K402" s="19" t="inlineStr">
        <is>
          <t>Credited as Komal, Chanchal's mother, in an undocumented plot.</t>
        </is>
      </c>
      <c r="L402" s="5" t="n"/>
      <c r="M402" s="5" t="inlineStr">
        <is>
          <t>SOURCE-056</t>
        </is>
      </c>
    </row>
    <row r="403" ht="64" customHeight="1">
      <c r="A403" s="15" t="inlineStr">
        <is>
          <t>CAST-402</t>
        </is>
      </c>
      <c r="B403" s="18" t="inlineStr">
        <is>
          <t>FILM-059</t>
        </is>
      </c>
      <c r="C403" s="5" t="inlineStr">
        <is>
          <t>Hawalaat</t>
        </is>
      </c>
      <c r="D403" s="17" t="n">
        <v>1987</v>
      </c>
      <c r="E403" s="5" t="inlineStr">
        <is>
          <t>Padmini Kolhapure</t>
        </is>
      </c>
      <c r="F403" s="5" t="inlineStr">
        <is>
          <t>Geeta</t>
        </is>
      </c>
      <c r="G403" s="5" t="inlineStr">
        <is>
          <t>Co-lead</t>
        </is>
      </c>
      <c r="H403" s="5" t="inlineStr">
        <is>
          <t>Major</t>
        </is>
      </c>
      <c r="I403" s="5" t="inlineStr">
        <is>
          <t>The journalist whose abduction is the only thread the article's summary describes; Kapoor's Shyam is third-billed and unplaced in it.</t>
        </is>
      </c>
      <c r="J403" s="5" t="inlineStr">
        <is>
          <t>The filmography records a minor romance for Kapoor here, but the summary covers only Geeta's ordeal, which is why there is no Romances row.</t>
        </is>
      </c>
      <c r="K403" s="19" t="inlineStr">
        <is>
          <t>A newspaper reporter who exposes Dharamdas's drug-running and is abducted, imprisoned and repeatedly raped by the criminals and by a police inspector.</t>
        </is>
      </c>
      <c r="L403" s="5" t="n"/>
      <c r="M403" s="5" t="inlineStr">
        <is>
          <t>SOURCE-057</t>
        </is>
      </c>
    </row>
    <row r="404" ht="49" customHeight="1">
      <c r="A404" s="15" t="inlineStr">
        <is>
          <t>CAST-403</t>
        </is>
      </c>
      <c r="B404" s="18" t="inlineStr">
        <is>
          <t>FILM-059</t>
        </is>
      </c>
      <c r="C404" s="5" t="inlineStr">
        <is>
          <t>Hawalaat</t>
        </is>
      </c>
      <c r="D404" s="17" t="n">
        <v>1987</v>
      </c>
      <c r="E404" s="5" t="inlineStr">
        <is>
          <t>Shatrughan Sinha</t>
        </is>
      </c>
      <c r="F404" s="5" t="inlineStr">
        <is>
          <t>CID Inspector Sikandar Ali Khan / Gullu Badshah</t>
        </is>
      </c>
      <c r="G404" s="5" t="inlineStr">
        <is>
          <t>Co-lead</t>
        </is>
      </c>
      <c r="H404" s="5" t="inlineStr">
        <is>
          <t>Major</t>
        </is>
      </c>
      <c r="I404" s="5" t="inlineStr">
        <is>
          <t>Top-billed, in a double or undercover identity, above Kapoor in the ensemble.</t>
        </is>
      </c>
      <c r="J404" s="5" t="inlineStr">
        <is>
          <t>No documented part in Kapoor's thread.</t>
        </is>
      </c>
      <c r="K404" s="19" t="inlineStr">
        <is>
          <t>Credited as a CID inspector working under the identity of Gullu Badshah, the senior lead of an ensemble whose plot the article barely summarises.</t>
        </is>
      </c>
      <c r="L404" s="5" t="n"/>
      <c r="M404" s="5" t="inlineStr">
        <is>
          <t>SOURCE-057</t>
        </is>
      </c>
    </row>
    <row r="405" ht="49" customHeight="1">
      <c r="A405" s="15" t="inlineStr">
        <is>
          <t>CAST-404</t>
        </is>
      </c>
      <c r="B405" s="18" t="inlineStr">
        <is>
          <t>FILM-059</t>
        </is>
      </c>
      <c r="C405" s="5" t="inlineStr">
        <is>
          <t>Hawalaat</t>
        </is>
      </c>
      <c r="D405" s="17" t="n">
        <v>1987</v>
      </c>
      <c r="E405" s="5" t="inlineStr">
        <is>
          <t>Mithun Chakraborty</t>
        </is>
      </c>
      <c r="F405" s="5" t="inlineStr">
        <is>
          <t>Mangal Dada</t>
        </is>
      </c>
      <c r="G405" s="5" t="inlineStr">
        <is>
          <t>Co-lead</t>
        </is>
      </c>
      <c r="H405" s="5" t="inlineStr">
        <is>
          <t>Major</t>
        </is>
      </c>
      <c r="I405" s="5" t="inlineStr">
        <is>
          <t>Second-billed, immediately above Kapoor in the ensemble.</t>
        </is>
      </c>
      <c r="J405" s="5" t="inlineStr">
        <is>
          <t>No documented part in Kapoor's thread.</t>
        </is>
      </c>
      <c r="K405" s="19" t="inlineStr">
        <is>
          <t>Credited as Mangal Dada, one of the three male leads of the film, in a plot the article describes only through the journalist's abduction.</t>
        </is>
      </c>
      <c r="L405" s="5" t="n"/>
      <c r="M405" s="5" t="inlineStr">
        <is>
          <t>SOURCE-057</t>
        </is>
      </c>
    </row>
    <row r="406" ht="49" customHeight="1">
      <c r="A406" s="15" t="inlineStr">
        <is>
          <t>CAST-405</t>
        </is>
      </c>
      <c r="B406" s="18" t="inlineStr">
        <is>
          <t>FILM-059</t>
        </is>
      </c>
      <c r="C406" s="5" t="inlineStr">
        <is>
          <t>Hawalaat</t>
        </is>
      </c>
      <c r="D406" s="17" t="n">
        <v>1987</v>
      </c>
      <c r="E406" s="5" t="inlineStr">
        <is>
          <t>Amrish Puri</t>
        </is>
      </c>
      <c r="F406" s="5" t="inlineStr">
        <is>
          <t>Dharamdas</t>
        </is>
      </c>
      <c r="G406" s="5" t="inlineStr">
        <is>
          <t>Antagonist</t>
        </is>
      </c>
      <c r="H406" s="5" t="inlineStr">
        <is>
          <t>Major</t>
        </is>
      </c>
      <c r="I406" s="5" t="inlineStr">
        <is>
          <t>The drug-runner the journalist exposes, and the film's principal villain.</t>
        </is>
      </c>
      <c r="J406" s="5" t="inlineStr">
        <is>
          <t>No documented part in Kapoor's thread.</t>
        </is>
      </c>
      <c r="K406" s="19" t="inlineStr">
        <is>
          <t>The head of the drug-running operation Geeta exposes, and the man whose people abduct and imprison her.</t>
        </is>
      </c>
      <c r="L406" s="5" t="n"/>
      <c r="M406" s="5" t="inlineStr">
        <is>
          <t>SOURCE-057</t>
        </is>
      </c>
    </row>
    <row r="407" ht="49" customHeight="1">
      <c r="A407" s="15" t="inlineStr">
        <is>
          <t>CAST-406</t>
        </is>
      </c>
      <c r="B407" s="18" t="inlineStr">
        <is>
          <t>FILM-059</t>
        </is>
      </c>
      <c r="C407" s="5" t="inlineStr">
        <is>
          <t>Hawalaat</t>
        </is>
      </c>
      <c r="D407" s="17" t="n">
        <v>1987</v>
      </c>
      <c r="E407" s="5" t="inlineStr">
        <is>
          <t>Gulshan Grover</t>
        </is>
      </c>
      <c r="F407" s="5" t="inlineStr">
        <is>
          <t>Inspector Virendra Sharma</t>
        </is>
      </c>
      <c r="G407" s="5" t="inlineStr">
        <is>
          <t>Antagonist</t>
        </is>
      </c>
      <c r="H407" s="5" t="inlineStr">
        <is>
          <t>Major</t>
        </is>
      </c>
      <c r="I407" s="5" t="inlineStr">
        <is>
          <t>The police inspector who takes part in the journalist's rape, the film's second villain.</t>
        </is>
      </c>
      <c r="J407" s="5" t="inlineStr">
        <is>
          <t>No documented part in Kapoor's thread.</t>
        </is>
      </c>
      <c r="K407" s="19" t="inlineStr">
        <is>
          <t>A police inspector among the men who repeatedly rape the abducted reporter, the film's accusation against the police as well as the criminals.</t>
        </is>
      </c>
      <c r="L407" s="5" t="n"/>
      <c r="M407" s="5" t="inlineStr">
        <is>
          <t>SOURCE-057</t>
        </is>
      </c>
    </row>
    <row r="408" ht="49" customHeight="1">
      <c r="A408" s="15" t="inlineStr">
        <is>
          <t>CAST-407</t>
        </is>
      </c>
      <c r="B408" s="18" t="inlineStr">
        <is>
          <t>FILM-059</t>
        </is>
      </c>
      <c r="C408" s="5" t="inlineStr">
        <is>
          <t>Hawalaat</t>
        </is>
      </c>
      <c r="D408" s="17" t="n">
        <v>1987</v>
      </c>
      <c r="E408" s="5" t="inlineStr">
        <is>
          <t>Mandakini</t>
        </is>
      </c>
      <c r="F408" s="5" t="inlineStr">
        <is>
          <t>Leela</t>
        </is>
      </c>
      <c r="G408" s="5" t="inlineStr">
        <is>
          <t>Supporting</t>
        </is>
      </c>
      <c r="H408" s="5" t="inlineStr">
        <is>
          <t>Medium</t>
        </is>
      </c>
      <c r="I408" s="5" t="inlineStr">
        <is>
          <t>Credited as the film's second woman; the summary does not place her.</t>
        </is>
      </c>
      <c r="J408" s="5" t="inlineStr">
        <is>
          <t>Possibly the partner in Kapoor's undocumented minor romance; the article does not say.</t>
        </is>
      </c>
      <c r="K408" s="19" t="inlineStr">
        <is>
          <t>Credited as Leela, the second female lead, in a film whose article summarises only one thread.</t>
        </is>
      </c>
      <c r="L408" s="5" t="n"/>
      <c r="M408" s="5" t="inlineStr">
        <is>
          <t>SOURCE-057</t>
        </is>
      </c>
    </row>
    <row r="409" ht="34" customHeight="1">
      <c r="A409" s="15" t="inlineStr">
        <is>
          <t>CAST-408</t>
        </is>
      </c>
      <c r="B409" s="18" t="inlineStr">
        <is>
          <t>FILM-059</t>
        </is>
      </c>
      <c r="C409" s="5" t="inlineStr">
        <is>
          <t>Hawalaat</t>
        </is>
      </c>
      <c r="D409" s="17" t="n">
        <v>1987</v>
      </c>
      <c r="E409" s="5" t="inlineStr">
        <is>
          <t>Anita Raj</t>
        </is>
      </c>
      <c r="F409" s="5" t="inlineStr">
        <is>
          <t>CID Inspector Shamim Khan / Salma</t>
        </is>
      </c>
      <c r="G409" s="5" t="inlineStr">
        <is>
          <t>Supporting</t>
        </is>
      </c>
      <c r="H409" s="5" t="inlineStr">
        <is>
          <t>Medium</t>
        </is>
      </c>
      <c r="I409" s="5" t="inlineStr">
        <is>
          <t>Credited in a second police identity, mirroring the top-billed one.</t>
        </is>
      </c>
      <c r="J409" s="5" t="inlineStr">
        <is>
          <t>No documented part in Kapoor's thread.</t>
        </is>
      </c>
      <c r="K409" s="19" t="inlineStr">
        <is>
          <t>Credited as a CID inspector under the name Salma, the film's second undercover officer.</t>
        </is>
      </c>
      <c r="L409" s="5" t="n"/>
      <c r="M409" s="5" t="inlineStr">
        <is>
          <t>SOURCE-057</t>
        </is>
      </c>
    </row>
    <row r="410" ht="34" customHeight="1">
      <c r="A410" s="15" t="inlineStr">
        <is>
          <t>CAST-409</t>
        </is>
      </c>
      <c r="B410" s="18" t="inlineStr">
        <is>
          <t>FILM-059</t>
        </is>
      </c>
      <c r="C410" s="5" t="inlineStr">
        <is>
          <t>Hawalaat</t>
        </is>
      </c>
      <c r="D410" s="17" t="n">
        <v>1987</v>
      </c>
      <c r="E410" s="5" t="inlineStr">
        <is>
          <t>Prem Chopra</t>
        </is>
      </c>
      <c r="F410" s="5" t="inlineStr">
        <is>
          <t>Dr. Prem Pal</t>
        </is>
      </c>
      <c r="G410" s="5" t="inlineStr">
        <is>
          <t>Antagonist</t>
        </is>
      </c>
      <c r="H410" s="5" t="inlineStr">
        <is>
          <t>Medium</t>
        </is>
      </c>
      <c r="I410" s="5" t="inlineStr">
        <is>
          <t>Credited among the film's opposition.</t>
        </is>
      </c>
      <c r="J410" s="5" t="inlineStr">
        <is>
          <t>No documented part in Kapoor's thread.</t>
        </is>
      </c>
      <c r="K410" s="19" t="inlineStr">
        <is>
          <t>Credited as Dr. Prem Pal, with Dalip Tahil's Shaikh Ibrahim, in the criminal ranks around Dharamdas.</t>
        </is>
      </c>
      <c r="L410" s="5" t="n"/>
      <c r="M410" s="5" t="inlineStr">
        <is>
          <t>SOURCE-057</t>
        </is>
      </c>
    </row>
    <row r="411" ht="64" customHeight="1">
      <c r="A411" s="15" t="inlineStr">
        <is>
          <t>CAST-410</t>
        </is>
      </c>
      <c r="B411" s="18" t="inlineStr">
        <is>
          <t>FILM-060</t>
        </is>
      </c>
      <c r="C411" s="5" t="inlineStr">
        <is>
          <t>Khudgarz</t>
        </is>
      </c>
      <c r="D411" s="17" t="n">
        <v>1987</v>
      </c>
      <c r="E411" s="5" t="inlineStr">
        <is>
          <t>Jeetendra</t>
        </is>
      </c>
      <c r="F411" s="5" t="inlineStr">
        <is>
          <t>Amar Saxena</t>
        </is>
      </c>
      <c r="G411" s="5" t="inlineStr">
        <is>
          <t>Co-lead</t>
        </is>
      </c>
      <c r="H411" s="5" t="inlineStr">
        <is>
          <t>Major</t>
        </is>
      </c>
      <c r="I411" s="5" t="inlineStr">
        <is>
          <t>The film's co-protagonist; Kapoor appears as a singing tramp outside the story.</t>
        </is>
      </c>
      <c r="J411" s="5" t="inlineStr">
        <is>
          <t>Holds one of the film's two marriages, outside Kapoor's guest appearance.</t>
        </is>
      </c>
      <c r="K411" s="19" t="inlineStr">
        <is>
          <t>The son of a money-minded hotelier, who marries the florist Jaya and asks his childhood friend for the ancestral land his father then takes outright through the drafting of the agreement.</t>
        </is>
      </c>
      <c r="L411" s="5" t="n"/>
      <c r="M411" s="5" t="inlineStr">
        <is>
          <t>SOURCE-058</t>
        </is>
      </c>
    </row>
    <row r="412" ht="64" customHeight="1">
      <c r="A412" s="15" t="inlineStr">
        <is>
          <t>CAST-411</t>
        </is>
      </c>
      <c r="B412" s="18" t="inlineStr">
        <is>
          <t>FILM-060</t>
        </is>
      </c>
      <c r="C412" s="5" t="inlineStr">
        <is>
          <t>Khudgarz</t>
        </is>
      </c>
      <c r="D412" s="17" t="n">
        <v>1987</v>
      </c>
      <c r="E412" s="5" t="inlineStr">
        <is>
          <t>Shatrughan Sinha</t>
        </is>
      </c>
      <c r="F412" s="5" t="inlineStr">
        <is>
          <t>Bihari Bhuvaneshwar Prasad Sinha</t>
        </is>
      </c>
      <c r="G412" s="5" t="inlineStr">
        <is>
          <t>Co-lead</t>
        </is>
      </c>
      <c r="H412" s="5" t="inlineStr">
        <is>
          <t>Major</t>
        </is>
      </c>
      <c r="I412" s="5" t="inlineStr">
        <is>
          <t>The other co-protagonist, on the poorer side of the friendship.</t>
        </is>
      </c>
      <c r="J412" s="5" t="inlineStr">
        <is>
          <t>Holds the film's second marriage.</t>
        </is>
      </c>
      <c r="K412" s="19" t="inlineStr">
        <is>
          <t>An illiterate man from an impoverished background who marries the labourer Lata, sells his ancestral land to his friend in good faith with a thumb impression, and loses it to the friend's father.</t>
        </is>
      </c>
      <c r="L412" s="5" t="n"/>
      <c r="M412" s="5" t="inlineStr">
        <is>
          <t>SOURCE-058</t>
        </is>
      </c>
    </row>
    <row r="413" ht="34" customHeight="1">
      <c r="A413" s="15" t="inlineStr">
        <is>
          <t>CAST-412</t>
        </is>
      </c>
      <c r="B413" s="18" t="inlineStr">
        <is>
          <t>FILM-060</t>
        </is>
      </c>
      <c r="C413" s="5" t="inlineStr">
        <is>
          <t>Khudgarz</t>
        </is>
      </c>
      <c r="D413" s="17" t="n">
        <v>1987</v>
      </c>
      <c r="E413" s="5" t="inlineStr">
        <is>
          <t>Amrita Singh</t>
        </is>
      </c>
      <c r="F413" s="5" t="inlineStr">
        <is>
          <t>Lata Sinha</t>
        </is>
      </c>
      <c r="G413" s="5" t="inlineStr">
        <is>
          <t>Co-lead</t>
        </is>
      </c>
      <c r="H413" s="5" t="inlineStr">
        <is>
          <t>Major</t>
        </is>
      </c>
      <c r="I413" s="5" t="inlineStr">
        <is>
          <t>The wife of the poorer friend.</t>
        </is>
      </c>
      <c r="J413" s="5" t="inlineStr">
        <is>
          <t>One of the film's two marriages.</t>
        </is>
      </c>
      <c r="K413" s="19" t="inlineStr">
        <is>
          <t>A labourer who marries Bihari, in the household the land deal dispossesses.</t>
        </is>
      </c>
      <c r="L413" s="5" t="n"/>
      <c r="M413" s="5" t="inlineStr">
        <is>
          <t>SOURCE-058</t>
        </is>
      </c>
    </row>
    <row r="414" ht="34" customHeight="1">
      <c r="A414" s="15" t="inlineStr">
        <is>
          <t>CAST-413</t>
        </is>
      </c>
      <c r="B414" s="18" t="inlineStr">
        <is>
          <t>FILM-060</t>
        </is>
      </c>
      <c r="C414" s="5" t="inlineStr">
        <is>
          <t>Khudgarz</t>
        </is>
      </c>
      <c r="D414" s="17" t="n">
        <v>1987</v>
      </c>
      <c r="E414" s="5" t="inlineStr">
        <is>
          <t>Bhanupriya</t>
        </is>
      </c>
      <c r="F414" s="5" t="inlineStr">
        <is>
          <t>Jaya Saxena</t>
        </is>
      </c>
      <c r="G414" s="5" t="inlineStr">
        <is>
          <t>Supporting</t>
        </is>
      </c>
      <c r="H414" s="5" t="inlineStr">
        <is>
          <t>Major</t>
        </is>
      </c>
      <c r="I414" s="5" t="inlineStr">
        <is>
          <t>The wife of the wealthier friend.</t>
        </is>
      </c>
      <c r="J414" s="5" t="inlineStr">
        <is>
          <t>The second of the film's two marriages.</t>
        </is>
      </c>
      <c r="K414" s="19" t="inlineStr">
        <is>
          <t>A florist who marries Amar, on the wealthy side of the friendship the film divides.</t>
        </is>
      </c>
      <c r="L414" s="5" t="n"/>
      <c r="M414" s="5" t="inlineStr">
        <is>
          <t>SOURCE-058</t>
        </is>
      </c>
    </row>
    <row r="415" ht="64" customHeight="1">
      <c r="A415" s="15" t="inlineStr">
        <is>
          <t>CAST-414</t>
        </is>
      </c>
      <c r="B415" s="18" t="inlineStr">
        <is>
          <t>FILM-060</t>
        </is>
      </c>
      <c r="C415" s="5" t="inlineStr">
        <is>
          <t>Khudgarz</t>
        </is>
      </c>
      <c r="D415" s="17" t="n">
        <v>1987</v>
      </c>
      <c r="E415" s="5" t="inlineStr">
        <is>
          <t>Saeed Jaffrey</t>
        </is>
      </c>
      <c r="F415" s="5" t="inlineStr">
        <is>
          <t>Brij Bhushan Saxena</t>
        </is>
      </c>
      <c r="G415" s="5" t="inlineStr">
        <is>
          <t>Antagonist</t>
        </is>
      </c>
      <c r="H415" s="5" t="inlineStr">
        <is>
          <t>Major</t>
        </is>
      </c>
      <c r="I415" s="5" t="inlineStr">
        <is>
          <t>The father whose greed turns a friendship into a dispossession.</t>
        </is>
      </c>
      <c r="J415" s="5" t="inlineStr">
        <is>
          <t>The external power over both households.</t>
        </is>
      </c>
      <c r="K415" s="19" t="inlineStr">
        <is>
          <t>A money-minded hotelier who wants to give his son a five-star hotel as a wedding present, and has the land agreement drafted so that he and his son become sole owners of his son's friend's ancestral property.</t>
        </is>
      </c>
      <c r="L415" s="5" t="n"/>
      <c r="M415" s="5" t="inlineStr">
        <is>
          <t>SOURCE-058</t>
        </is>
      </c>
    </row>
    <row r="416" ht="34" customHeight="1">
      <c r="A416" s="15" t="inlineStr">
        <is>
          <t>CAST-415</t>
        </is>
      </c>
      <c r="B416" s="18" t="inlineStr">
        <is>
          <t>FILM-060</t>
        </is>
      </c>
      <c r="C416" s="5" t="inlineStr">
        <is>
          <t>Khudgarz</t>
        </is>
      </c>
      <c r="D416" s="17" t="n">
        <v>1987</v>
      </c>
      <c r="E416" s="5" t="inlineStr">
        <is>
          <t>Govinda</t>
        </is>
      </c>
      <c r="F416" s="5" t="inlineStr">
        <is>
          <t>Kumar Saxena</t>
        </is>
      </c>
      <c r="G416" s="5" t="inlineStr">
        <is>
          <t>Supporting</t>
        </is>
      </c>
      <c r="H416" s="5" t="inlineStr">
        <is>
          <t>Medium</t>
        </is>
      </c>
      <c r="I416" s="5" t="inlineStr">
        <is>
          <t>Credited in the wealthier family, in the film's second generation.</t>
        </is>
      </c>
      <c r="J416" s="5" t="inlineStr">
        <is>
          <t>No documented part in either marriage.</t>
        </is>
      </c>
      <c r="K416" s="19" t="inlineStr">
        <is>
          <t>Credited as Kumar Saxena, in an early role for the actor in Rakesh Roshan's directorial debut.</t>
        </is>
      </c>
      <c r="L416" s="5" t="n"/>
      <c r="M416" s="5" t="inlineStr">
        <is>
          <t>SOURCE-058</t>
        </is>
      </c>
    </row>
    <row r="417" ht="49" customHeight="1">
      <c r="A417" s="15" t="inlineStr">
        <is>
          <t>CAST-416</t>
        </is>
      </c>
      <c r="B417" s="18" t="inlineStr">
        <is>
          <t>FILM-060</t>
        </is>
      </c>
      <c r="C417" s="5" t="inlineStr">
        <is>
          <t>Khudgarz</t>
        </is>
      </c>
      <c r="D417" s="17" t="n">
        <v>1987</v>
      </c>
      <c r="E417" s="5" t="inlineStr">
        <is>
          <t>Neelam</t>
        </is>
      </c>
      <c r="F417" s="5" t="inlineStr">
        <is>
          <t>Jyoti Sinha</t>
        </is>
      </c>
      <c r="G417" s="5" t="inlineStr">
        <is>
          <t>Supporting</t>
        </is>
      </c>
      <c r="H417" s="5" t="inlineStr">
        <is>
          <t>Medium</t>
        </is>
      </c>
      <c r="I417" s="5" t="inlineStr">
        <is>
          <t>Credited in the poorer family, opposite Govinda's character in the younger generation.</t>
        </is>
      </c>
      <c r="J417" s="5" t="inlineStr">
        <is>
          <t>No documented part in either marriage.</t>
        </is>
      </c>
      <c r="K417" s="19" t="inlineStr">
        <is>
          <t>Credited as Jyoti Sinha, with Sushma Seth as Seeta Sinha, on the dispossessed side of the family quarrel.</t>
        </is>
      </c>
      <c r="L417" s="5" t="n"/>
      <c r="M417" s="5" t="inlineStr">
        <is>
          <t>SOURCE-058</t>
        </is>
      </c>
    </row>
    <row r="418" ht="34" customHeight="1">
      <c r="A418" s="15" t="inlineStr">
        <is>
          <t>CAST-417</t>
        </is>
      </c>
      <c r="B418" s="18" t="inlineStr">
        <is>
          <t>FILM-060</t>
        </is>
      </c>
      <c r="C418" s="5" t="inlineStr">
        <is>
          <t>Khudgarz</t>
        </is>
      </c>
      <c r="D418" s="17" t="n">
        <v>1987</v>
      </c>
      <c r="E418" s="5" t="inlineStr">
        <is>
          <t>Kader Khan</t>
        </is>
      </c>
      <c r="F418" s="5" t="inlineStr">
        <is>
          <t>Advocate Bheemji Kanji Batliwala</t>
        </is>
      </c>
      <c r="G418" s="5" t="inlineStr">
        <is>
          <t>Supporting</t>
        </is>
      </c>
      <c r="H418" s="5" t="inlineStr">
        <is>
          <t>Medium</t>
        </is>
      </c>
      <c r="I418" s="5" t="inlineStr">
        <is>
          <t>The lawyer in a plot whose injury is done through a document.</t>
        </is>
      </c>
      <c r="J418" s="5" t="inlineStr">
        <is>
          <t>No documented part in either marriage.</t>
        </is>
      </c>
      <c r="K418" s="19" t="inlineStr">
        <is>
          <t>Credited as Advocate Bheemji Kanji Batliwala, the legal figure in a story turned on how an agreement is drafted.</t>
        </is>
      </c>
      <c r="L418" s="5" t="n"/>
      <c r="M418" s="5" t="inlineStr">
        <is>
          <t>SOURCE-058</t>
        </is>
      </c>
    </row>
    <row r="419" ht="79" customHeight="1">
      <c r="A419" s="15" t="inlineStr">
        <is>
          <t>CAST-418</t>
        </is>
      </c>
      <c r="B419" s="18" t="inlineStr">
        <is>
          <t>FILM-061</t>
        </is>
      </c>
      <c r="C419" s="5" t="inlineStr">
        <is>
          <t>Sindoor</t>
        </is>
      </c>
      <c r="D419" s="17" t="n">
        <v>1987</v>
      </c>
      <c r="E419" s="5" t="inlineStr">
        <is>
          <t>Shashi Kapoor</t>
        </is>
      </c>
      <c r="F419" s="5" t="inlineStr">
        <is>
          <t>Professor Vijay Choudhary</t>
        </is>
      </c>
      <c r="G419" s="5" t="inlineStr">
        <is>
          <t>Co-lead</t>
        </is>
      </c>
      <c r="H419" s="5" t="inlineStr">
        <is>
          <t>Major</t>
        </is>
      </c>
      <c r="I419" s="5" t="inlineStr">
        <is>
          <t>The husband whose suspicion of Kapoor's character destroys his own marriage; the two never meet in the present-day story.</t>
        </is>
      </c>
      <c r="J419" s="5" t="inlineStr">
        <is>
          <t>Holds the film's central marriage, wrecked by a misreading of his wife's singing partnership.</t>
        </is>
      </c>
      <c r="K419" s="19" t="inlineStr">
        <is>
          <t>An English professor who joins a college and is drawn into a student's song, which turns out to be his estranged wife's favourite; in flashback he forces her out of the house over her partnership with the singer Kumar, learns the truth the day Kumar marries, and cannot find her.</t>
        </is>
      </c>
      <c r="L419" s="5" t="n"/>
      <c r="M419" s="5" t="inlineStr">
        <is>
          <t>SOURCE-060</t>
        </is>
      </c>
    </row>
    <row r="420" ht="64" customHeight="1">
      <c r="A420" s="15" t="inlineStr">
        <is>
          <t>CAST-419</t>
        </is>
      </c>
      <c r="B420" s="18" t="inlineStr">
        <is>
          <t>FILM-061</t>
        </is>
      </c>
      <c r="C420" s="5" t="inlineStr">
        <is>
          <t>Sindoor</t>
        </is>
      </c>
      <c r="D420" s="17" t="n">
        <v>1987</v>
      </c>
      <c r="E420" s="5" t="inlineStr">
        <is>
          <t>Jaya Prada</t>
        </is>
      </c>
      <c r="F420" s="5" t="inlineStr">
        <is>
          <t>Laxmi Choudhary</t>
        </is>
      </c>
      <c r="G420" s="5" t="inlineStr">
        <is>
          <t>Co-lead</t>
        </is>
      </c>
      <c r="H420" s="5" t="inlineStr">
        <is>
          <t>Major</t>
        </is>
      </c>
      <c r="I420" s="5" t="inlineStr">
        <is>
          <t>Kapoor's singing partner, and the woman whose association with him costs her her marriage.</t>
        </is>
      </c>
      <c r="J420" s="5" t="inlineStr">
        <is>
          <t>The wronged half of the central marriage; the suspected romance with Kapoor's character never existed.</t>
        </is>
      </c>
      <c r="K420" s="19" t="inlineStr">
        <is>
          <t>A singer who formed a hit performing duo with Kumar, turned out of her husband's house over the suspicion that grew from it, and living as a widowed mother to Lalita when the film opens.</t>
        </is>
      </c>
      <c r="L420" s="5" t="n"/>
      <c r="M420" s="5" t="inlineStr">
        <is>
          <t>SOURCE-060</t>
        </is>
      </c>
    </row>
    <row r="421" ht="49" customHeight="1">
      <c r="A421" s="15" t="inlineStr">
        <is>
          <t>CAST-420</t>
        </is>
      </c>
      <c r="B421" s="18" t="inlineStr">
        <is>
          <t>FILM-061</t>
        </is>
      </c>
      <c r="C421" s="5" t="inlineStr">
        <is>
          <t>Sindoor</t>
        </is>
      </c>
      <c r="D421" s="17" t="n">
        <v>1987</v>
      </c>
      <c r="E421" s="5" t="inlineStr">
        <is>
          <t>Govinda</t>
        </is>
      </c>
      <c r="F421" s="5" t="inlineStr">
        <is>
          <t>Ravi Khanna</t>
        </is>
      </c>
      <c r="G421" s="5" t="inlineStr">
        <is>
          <t>Co-lead</t>
        </is>
      </c>
      <c r="H421" s="5" t="inlineStr">
        <is>
          <t>Major</t>
        </is>
      </c>
      <c r="I421" s="5" t="inlineStr">
        <is>
          <t>Belongs to the younger generation's story, with no contact with Kapoor's flashback appearance.</t>
        </is>
      </c>
      <c r="J421" s="5" t="inlineStr">
        <is>
          <t>Carries the film's present-day romance, against the older couple's ruined one.</t>
        </is>
      </c>
      <c r="K421" s="19" t="inlineStr">
        <is>
          <t>A brilliant fellow collegian who, after some misunderstandings, falls in love with Lalita, in the student plot that frames the older generation's flashback.</t>
        </is>
      </c>
      <c r="L421" s="5" t="n"/>
      <c r="M421" s="5" t="inlineStr">
        <is>
          <t>SOURCE-060</t>
        </is>
      </c>
    </row>
    <row r="422" ht="79" customHeight="1">
      <c r="A422" s="15" t="inlineStr">
        <is>
          <t>CAST-421</t>
        </is>
      </c>
      <c r="B422" s="18" t="inlineStr">
        <is>
          <t>FILM-061</t>
        </is>
      </c>
      <c r="C422" s="5" t="inlineStr">
        <is>
          <t>Sindoor</t>
        </is>
      </c>
      <c r="D422" s="17" t="n">
        <v>1987</v>
      </c>
      <c r="E422" s="5" t="inlineStr">
        <is>
          <t>Neelam Kothari</t>
        </is>
      </c>
      <c r="F422" s="5" t="inlineStr">
        <is>
          <t>Lalita Kapoor</t>
        </is>
      </c>
      <c r="G422" s="5" t="inlineStr">
        <is>
          <t>Co-lead</t>
        </is>
      </c>
      <c r="H422" s="5" t="inlineStr">
        <is>
          <t>Major</t>
        </is>
      </c>
      <c r="I422" s="5" t="inlineStr">
        <is>
          <t>The daughter in the household Kapoor's character is the absent suspicion over; credited with the surname Kapoor rather than Choudhary, which the article does not explain.</t>
        </is>
      </c>
      <c r="J422" s="5" t="inlineStr">
        <is>
          <t>The present-day romantic lead, whose song at the college function opens the older generation's secret.</t>
        </is>
      </c>
      <c r="K422" s="19" t="inlineStr">
        <is>
          <t>A devoted college-going daughter who forgets the words of 'Patjhad Saawan Basant Bahaar' at a college function and is completed by the professor, the coincidence that unlocks the flashback.</t>
        </is>
      </c>
      <c r="L422" s="5" t="n"/>
      <c r="M422" s="5" t="inlineStr">
        <is>
          <t>SOURCE-060</t>
        </is>
      </c>
    </row>
    <row r="423" ht="34" customHeight="1">
      <c r="A423" s="15" t="inlineStr">
        <is>
          <t>CAST-422</t>
        </is>
      </c>
      <c r="B423" s="18" t="inlineStr">
        <is>
          <t>FILM-061</t>
        </is>
      </c>
      <c r="C423" s="5" t="inlineStr">
        <is>
          <t>Sindoor</t>
        </is>
      </c>
      <c r="D423" s="17" t="n">
        <v>1987</v>
      </c>
      <c r="E423" s="5" t="inlineStr">
        <is>
          <t>Prem Chopra</t>
        </is>
      </c>
      <c r="F423" s="5" t="inlineStr">
        <is>
          <t>Heeralal / Pannalal</t>
        </is>
      </c>
      <c r="G423" s="5" t="inlineStr">
        <is>
          <t>Antagonist</t>
        </is>
      </c>
      <c r="H423" s="5" t="inlineStr">
        <is>
          <t>Major</t>
        </is>
      </c>
      <c r="I423" s="5" t="inlineStr">
        <is>
          <t>The film's antagonist, in a dual role, outside Kapoor's flashback.</t>
        </is>
      </c>
      <c r="J423" s="5" t="inlineStr">
        <is>
          <t>The external threat to the younger generation's story.</t>
        </is>
      </c>
      <c r="K423" s="19" t="inlineStr">
        <is>
          <t>Credited in a double role as Heeralal and Pannalal, the film's villain opposite the two generations of its families.</t>
        </is>
      </c>
      <c r="L423" s="5" t="n"/>
      <c r="M423" s="5" t="inlineStr">
        <is>
          <t>SOURCE-060</t>
        </is>
      </c>
    </row>
    <row r="424" ht="34" customHeight="1">
      <c r="A424" s="15" t="inlineStr">
        <is>
          <t>CAST-423</t>
        </is>
      </c>
      <c r="B424" s="18" t="inlineStr">
        <is>
          <t>FILM-061</t>
        </is>
      </c>
      <c r="C424" s="5" t="inlineStr">
        <is>
          <t>Sindoor</t>
        </is>
      </c>
      <c r="D424" s="17" t="n">
        <v>1987</v>
      </c>
      <c r="E424" s="5" t="inlineStr">
        <is>
          <t>Kader Khan</t>
        </is>
      </c>
      <c r="F424" s="5" t="inlineStr">
        <is>
          <t>Advocate Dharamdas</t>
        </is>
      </c>
      <c r="G424" s="5" t="inlineStr">
        <is>
          <t>Supporting</t>
        </is>
      </c>
      <c r="H424" s="5" t="inlineStr">
        <is>
          <t>Medium</t>
        </is>
      </c>
      <c r="I424" s="5" t="inlineStr">
        <is>
          <t>A credited senior figure in the present-day plot.</t>
        </is>
      </c>
      <c r="J424" s="5" t="inlineStr">
        <is>
          <t>No direct part in either romance.</t>
        </is>
      </c>
      <c r="K424" s="19" t="inlineStr">
        <is>
          <t>Credited as Advocate Dharamdas, the legal figure in a plot that turns on a family's buried history.</t>
        </is>
      </c>
      <c r="L424" s="5" t="n"/>
      <c r="M424" s="5" t="inlineStr">
        <is>
          <t>SOURCE-060</t>
        </is>
      </c>
    </row>
    <row r="425" ht="49" customHeight="1">
      <c r="A425" s="15" t="inlineStr">
        <is>
          <t>CAST-424</t>
        </is>
      </c>
      <c r="B425" s="18" t="inlineStr">
        <is>
          <t>FILM-061</t>
        </is>
      </c>
      <c r="C425" s="5" t="inlineStr">
        <is>
          <t>Sindoor</t>
        </is>
      </c>
      <c r="D425" s="17" t="n">
        <v>1987</v>
      </c>
      <c r="E425" s="5" t="inlineStr">
        <is>
          <t>Jeetendra</t>
        </is>
      </c>
      <c r="F425" s="5" t="inlineStr">
        <is>
          <t>Prem Kapoor</t>
        </is>
      </c>
      <c r="G425" s="5" t="inlineStr">
        <is>
          <t>Cameo</t>
        </is>
      </c>
      <c r="H425" s="5" t="inlineStr">
        <is>
          <t>Minor</t>
        </is>
      </c>
      <c r="I425" s="5" t="inlineStr">
        <is>
          <t>A guest appearance in the same register as Kapoor's special appearance.</t>
        </is>
      </c>
      <c r="J425" s="5" t="inlineStr">
        <is>
          <t>Credited with Moushumi Chatterjee's Sunita Kapoor, who appears in a photograph only.</t>
        </is>
      </c>
      <c r="K425" s="19" t="inlineStr">
        <is>
          <t>A guest appearance as Prem Kapoor, with a step-brother in Shakti Kapoor's Shera and a wife who appears only as a photograph.</t>
        </is>
      </c>
      <c r="L425" s="5" t="n"/>
      <c r="M425" s="5" t="inlineStr">
        <is>
          <t>SOURCE-060</t>
        </is>
      </c>
    </row>
    <row r="426" ht="64" customHeight="1">
      <c r="A426" s="15" t="inlineStr">
        <is>
          <t>CAST-425</t>
        </is>
      </c>
      <c r="B426" s="18" t="inlineStr">
        <is>
          <t>FILM-064</t>
        </is>
      </c>
      <c r="C426" s="5" t="inlineStr">
        <is>
          <t>Ghar Ghar Ki Kahani</t>
        </is>
      </c>
      <c r="D426" s="17" t="n">
        <v>1988</v>
      </c>
      <c r="E426" s="5" t="inlineStr">
        <is>
          <t>Jaya Prada</t>
        </is>
      </c>
      <c r="F426" s="5" t="inlineStr">
        <is>
          <t>Seeta, called Sita</t>
        </is>
      </c>
      <c r="G426" s="5" t="inlineStr">
        <is>
          <t>Co-lead</t>
        </is>
      </c>
      <c r="H426" s="5" t="inlineStr">
        <is>
          <t>Major</t>
        </is>
      </c>
      <c r="I426" s="5" t="inlineStr">
        <is>
          <t>Ram's wife, and the object of the jealousy the film runs on.</t>
        </is>
      </c>
      <c r="J426" s="5" t="inlineStr">
        <is>
          <t>The first pairing in Romances, destroyed from inside by a suspicion planted from outside.</t>
        </is>
      </c>
      <c r="K426" s="19" t="inlineStr">
        <is>
          <t>The second son's wife, close enough to her young brother-in-law to be treated as his mother, confided in about his secret love, and suspected by her husband of an affair with him even after the boy marries elsewhere.</t>
        </is>
      </c>
      <c r="L426" s="5" t="n"/>
      <c r="M426" s="5" t="inlineStr">
        <is>
          <t>SOURCE-061</t>
        </is>
      </c>
    </row>
    <row r="427" ht="49" customHeight="1">
      <c r="A427" s="15" t="inlineStr">
        <is>
          <t>CAST-426</t>
        </is>
      </c>
      <c r="B427" s="18" t="inlineStr">
        <is>
          <t>FILM-064</t>
        </is>
      </c>
      <c r="C427" s="5" t="inlineStr">
        <is>
          <t>Ghar Ghar Ki Kahani</t>
        </is>
      </c>
      <c r="D427" s="17" t="n">
        <v>1988</v>
      </c>
      <c r="E427" s="5" t="inlineStr">
        <is>
          <t>Anita Raj</t>
        </is>
      </c>
      <c r="F427" s="5" t="inlineStr">
        <is>
          <t>Deepa</t>
        </is>
      </c>
      <c r="G427" s="5" t="inlineStr">
        <is>
          <t>Co-lead</t>
        </is>
      </c>
      <c r="H427" s="5" t="inlineStr">
        <is>
          <t>Major</t>
        </is>
      </c>
      <c r="I427" s="5" t="inlineStr">
        <is>
          <t>The woman Ram turns to while estranged from his wife.</t>
        </is>
      </c>
      <c r="J427" s="5" t="inlineStr">
        <is>
          <t>The second pairing in Romances, and the one she herself reports to the wife.</t>
        </is>
      </c>
      <c r="K427" s="19" t="inlineStr">
        <is>
          <t>Credited as Deepa, who asks for time to consider Ram's proposal and then visits Sita to tell her that her husband is cheating on her.</t>
        </is>
      </c>
      <c r="L427" s="5" t="n"/>
      <c r="M427" s="5" t="inlineStr">
        <is>
          <t>SOURCE-061</t>
        </is>
      </c>
    </row>
    <row r="428" ht="49" customHeight="1">
      <c r="A428" s="15" t="inlineStr">
        <is>
          <t>CAST-427</t>
        </is>
      </c>
      <c r="B428" s="18" t="inlineStr">
        <is>
          <t>FILM-064</t>
        </is>
      </c>
      <c r="C428" s="5" t="inlineStr">
        <is>
          <t>Ghar Ghar Ki Kahani</t>
        </is>
      </c>
      <c r="D428" s="17" t="n">
        <v>1988</v>
      </c>
      <c r="E428" s="5" t="inlineStr">
        <is>
          <t>Govinda</t>
        </is>
      </c>
      <c r="F428" s="5" t="inlineStr">
        <is>
          <t>Amar</t>
        </is>
      </c>
      <c r="G428" s="5" t="inlineStr">
        <is>
          <t>Family</t>
        </is>
      </c>
      <c r="H428" s="5" t="inlineStr">
        <is>
          <t>Major</t>
        </is>
      </c>
      <c r="I428" s="5" t="inlineStr">
        <is>
          <t>Ram's younger brother, falsely suspected of an affair with his wife.</t>
        </is>
      </c>
      <c r="J428" s="5" t="inlineStr">
        <is>
          <t>The innocent half of the suspicion that wrecks the first pairing.</t>
        </is>
      </c>
      <c r="K428" s="19" t="inlineStr">
        <is>
          <t>The third Dhanraj son, in love with Asha and afraid to tell his mother, who confides in his sister-in-law instead and is repaid with a rumour he never earns.</t>
        </is>
      </c>
      <c r="L428" s="5" t="n"/>
      <c r="M428" s="5" t="inlineStr">
        <is>
          <t>SOURCE-061</t>
        </is>
      </c>
    </row>
    <row r="429" ht="49" customHeight="1">
      <c r="A429" s="15" t="inlineStr">
        <is>
          <t>CAST-428</t>
        </is>
      </c>
      <c r="B429" s="18" t="inlineStr">
        <is>
          <t>FILM-064</t>
        </is>
      </c>
      <c r="C429" s="5" t="inlineStr">
        <is>
          <t>Ghar Ghar Ki Kahani</t>
        </is>
      </c>
      <c r="D429" s="17" t="n">
        <v>1988</v>
      </c>
      <c r="E429" s="5" t="inlineStr">
        <is>
          <t>Aruna Irani</t>
        </is>
      </c>
      <c r="F429" s="5" t="inlineStr">
        <is>
          <t>Uma</t>
        </is>
      </c>
      <c r="G429" s="5" t="inlineStr">
        <is>
          <t>Antagonist</t>
        </is>
      </c>
      <c r="H429" s="5" t="inlineStr">
        <is>
          <t>Major</t>
        </is>
      </c>
      <c r="I429" s="5" t="inlineStr">
        <is>
          <t>Ram's sister, who plants the suspicion in him deliberately.</t>
        </is>
      </c>
      <c r="J429" s="5" t="inlineStr">
        <is>
          <t>The author of the mistrust that destroys the first pairing.</t>
        </is>
      </c>
      <c r="K429" s="19" t="inlineStr">
        <is>
          <t>The Dhanraj daughter, married to a poor man she refuses to live with, who overhears her brother and sister-in-law and instigates Ram against his wife by calling it an affair.</t>
        </is>
      </c>
      <c r="L429" s="5" t="n"/>
      <c r="M429" s="5" t="inlineStr">
        <is>
          <t>SOURCE-061</t>
        </is>
      </c>
    </row>
    <row r="430" ht="49" customHeight="1">
      <c r="A430" s="15" t="inlineStr">
        <is>
          <t>CAST-429</t>
        </is>
      </c>
      <c r="B430" s="18" t="inlineStr">
        <is>
          <t>FILM-064</t>
        </is>
      </c>
      <c r="C430" s="5" t="inlineStr">
        <is>
          <t>Ghar Ghar Ki Kahani</t>
        </is>
      </c>
      <c r="D430" s="17" t="n">
        <v>1988</v>
      </c>
      <c r="E430" s="5" t="inlineStr">
        <is>
          <t>Shashikala</t>
        </is>
      </c>
      <c r="F430" s="5" t="inlineStr">
        <is>
          <t>Mrs. Dhanraj</t>
        </is>
      </c>
      <c r="G430" s="5" t="inlineStr">
        <is>
          <t>Antagonist</t>
        </is>
      </c>
      <c r="H430" s="5" t="inlineStr">
        <is>
          <t>Major</t>
        </is>
      </c>
      <c r="I430" s="5" t="inlineStr">
        <is>
          <t>Ram's mother, and the household tyranny every secret in the film is kept from.</t>
        </is>
      </c>
      <c r="J430" s="5" t="inlineStr">
        <is>
          <t>The reason the younger brother's romance is concealed, and so the reason the confidences look suspicious.</t>
        </is>
      </c>
      <c r="K430" s="19" t="inlineStr">
        <is>
          <t>An extremely bad-tempered matriarch, frequently violent towards her daughters-in-law, whose temper makes concealment the household's habit.</t>
        </is>
      </c>
      <c r="L430" s="5" t="n"/>
      <c r="M430" s="5" t="inlineStr">
        <is>
          <t>SOURCE-061</t>
        </is>
      </c>
    </row>
    <row r="431" ht="49" customHeight="1">
      <c r="A431" s="15" t="inlineStr">
        <is>
          <t>CAST-430</t>
        </is>
      </c>
      <c r="B431" s="18" t="inlineStr">
        <is>
          <t>FILM-064</t>
        </is>
      </c>
      <c r="C431" s="5" t="inlineStr">
        <is>
          <t>Ghar Ghar Ki Kahani</t>
        </is>
      </c>
      <c r="D431" s="17" t="n">
        <v>1988</v>
      </c>
      <c r="E431" s="5" t="inlineStr">
        <is>
          <t>Kader Khan</t>
        </is>
      </c>
      <c r="F431" s="5" t="inlineStr">
        <is>
          <t>Dhanraj</t>
        </is>
      </c>
      <c r="G431" s="5" t="inlineStr">
        <is>
          <t>Family</t>
        </is>
      </c>
      <c r="H431" s="5" t="inlineStr">
        <is>
          <t>Major</t>
        </is>
      </c>
      <c r="I431" s="5" t="inlineStr">
        <is>
          <t>Ram's father, the head of the wealthy joint household.</t>
        </is>
      </c>
      <c r="J431" s="5" t="inlineStr">
        <is>
          <t>The family authority the marriages are held within.</t>
        </is>
      </c>
      <c r="K431" s="19" t="inlineStr">
        <is>
          <t>The wealthy head of the Dhanraj house, living with his children and their spouses, and the senior half of a couple whose temper his wife supplies.</t>
        </is>
      </c>
      <c r="L431" s="5" t="n"/>
      <c r="M431" s="5" t="inlineStr">
        <is>
          <t>SOURCE-061</t>
        </is>
      </c>
    </row>
    <row r="432" ht="49" customHeight="1">
      <c r="A432" s="15" t="inlineStr">
        <is>
          <t>CAST-431</t>
        </is>
      </c>
      <c r="B432" s="18" t="inlineStr">
        <is>
          <t>FILM-064</t>
        </is>
      </c>
      <c r="C432" s="5" t="inlineStr">
        <is>
          <t>Ghar Ghar Ki Kahani</t>
        </is>
      </c>
      <c r="D432" s="17" t="n">
        <v>1988</v>
      </c>
      <c r="E432" s="5" t="inlineStr">
        <is>
          <t>Farah</t>
        </is>
      </c>
      <c r="F432" s="5" t="inlineStr">
        <is>
          <t>Asha</t>
        </is>
      </c>
      <c r="G432" s="5" t="inlineStr">
        <is>
          <t>Supporting</t>
        </is>
      </c>
      <c r="H432" s="5" t="inlineStr">
        <is>
          <t>Medium</t>
        </is>
      </c>
      <c r="I432" s="5" t="inlineStr">
        <is>
          <t>The woman Ram's brother loves, and the object of the plan that looks like an affair.</t>
        </is>
      </c>
      <c r="J432" s="5" t="inlineStr">
        <is>
          <t>The romance whose secrecy is mistaken for adultery.</t>
        </is>
      </c>
      <c r="K432" s="19" t="inlineStr">
        <is>
          <t>A young woman badly treated by her own sister-in-law, loved by Amar, and the person the secret conversations are actually about.</t>
        </is>
      </c>
      <c r="L432" s="5" t="n"/>
      <c r="M432" s="5" t="inlineStr">
        <is>
          <t>SOURCE-061</t>
        </is>
      </c>
    </row>
    <row r="433" ht="34" customHeight="1">
      <c r="A433" s="15" t="inlineStr">
        <is>
          <t>CAST-432</t>
        </is>
      </c>
      <c r="B433" s="18" t="inlineStr">
        <is>
          <t>FILM-064</t>
        </is>
      </c>
      <c r="C433" s="5" t="inlineStr">
        <is>
          <t>Ghar Ghar Ki Kahani</t>
        </is>
      </c>
      <c r="D433" s="17" t="n">
        <v>1988</v>
      </c>
      <c r="E433" s="5" t="inlineStr">
        <is>
          <t>Padma Khanna</t>
        </is>
      </c>
      <c r="F433" s="5" t="inlineStr">
        <is>
          <t>Ganga</t>
        </is>
      </c>
      <c r="G433" s="5" t="inlineStr">
        <is>
          <t>Family</t>
        </is>
      </c>
      <c r="H433" s="5" t="inlineStr">
        <is>
          <t>Medium</t>
        </is>
      </c>
      <c r="I433" s="5" t="inlineStr">
        <is>
          <t>The widow of the eldest Dhanraj son, in the joint household.</t>
        </is>
      </c>
      <c r="J433" s="5" t="inlineStr">
        <is>
          <t>Part of the household the mistrust spreads through.</t>
        </is>
      </c>
      <c r="K433" s="19" t="inlineStr">
        <is>
          <t>The widowed daughter-in-law of the house, living there with her two children under her mother-in-law's temper.</t>
        </is>
      </c>
      <c r="L433" s="5" t="n"/>
      <c r="M433" s="5" t="inlineStr">
        <is>
          <t>SOURCE-061</t>
        </is>
      </c>
    </row>
    <row r="434" ht="49" customHeight="1">
      <c r="A434" s="15" t="inlineStr">
        <is>
          <t>CAST-433</t>
        </is>
      </c>
      <c r="B434" s="18" t="inlineStr">
        <is>
          <t>FILM-064</t>
        </is>
      </c>
      <c r="C434" s="5" t="inlineStr">
        <is>
          <t>Ghar Ghar Ki Kahani</t>
        </is>
      </c>
      <c r="D434" s="17" t="n">
        <v>1988</v>
      </c>
      <c r="E434" s="5" t="inlineStr">
        <is>
          <t>Ashok Saraf</t>
        </is>
      </c>
      <c r="F434" s="5" t="inlineStr">
        <is>
          <t>Lallu Lal</t>
        </is>
      </c>
      <c r="G434" s="5" t="inlineStr">
        <is>
          <t>Comic support</t>
        </is>
      </c>
      <c r="H434" s="5" t="inlineStr">
        <is>
          <t>Medium</t>
        </is>
      </c>
      <c r="I434" s="5" t="inlineStr">
        <is>
          <t>The brother-in-law living in the house on his wife's terms.</t>
        </is>
      </c>
      <c r="J434" s="5" t="inlineStr">
        <is>
          <t>The comic register of the film's marriages, and husband to its chief mischief-maker.</t>
        </is>
      </c>
      <c r="K434" s="19" t="inlineStr">
        <is>
          <t>Uma's poor husband, who has become a ghar jamai because his wife refuses to live with him, in the comic counterpart to the film's serious marriage.</t>
        </is>
      </c>
      <c r="L434" s="5" t="n"/>
      <c r="M434" s="5" t="inlineStr">
        <is>
          <t>SOURCE-061</t>
        </is>
      </c>
    </row>
    <row r="435" ht="64" customHeight="1">
      <c r="A435" s="15" t="inlineStr">
        <is>
          <t>CAST-434</t>
        </is>
      </c>
      <c r="B435" s="18" t="inlineStr">
        <is>
          <t>FILM-065</t>
        </is>
      </c>
      <c r="C435" s="5" t="inlineStr">
        <is>
          <t>Vijay</t>
        </is>
      </c>
      <c r="D435" s="17" t="n">
        <v>1988</v>
      </c>
      <c r="E435" s="5" t="inlineStr">
        <is>
          <t>Rajesh Khanna</t>
        </is>
      </c>
      <c r="F435" s="5" t="inlineStr">
        <is>
          <t>Ajit Bharadwaj</t>
        </is>
      </c>
      <c r="G435" s="5" t="inlineStr">
        <is>
          <t>Family</t>
        </is>
      </c>
      <c r="H435" s="5" t="inlineStr">
        <is>
          <t>Major</t>
        </is>
      </c>
      <c r="I435" s="5" t="inlineStr">
        <is>
          <t>Kapoor's father, left alone when his wife returned to her own father's house with the boy.</t>
        </is>
      </c>
      <c r="J435" s="5" t="inlineStr">
        <is>
          <t>The love marriage the whole plot is the consequence of.</t>
        </is>
      </c>
      <c r="K435" s="19" t="inlineStr">
        <is>
          <t>A lowly employee whose marriage to a rich man's daughter is refused and made anyway, and who is abandoned and devastated when his guilt-ridden wife moves back to her father with their son.</t>
        </is>
      </c>
      <c r="L435" s="5" t="n"/>
      <c r="M435" s="5" t="inlineStr">
        <is>
          <t>SOURCE-062</t>
        </is>
      </c>
    </row>
    <row r="436" ht="49" customHeight="1">
      <c r="A436" s="15" t="inlineStr">
        <is>
          <t>CAST-435</t>
        </is>
      </c>
      <c r="B436" s="18" t="inlineStr">
        <is>
          <t>FILM-065</t>
        </is>
      </c>
      <c r="C436" s="5" t="inlineStr">
        <is>
          <t>Vijay</t>
        </is>
      </c>
      <c r="D436" s="17" t="n">
        <v>1988</v>
      </c>
      <c r="E436" s="5" t="inlineStr">
        <is>
          <t>Hema Malini</t>
        </is>
      </c>
      <c r="F436" s="5" t="inlineStr">
        <is>
          <t>Suman Bharadwaj</t>
        </is>
      </c>
      <c r="G436" s="5" t="inlineStr">
        <is>
          <t>Family</t>
        </is>
      </c>
      <c r="H436" s="5" t="inlineStr">
        <is>
          <t>Major</t>
        </is>
      </c>
      <c r="I436" s="5" t="inlineStr">
        <is>
          <t>Kapoor's mother, who raises him inside the house of the man who destroyed her marriage.</t>
        </is>
      </c>
      <c r="J436" s="5" t="inlineStr">
        <is>
          <t>The first of the film's two defied marriages.</t>
        </is>
      </c>
      <c r="K436" s="19" t="inlineStr">
        <is>
          <t>Yodhraj's daughter, who marries a poor employee against his will, and after her brother's death in a plane crash returns to her father's palatial house with her son.</t>
        </is>
      </c>
      <c r="L436" s="5" t="n"/>
      <c r="M436" s="5" t="inlineStr">
        <is>
          <t>SOURCE-062</t>
        </is>
      </c>
    </row>
    <row r="437" ht="49" customHeight="1">
      <c r="A437" s="15" t="inlineStr">
        <is>
          <t>CAST-436</t>
        </is>
      </c>
      <c r="B437" s="18" t="inlineStr">
        <is>
          <t>FILM-065</t>
        </is>
      </c>
      <c r="C437" s="5" t="inlineStr">
        <is>
          <t>Vijay</t>
        </is>
      </c>
      <c r="D437" s="17" t="n">
        <v>1988</v>
      </c>
      <c r="E437" s="5" t="inlineStr">
        <is>
          <t>Anil Kapoor</t>
        </is>
      </c>
      <c r="F437" s="5" t="inlineStr">
        <is>
          <t>Arjun Bhalla</t>
        </is>
      </c>
      <c r="G437" s="5" t="inlineStr">
        <is>
          <t>Co-lead</t>
        </is>
      </c>
      <c r="H437" s="5" t="inlineStr">
        <is>
          <t>Major</t>
        </is>
      </c>
      <c r="I437" s="5" t="inlineStr">
        <is>
          <t>The friend Kapoor's character makes without knowing he is his cousin, and is turned into an enemy of.</t>
        </is>
      </c>
      <c r="J437" s="5" t="inlineStr">
        <is>
          <t>The parallel claim in the younger generation, and the rift that extends to the two couples.</t>
        </is>
      </c>
      <c r="K437" s="19" t="inlineStr">
        <is>
          <t>The son born to Rita after Shashiraj's death and her pay-off, raised in poverty, who befriends his own cousin and is set against him when the grandfather's old cruelties come out.</t>
        </is>
      </c>
      <c r="L437" s="5" t="n"/>
      <c r="M437" s="5" t="inlineStr">
        <is>
          <t>SOURCE-062</t>
        </is>
      </c>
    </row>
    <row r="438" ht="64" customHeight="1">
      <c r="A438" s="15" t="inlineStr">
        <is>
          <t>CAST-437</t>
        </is>
      </c>
      <c r="B438" s="18" t="inlineStr">
        <is>
          <t>FILM-065</t>
        </is>
      </c>
      <c r="C438" s="5" t="inlineStr">
        <is>
          <t>Vijay</t>
        </is>
      </c>
      <c r="D438" s="17" t="n">
        <v>1988</v>
      </c>
      <c r="E438" s="5" t="inlineStr">
        <is>
          <t>Anupam Kher</t>
        </is>
      </c>
      <c r="F438" s="5" t="inlineStr">
        <is>
          <t>Yodhraj Bhalla</t>
        </is>
      </c>
      <c r="G438" s="5" t="inlineStr">
        <is>
          <t>Antagonist</t>
        </is>
      </c>
      <c r="H438" s="5" t="inlineStr">
        <is>
          <t>Major</t>
        </is>
      </c>
      <c r="I438" s="5" t="inlineStr">
        <is>
          <t>Kapoor's grandfather, in whose house he is raised, and the author of both families' destruction.</t>
        </is>
      </c>
      <c r="J438" s="5" t="inlineStr">
        <is>
          <t>The external power that refused both of his children's marriages.</t>
        </is>
      </c>
      <c r="K438" s="19" t="inlineStr">
        <is>
          <t>A widowed, money-proud patriarch who refuses his daughter's match with a poor employee, sends his son away by air and pays off his pregnant lover, and keeps his grandson in the house his cruelties built.</t>
        </is>
      </c>
      <c r="L438" s="5" t="n"/>
      <c r="M438" s="5" t="inlineStr">
        <is>
          <t>SOURCE-062</t>
        </is>
      </c>
    </row>
    <row r="439" ht="79" customHeight="1">
      <c r="A439" s="15" t="inlineStr">
        <is>
          <t>CAST-438</t>
        </is>
      </c>
      <c r="B439" s="18" t="inlineStr">
        <is>
          <t>FILM-065</t>
        </is>
      </c>
      <c r="C439" s="5" t="inlineStr">
        <is>
          <t>Vijay</t>
        </is>
      </c>
      <c r="D439" s="17" t="n">
        <v>1988</v>
      </c>
      <c r="E439" s="5" t="inlineStr">
        <is>
          <t>Meenakshi Seshadri</t>
        </is>
      </c>
      <c r="F439" s="5" t="inlineStr">
        <is>
          <t>Sapna</t>
        </is>
      </c>
      <c r="G439" s="5" t="inlineStr">
        <is>
          <t>Co-lead</t>
        </is>
      </c>
      <c r="H439" s="5" t="inlineStr">
        <is>
          <t>Major</t>
        </is>
      </c>
      <c r="I439" s="5" t="inlineStr">
        <is>
          <t>Credited as the film's senior heroine; the article's summary does not say which of the two young men she belongs to.</t>
        </is>
      </c>
      <c r="J439" s="5" t="inlineStr">
        <is>
          <t>The filmography records only a secondary romance for Kapoor here, and the summary does not match either heroine to either man, which is why there is no Romances row.</t>
        </is>
      </c>
      <c r="K439" s="19" t="inlineStr">
        <is>
          <t>Credited as Sapna, the first of the film's two heroines, in a plot whose summary follows the grandfather's crimes rather than the couples.</t>
        </is>
      </c>
      <c r="L439" s="5" t="n"/>
      <c r="M439" s="5" t="inlineStr">
        <is>
          <t>SOURCE-062</t>
        </is>
      </c>
    </row>
    <row r="440" ht="49" customHeight="1">
      <c r="A440" s="15" t="inlineStr">
        <is>
          <t>CAST-439</t>
        </is>
      </c>
      <c r="B440" s="18" t="inlineStr">
        <is>
          <t>FILM-065</t>
        </is>
      </c>
      <c r="C440" s="5" t="inlineStr">
        <is>
          <t>Vijay</t>
        </is>
      </c>
      <c r="D440" s="17" t="n">
        <v>1988</v>
      </c>
      <c r="E440" s="5" t="inlineStr">
        <is>
          <t>Sonam</t>
        </is>
      </c>
      <c r="F440" s="5" t="inlineStr">
        <is>
          <t>Nisha Mehra</t>
        </is>
      </c>
      <c r="G440" s="5" t="inlineStr">
        <is>
          <t>Supporting</t>
        </is>
      </c>
      <c r="H440" s="5" t="inlineStr">
        <is>
          <t>Medium</t>
        </is>
      </c>
      <c r="I440" s="5" t="inlineStr">
        <is>
          <t>Credited as the second heroine, with parents of her own in the cast list.</t>
        </is>
      </c>
      <c r="J440" s="5" t="inlineStr">
        <is>
          <t>One of the two girlfriends the article says the young men's rift extends to, without saying whose.</t>
        </is>
      </c>
      <c r="K440" s="19" t="inlineStr">
        <is>
          <t>Credited as Nisha Mehra, daughter of Parikshit Sahni's Mr. Mehra, in the younger generation's half of the plot.</t>
        </is>
      </c>
      <c r="L440" s="5" t="n"/>
      <c r="M440" s="5" t="inlineStr">
        <is>
          <t>SOURCE-062</t>
        </is>
      </c>
    </row>
    <row r="441" ht="49" customHeight="1">
      <c r="A441" s="15" t="inlineStr">
        <is>
          <t>CAST-440</t>
        </is>
      </c>
      <c r="B441" s="18" t="inlineStr">
        <is>
          <t>FILM-065</t>
        </is>
      </c>
      <c r="C441" s="5" t="inlineStr">
        <is>
          <t>Vijay</t>
        </is>
      </c>
      <c r="D441" s="17" t="n">
        <v>1988</v>
      </c>
      <c r="E441" s="5" t="inlineStr">
        <is>
          <t>Raj Babbar</t>
        </is>
      </c>
      <c r="F441" s="5" t="inlineStr">
        <is>
          <t>Shashiraj Bhalla</t>
        </is>
      </c>
      <c r="G441" s="5" t="inlineStr">
        <is>
          <t>Family</t>
        </is>
      </c>
      <c r="H441" s="5" t="inlineStr">
        <is>
          <t>Medium</t>
        </is>
      </c>
      <c r="I441" s="5" t="inlineStr">
        <is>
          <t>Kapoor's uncle, killed before the main action.</t>
        </is>
      </c>
      <c r="J441" s="5" t="inlineStr">
        <is>
          <t>The second defied marriage, ended by his death and his father's cheque.</t>
        </is>
      </c>
      <c r="K441" s="19" t="inlineStr">
        <is>
          <t>In a special appearance as Yodhraj's son, who tells his father he wants to marry the poor Rita and is killed when the private plane he is sent away in crashes.</t>
        </is>
      </c>
      <c r="L441" s="5" t="n"/>
      <c r="M441" s="5" t="inlineStr">
        <is>
          <t>SOURCE-062</t>
        </is>
      </c>
    </row>
    <row r="442" ht="64" customHeight="1">
      <c r="A442" s="15" t="inlineStr">
        <is>
          <t>CAST-441</t>
        </is>
      </c>
      <c r="B442" s="18" t="inlineStr">
        <is>
          <t>FILM-065</t>
        </is>
      </c>
      <c r="C442" s="5" t="inlineStr">
        <is>
          <t>Vijay</t>
        </is>
      </c>
      <c r="D442" s="17" t="n">
        <v>1988</v>
      </c>
      <c r="E442" s="5" t="inlineStr">
        <is>
          <t>Moushumi Chatterjee</t>
        </is>
      </c>
      <c r="F442" s="5" t="inlineStr">
        <is>
          <t>Rita Bhalla</t>
        </is>
      </c>
      <c r="G442" s="5" t="inlineStr">
        <is>
          <t>Family</t>
        </is>
      </c>
      <c r="H442" s="5" t="inlineStr">
        <is>
          <t>Medium</t>
        </is>
      </c>
      <c r="I442" s="5" t="inlineStr">
        <is>
          <t>The mother of the cousin Kapoor's character befriends and then fights.</t>
        </is>
      </c>
      <c r="J442" s="5" t="inlineStr">
        <is>
          <t>The woman paid to disappear from the second marriage.</t>
        </is>
      </c>
      <c r="K442" s="19" t="inlineStr">
        <is>
          <t>In a special appearance as the poor woman Shashiraj wants to marry, visited while pregnant by his father with a blank cheque and an instruction never to see him again, and left to raise Arjun alone.</t>
        </is>
      </c>
      <c r="L442" s="5" t="n"/>
      <c r="M442" s="5" t="inlineStr">
        <is>
          <t>SOURCE-062</t>
        </is>
      </c>
    </row>
    <row r="443" ht="34" customHeight="1">
      <c r="A443" s="15" t="inlineStr">
        <is>
          <t>CAST-442</t>
        </is>
      </c>
      <c r="B443" s="18" t="inlineStr">
        <is>
          <t>FILM-065</t>
        </is>
      </c>
      <c r="C443" s="5" t="inlineStr">
        <is>
          <t>Vijay</t>
        </is>
      </c>
      <c r="D443" s="17" t="n">
        <v>1988</v>
      </c>
      <c r="E443" s="5" t="inlineStr">
        <is>
          <t>Neil Nitin Mukesh</t>
        </is>
      </c>
      <c r="F443" s="5" t="inlineStr">
        <is>
          <t>Young Vikram Bhardwaj</t>
        </is>
      </c>
      <c r="G443" s="5" t="inlineStr">
        <is>
          <t>Cameo</t>
        </is>
      </c>
      <c r="H443" s="5" t="inlineStr">
        <is>
          <t>Minor</t>
        </is>
      </c>
      <c r="I443" s="5" t="inlineStr">
        <is>
          <t>Plays the childhood of Kapoor's own character.</t>
        </is>
      </c>
      <c r="J443" s="5" t="inlineStr">
        <is>
          <t>No part in the romances.</t>
        </is>
      </c>
      <c r="K443" s="19" t="inlineStr">
        <is>
          <t>Credited as the young Vikram, an early child appearance two decades before his own career as a lead.</t>
        </is>
      </c>
      <c r="L443" s="5" t="n"/>
      <c r="M443" s="5" t="inlineStr">
        <is>
          <t>SOURCE-062</t>
        </is>
      </c>
    </row>
    <row r="444" ht="64" customHeight="1">
      <c r="A444" s="15" t="inlineStr">
        <is>
          <t>CAST-443</t>
        </is>
      </c>
      <c r="B444" s="18" t="inlineStr">
        <is>
          <t>FILM-066</t>
        </is>
      </c>
      <c r="C444" s="5" t="inlineStr">
        <is>
          <t>Akarshan</t>
        </is>
      </c>
      <c r="D444" s="17" t="n">
        <v>1988</v>
      </c>
      <c r="E444" s="5" t="inlineStr">
        <is>
          <t>Sonu Walia</t>
        </is>
      </c>
      <c r="F444" s="5" t="inlineStr">
        <is>
          <t>Priya</t>
        </is>
      </c>
      <c r="G444" s="5" t="inlineStr">
        <is>
          <t>Co-lead</t>
        </is>
      </c>
      <c r="H444" s="5" t="inlineStr">
        <is>
          <t>Major</t>
        </is>
      </c>
      <c r="I444" s="5" t="inlineStr">
        <is>
          <t>The film's protagonist; Kapoor appears as himself with no part in the story.</t>
        </is>
      </c>
      <c r="J444" s="5" t="inlineStr">
        <is>
          <t>Holds the film's romance, from the stunt rescue to her husband's paralysis.</t>
        </is>
      </c>
      <c r="K444" s="19" t="inlineStr">
        <is>
          <t>An ambitious young actress saved by her co-star during a dangerous stunt, who defies her sister to be with him, attempts suicide during the search for him, marries him, and becomes his carer after an accident paralyses him.</t>
        </is>
      </c>
      <c r="L444" s="5" t="n"/>
      <c r="M444" s="5" t="inlineStr">
        <is>
          <t>SOURCE-063</t>
        </is>
      </c>
    </row>
    <row r="445" ht="49" customHeight="1">
      <c r="A445" s="15" t="inlineStr">
        <is>
          <t>CAST-444</t>
        </is>
      </c>
      <c r="B445" s="18" t="inlineStr">
        <is>
          <t>FILM-066</t>
        </is>
      </c>
      <c r="C445" s="5" t="inlineStr">
        <is>
          <t>Akarshan</t>
        </is>
      </c>
      <c r="D445" s="17" t="n">
        <v>1988</v>
      </c>
      <c r="E445" s="5" t="inlineStr">
        <is>
          <t>Akbar Khan</t>
        </is>
      </c>
      <c r="F445" s="5" t="inlineStr">
        <is>
          <t>Abhishek</t>
        </is>
      </c>
      <c r="G445" s="5" t="inlineStr">
        <is>
          <t>Co-lead</t>
        </is>
      </c>
      <c r="H445" s="5" t="inlineStr">
        <is>
          <t>Major</t>
        </is>
      </c>
      <c r="I445" s="5" t="inlineStr">
        <is>
          <t>The male lead of the film Kapoor passes through as himself.</t>
        </is>
      </c>
      <c r="J445" s="5" t="inlineStr">
        <is>
          <t>The other half of the central romance.</t>
        </is>
      </c>
      <c r="K445" s="19" t="inlineStr">
        <is>
          <t>A film actor who saves his co-star's life during a high-risk stunt, marries her against her family's resistance, and is left paralysed by an accident.</t>
        </is>
      </c>
      <c r="L445" s="5" t="n"/>
      <c r="M445" s="5" t="inlineStr">
        <is>
          <t>SOURCE-063</t>
        </is>
      </c>
    </row>
    <row r="446" ht="49" customHeight="1">
      <c r="A446" s="15" t="inlineStr">
        <is>
          <t>CAST-445</t>
        </is>
      </c>
      <c r="B446" s="18" t="inlineStr">
        <is>
          <t>FILM-066</t>
        </is>
      </c>
      <c r="C446" s="5" t="inlineStr">
        <is>
          <t>Akarshan</t>
        </is>
      </c>
      <c r="D446" s="17" t="n">
        <v>1988</v>
      </c>
      <c r="E446" s="5" t="inlineStr">
        <is>
          <t>Rohini Hattangadi</t>
        </is>
      </c>
      <c r="F446" s="5" t="inlineStr">
        <is>
          <t>Didi</t>
        </is>
      </c>
      <c r="G446" s="5" t="inlineStr">
        <is>
          <t>Family</t>
        </is>
      </c>
      <c r="H446" s="5" t="inlineStr">
        <is>
          <t>Major</t>
        </is>
      </c>
      <c r="I446" s="5" t="inlineStr">
        <is>
          <t>The protagonist's protective elder sister and her chief opposition.</t>
        </is>
      </c>
      <c r="J446" s="5" t="inlineStr">
        <is>
          <t>The whole of the external opposition, which she withdraws before the wedding.</t>
        </is>
      </c>
      <c r="K446" s="19" t="inlineStr">
        <is>
          <t>Priya's elder sister, who vehemently disapproves of the romance and is defied and run from, and who finally accepts the couple and allows the marriage.</t>
        </is>
      </c>
      <c r="L446" s="5" t="n"/>
      <c r="M446" s="5" t="inlineStr">
        <is>
          <t>SOURCE-063</t>
        </is>
      </c>
    </row>
    <row r="447" ht="34" customHeight="1">
      <c r="A447" s="15" t="inlineStr">
        <is>
          <t>CAST-446</t>
        </is>
      </c>
      <c r="B447" s="18" t="inlineStr">
        <is>
          <t>FILM-066</t>
        </is>
      </c>
      <c r="C447" s="5" t="inlineStr">
        <is>
          <t>Akarshan</t>
        </is>
      </c>
      <c r="D447" s="17" t="n">
        <v>1988</v>
      </c>
      <c r="E447" s="5" t="inlineStr">
        <is>
          <t>Girish Karnad</t>
        </is>
      </c>
      <c r="F447" s="5" t="inlineStr">
        <is>
          <t>Director Anand</t>
        </is>
      </c>
      <c r="G447" s="5" t="inlineStr">
        <is>
          <t>Authority figure</t>
        </is>
      </c>
      <c r="H447" s="5" t="inlineStr">
        <is>
          <t>Medium</t>
        </is>
      </c>
      <c r="I447" s="5" t="inlineStr">
        <is>
          <t>The director inside the film-industry setting the story is told in.</t>
        </is>
      </c>
      <c r="J447" s="5" t="inlineStr">
        <is>
          <t>The professional world in which the romance begins.</t>
        </is>
      </c>
      <c r="K447" s="19" t="inlineStr">
        <is>
          <t>Credited as the director Anand, the authority on the film set where the stunt rescue takes place.</t>
        </is>
      </c>
      <c r="L447" s="5" t="n"/>
      <c r="M447" s="5" t="inlineStr">
        <is>
          <t>SOURCE-063</t>
        </is>
      </c>
    </row>
    <row r="448" ht="34" customHeight="1">
      <c r="A448" s="15" t="inlineStr">
        <is>
          <t>CAST-447</t>
        </is>
      </c>
      <c r="B448" s="18" t="inlineStr">
        <is>
          <t>FILM-066</t>
        </is>
      </c>
      <c r="C448" s="5" t="inlineStr">
        <is>
          <t>Akarshan</t>
        </is>
      </c>
      <c r="D448" s="17" t="n">
        <v>1988</v>
      </c>
      <c r="E448" s="5" t="inlineStr">
        <is>
          <t>Smita Patil</t>
        </is>
      </c>
      <c r="F448" s="5" t="inlineStr">
        <is>
          <t>Herself</t>
        </is>
      </c>
      <c r="G448" s="5" t="inlineStr">
        <is>
          <t>Self appearance</t>
        </is>
      </c>
      <c r="H448" s="5" t="inlineStr">
        <is>
          <t>Minor</t>
        </is>
      </c>
      <c r="I448" s="5" t="inlineStr">
        <is>
          <t>A star special appearance in the same row as Kapoor's.</t>
        </is>
      </c>
      <c r="J448" s="5" t="inlineStr">
        <is>
          <t>No part in the story.</t>
        </is>
      </c>
      <c r="K448" s="19" t="inlineStr">
        <is>
          <t>Credited in a special appearance; the film's 1988 release makes it posthumous, the actress having died in December 1986.</t>
        </is>
      </c>
      <c r="L448" s="5" t="n"/>
      <c r="M448" s="5" t="inlineStr">
        <is>
          <t>SOURCE-063</t>
        </is>
      </c>
    </row>
    <row r="449" ht="49" customHeight="1">
      <c r="A449" s="15" t="inlineStr">
        <is>
          <t>CAST-448</t>
        </is>
      </c>
      <c r="B449" s="18" t="inlineStr">
        <is>
          <t>FILM-066</t>
        </is>
      </c>
      <c r="C449" s="5" t="inlineStr">
        <is>
          <t>Akarshan</t>
        </is>
      </c>
      <c r="D449" s="17" t="n">
        <v>1988</v>
      </c>
      <c r="E449" s="5" t="inlineStr">
        <is>
          <t>Amitabh Bachchan</t>
        </is>
      </c>
      <c r="F449" s="5" t="inlineStr">
        <is>
          <t>Himself</t>
        </is>
      </c>
      <c r="G449" s="5" t="inlineStr">
        <is>
          <t>Self appearance</t>
        </is>
      </c>
      <c r="H449" s="5" t="inlineStr">
        <is>
          <t>Minor</t>
        </is>
      </c>
      <c r="I449" s="5" t="inlineStr">
        <is>
          <t>A star self-appearance beside Kapoor's.</t>
        </is>
      </c>
      <c r="J449" s="5" t="inlineStr">
        <is>
          <t>No part in the story.</t>
        </is>
      </c>
      <c r="K449" s="19" t="inlineStr">
        <is>
          <t>Credited among the long row of stars appearing as themselves, which also includes Rekha, Anil Kapoor, Anupam Kher and Feroz Khan.</t>
        </is>
      </c>
      <c r="L449" s="5" t="n"/>
      <c r="M449" s="5" t="inlineStr">
        <is>
          <t>SOURCE-063</t>
        </is>
      </c>
    </row>
    <row r="450" ht="34" customHeight="1">
      <c r="A450" s="15" t="inlineStr">
        <is>
          <t>CAST-449</t>
        </is>
      </c>
      <c r="B450" s="18" t="inlineStr">
        <is>
          <t>FILM-066</t>
        </is>
      </c>
      <c r="C450" s="5" t="inlineStr">
        <is>
          <t>Akarshan</t>
        </is>
      </c>
      <c r="D450" s="17" t="n">
        <v>1988</v>
      </c>
      <c r="E450" s="5" t="inlineStr">
        <is>
          <t>Hrithik Roshan</t>
        </is>
      </c>
      <c r="F450" s="5" t="inlineStr">
        <is>
          <t>Himself</t>
        </is>
      </c>
      <c r="G450" s="5" t="inlineStr">
        <is>
          <t>Self appearance</t>
        </is>
      </c>
      <c r="H450" s="5" t="inlineStr">
        <is>
          <t>Minor</t>
        </is>
      </c>
      <c r="I450" s="5" t="inlineStr">
        <is>
          <t>A child appearance in the film's star gallery, beside Kapoor's.</t>
        </is>
      </c>
      <c r="J450" s="5" t="inlineStr">
        <is>
          <t>No part in the story.</t>
        </is>
      </c>
      <c r="K450" s="19" t="inlineStr">
        <is>
          <t>Credited among the film's star appearances as a teenager, a decade before his own debut as a lead.</t>
        </is>
      </c>
      <c r="L450" s="5" t="n"/>
      <c r="M450" s="5" t="inlineStr">
        <is>
          <t>SOURCE-063</t>
        </is>
      </c>
    </row>
    <row r="451" ht="64" customHeight="1">
      <c r="A451" s="15" t="inlineStr">
        <is>
          <t>CAST-450</t>
        </is>
      </c>
      <c r="B451" s="18" t="inlineStr">
        <is>
          <t>FILM-068</t>
        </is>
      </c>
      <c r="C451" s="5" t="inlineStr">
        <is>
          <t>Gharana</t>
        </is>
      </c>
      <c r="D451" s="17" t="n">
        <v>1989</v>
      </c>
      <c r="E451" s="5" t="inlineStr">
        <is>
          <t>Meenakshi Seshadri</t>
        </is>
      </c>
      <c r="F451" s="5" t="inlineStr">
        <is>
          <t>Radha</t>
        </is>
      </c>
      <c r="G451" s="5" t="inlineStr">
        <is>
          <t>Co-lead</t>
        </is>
      </c>
      <c r="H451" s="5" t="inlineStr">
        <is>
          <t>Major</t>
        </is>
      </c>
      <c r="I451" s="5" t="inlineStr">
        <is>
          <t>Vijay's colleague and the woman he loves, abandoned without explanation so that he can raise his sister's dowry.</t>
        </is>
      </c>
      <c r="J451" s="5" t="inlineStr">
        <is>
          <t>The first pairing in Romances, broken by him and restored by his second wife's dying wish.</t>
        </is>
      </c>
      <c r="K451" s="19" t="inlineStr">
        <is>
          <t>A news-reporter who falls in love with her colleague and secures both families' blessings, is dropped without a word when he marries his boss's daughter for seven lakhs, and is asked by that wife, as she dies, to marry him.</t>
        </is>
      </c>
      <c r="L451" s="5" t="n"/>
      <c r="M451" s="5" t="inlineStr">
        <is>
          <t>SOURCE-069</t>
        </is>
      </c>
    </row>
    <row r="452" ht="49" customHeight="1">
      <c r="A452" s="15" t="inlineStr">
        <is>
          <t>CAST-451</t>
        </is>
      </c>
      <c r="B452" s="18" t="inlineStr">
        <is>
          <t>FILM-068</t>
        </is>
      </c>
      <c r="C452" s="5" t="inlineStr">
        <is>
          <t>Gharana</t>
        </is>
      </c>
      <c r="D452" s="17" t="n">
        <v>1989</v>
      </c>
      <c r="E452" s="5" t="inlineStr">
        <is>
          <t>Jaya Prada</t>
        </is>
      </c>
      <c r="F452" s="5" t="inlineStr">
        <is>
          <t>Naina</t>
        </is>
      </c>
      <c r="G452" s="5" t="inlineStr">
        <is>
          <t>Co-lead</t>
        </is>
      </c>
      <c r="H452" s="5" t="inlineStr">
        <is>
          <t>Major</t>
        </is>
      </c>
      <c r="I452" s="5" t="inlineStr">
        <is>
          <t>The boss's daughter he marries for the exact sum of his sister's dowry.</t>
        </is>
      </c>
      <c r="J452" s="5" t="inlineStr">
        <is>
          <t>The second pairing in Romances, a transaction that she resolves generously at her death.</t>
        </is>
      </c>
      <c r="K452" s="19" t="inlineStr">
        <is>
          <t>Shraddha's only daughter, married by a man who has sold himself for seven lakh rupees, killed by Dharamdas's goon, and asking Radha and Vijay to marry before she dies.</t>
        </is>
      </c>
      <c r="L452" s="5" t="n"/>
      <c r="M452" s="5" t="inlineStr">
        <is>
          <t>SOURCE-069</t>
        </is>
      </c>
    </row>
    <row r="453" ht="49" customHeight="1">
      <c r="A453" s="15" t="inlineStr">
        <is>
          <t>CAST-452</t>
        </is>
      </c>
      <c r="B453" s="18" t="inlineStr">
        <is>
          <t>FILM-068</t>
        </is>
      </c>
      <c r="C453" s="5" t="inlineStr">
        <is>
          <t>Gharana</t>
        </is>
      </c>
      <c r="D453" s="17" t="n">
        <v>1989</v>
      </c>
      <c r="E453" s="5" t="inlineStr">
        <is>
          <t>Govinda</t>
        </is>
      </c>
      <c r="F453" s="5" t="inlineStr">
        <is>
          <t>Ravi Mehra</t>
        </is>
      </c>
      <c r="G453" s="5" t="inlineStr">
        <is>
          <t>Family</t>
        </is>
      </c>
      <c r="H453" s="5" t="inlineStr">
        <is>
          <t>Major</t>
        </is>
      </c>
      <c r="I453" s="5" t="inlineStr">
        <is>
          <t>Vijay's younger brother, kept in his studies while Vijay earns.</t>
        </is>
      </c>
      <c r="J453" s="5" t="inlineStr">
        <is>
          <t>The second claim on the family's money, beside the sister's dowry.</t>
        </is>
      </c>
      <c r="K453" s="19" t="inlineStr">
        <is>
          <t>The younger Mehra son, continuing his studies after the family's ruin, and with a romantic attachment of his own in the film's parallel thread.</t>
        </is>
      </c>
      <c r="L453" s="5" t="n"/>
      <c r="M453" s="5" t="inlineStr">
        <is>
          <t>SOURCE-069</t>
        </is>
      </c>
    </row>
    <row r="454" ht="49" customHeight="1">
      <c r="A454" s="15" t="inlineStr">
        <is>
          <t>CAST-453</t>
        </is>
      </c>
      <c r="B454" s="18" t="inlineStr">
        <is>
          <t>FILM-068</t>
        </is>
      </c>
      <c r="C454" s="5" t="inlineStr">
        <is>
          <t>Gharana</t>
        </is>
      </c>
      <c r="D454" s="17" t="n">
        <v>1989</v>
      </c>
      <c r="E454" s="5" t="inlineStr">
        <is>
          <t>Shreeram Lagoo</t>
        </is>
      </c>
      <c r="F454" s="5" t="inlineStr">
        <is>
          <t>Prem Mehra</t>
        </is>
      </c>
      <c r="G454" s="5" t="inlineStr">
        <is>
          <t>Family</t>
        </is>
      </c>
      <c r="H454" s="5" t="inlineStr">
        <is>
          <t>Major</t>
        </is>
      </c>
      <c r="I454" s="5" t="inlineStr">
        <is>
          <t>Vijay's father, framed for theft, ruined and then paralysed.</t>
        </is>
      </c>
      <c r="J454" s="5" t="inlineStr">
        <is>
          <t>The collapse that makes Vijay's marriage a transaction.</t>
        </is>
      </c>
      <c r="K454" s="19" t="inlineStr">
        <is>
          <t>A wealthy and generous man framed for the theft of his own diamonds by an enemy and his own accountant, stripped of his wealth and estate, and left paralysed by a stroke.</t>
        </is>
      </c>
      <c r="L454" s="5" t="n"/>
      <c r="M454" s="5" t="inlineStr">
        <is>
          <t>SOURCE-069</t>
        </is>
      </c>
    </row>
    <row r="455" ht="49" customHeight="1">
      <c r="A455" s="15" t="inlineStr">
        <is>
          <t>CAST-454</t>
        </is>
      </c>
      <c r="B455" s="18" t="inlineStr">
        <is>
          <t>FILM-068</t>
        </is>
      </c>
      <c r="C455" s="5" t="inlineStr">
        <is>
          <t>Gharana</t>
        </is>
      </c>
      <c r="D455" s="17" t="n">
        <v>1989</v>
      </c>
      <c r="E455" s="5" t="inlineStr">
        <is>
          <t>Tanuja</t>
        </is>
      </c>
      <c r="F455" s="5" t="inlineStr">
        <is>
          <t>Laxmi Mehra</t>
        </is>
      </c>
      <c r="G455" s="5" t="inlineStr">
        <is>
          <t>Family</t>
        </is>
      </c>
      <c r="H455" s="5" t="inlineStr">
        <is>
          <t>Major</t>
        </is>
      </c>
      <c r="I455" s="5" t="inlineStr">
        <is>
          <t>Vijay's mother, who believes with the rest of the family that he married for money.</t>
        </is>
      </c>
      <c r="J455" s="5" t="inlineStr">
        <is>
          <t>Part of the family whose judgement he accepts rather than explain himself.</t>
        </is>
      </c>
      <c r="K455" s="19" t="inlineStr">
        <is>
          <t>The Mehra mother, relocated to a servant's house after the family's ruin, and left believing her son has sold himself for wealth.</t>
        </is>
      </c>
      <c r="L455" s="5" t="n"/>
      <c r="M455" s="5" t="inlineStr">
        <is>
          <t>SOURCE-069</t>
        </is>
      </c>
    </row>
    <row r="456" ht="49" customHeight="1">
      <c r="A456" s="15" t="inlineStr">
        <is>
          <t>CAST-455</t>
        </is>
      </c>
      <c r="B456" s="18" t="inlineStr">
        <is>
          <t>FILM-068</t>
        </is>
      </c>
      <c r="C456" s="5" t="inlineStr">
        <is>
          <t>Gharana</t>
        </is>
      </c>
      <c r="D456" s="17" t="n">
        <v>1989</v>
      </c>
      <c r="E456" s="5" t="inlineStr">
        <is>
          <t>Prem Chopra</t>
        </is>
      </c>
      <c r="F456" s="5" t="inlineStr">
        <is>
          <t>Dharamdas</t>
        </is>
      </c>
      <c r="G456" s="5" t="inlineStr">
        <is>
          <t>Antagonist</t>
        </is>
      </c>
      <c r="H456" s="5" t="inlineStr">
        <is>
          <t>Major</t>
        </is>
      </c>
      <c r="I456" s="5" t="inlineStr">
        <is>
          <t>The family's enemy, whose frame-up causes everything Vijay does afterwards.</t>
        </is>
      </c>
      <c r="J456" s="5" t="inlineStr">
        <is>
          <t>The external cause of the forced marriage, and the killer of the second wife.</t>
        </is>
      </c>
      <c r="K456" s="19" t="inlineStr">
        <is>
          <t>Prem Mehra's foe, who uses a gangster and the family accountant to steal the diamonds and implicate him, and whose goon later kills Naina.</t>
        </is>
      </c>
      <c r="L456" s="5" t="n"/>
      <c r="M456" s="5" t="inlineStr">
        <is>
          <t>SOURCE-069</t>
        </is>
      </c>
    </row>
    <row r="457" ht="49" customHeight="1">
      <c r="A457" s="15" t="inlineStr">
        <is>
          <t>CAST-456</t>
        </is>
      </c>
      <c r="B457" s="18" t="inlineStr">
        <is>
          <t>FILM-068</t>
        </is>
      </c>
      <c r="C457" s="5" t="inlineStr">
        <is>
          <t>Gharana</t>
        </is>
      </c>
      <c r="D457" s="17" t="n">
        <v>1989</v>
      </c>
      <c r="E457" s="5" t="inlineStr">
        <is>
          <t>Sushma Seth</t>
        </is>
      </c>
      <c r="F457" s="5" t="inlineStr">
        <is>
          <t>Shraddha</t>
        </is>
      </c>
      <c r="G457" s="5" t="inlineStr">
        <is>
          <t>Authority figure</t>
        </is>
      </c>
      <c r="H457" s="5" t="inlineStr">
        <is>
          <t>Major</t>
        </is>
      </c>
      <c r="I457" s="5" t="inlineStr">
        <is>
          <t>Vijay's employer and the mother of the woman he marries for money.</t>
        </is>
      </c>
      <c r="J457" s="5" t="inlineStr">
        <is>
          <t>The party on the other side of the transaction that makes the second pairing.</t>
        </is>
      </c>
      <c r="K457" s="19" t="inlineStr">
        <is>
          <t>Vijay's boss and Naina's mother, in whose gift the seven lakh rupees are that buy a son-in-law.</t>
        </is>
      </c>
      <c r="L457" s="5" t="n"/>
      <c r="M457" s="5" t="inlineStr">
        <is>
          <t>SOURCE-069</t>
        </is>
      </c>
    </row>
    <row r="458" ht="34" customHeight="1">
      <c r="A458" s="15" t="inlineStr">
        <is>
          <t>CAST-457</t>
        </is>
      </c>
      <c r="B458" s="18" t="inlineStr">
        <is>
          <t>FILM-068</t>
        </is>
      </c>
      <c r="C458" s="5" t="inlineStr">
        <is>
          <t>Gharana</t>
        </is>
      </c>
      <c r="D458" s="17" t="n">
        <v>1989</v>
      </c>
      <c r="E458" s="5" t="inlineStr">
        <is>
          <t>Satyendra Kapoor</t>
        </is>
      </c>
      <c r="F458" s="5" t="inlineStr">
        <is>
          <t>Rahim</t>
        </is>
      </c>
      <c r="G458" s="5" t="inlineStr">
        <is>
          <t>Supporting</t>
        </is>
      </c>
      <c r="H458" s="5" t="inlineStr">
        <is>
          <t>Medium</t>
        </is>
      </c>
      <c r="I458" s="5" t="inlineStr">
        <is>
          <t>The loyal employee whose house shelters the family after the ruin.</t>
        </is>
      </c>
      <c r="J458" s="5" t="inlineStr">
        <is>
          <t>The condition of poverty the marriages are negotiated from.</t>
        </is>
      </c>
      <c r="K458" s="19" t="inlineStr">
        <is>
          <t>The Mehras' devoted employee, who takes the ruined family into his own home.</t>
        </is>
      </c>
      <c r="L458" s="5" t="n"/>
      <c r="M458" s="5" t="inlineStr">
        <is>
          <t>SOURCE-069</t>
        </is>
      </c>
    </row>
    <row r="459" ht="34" customHeight="1">
      <c r="A459" s="15" t="inlineStr">
        <is>
          <t>CAST-458</t>
        </is>
      </c>
      <c r="B459" s="18" t="inlineStr">
        <is>
          <t>FILM-068</t>
        </is>
      </c>
      <c r="C459" s="5" t="inlineStr">
        <is>
          <t>Gharana</t>
        </is>
      </c>
      <c r="D459" s="17" t="n">
        <v>1989</v>
      </c>
      <c r="E459" s="5" t="inlineStr">
        <is>
          <t>Shakti Kapoor</t>
        </is>
      </c>
      <c r="F459" s="5" t="inlineStr">
        <is>
          <t>Durlabh</t>
        </is>
      </c>
      <c r="G459" s="5" t="inlineStr">
        <is>
          <t>Antagonist</t>
        </is>
      </c>
      <c r="H459" s="5" t="inlineStr">
        <is>
          <t>Medium</t>
        </is>
      </c>
      <c r="I459" s="5" t="inlineStr">
        <is>
          <t>The gangster used in the frame-up, with a henchman of his own.</t>
        </is>
      </c>
      <c r="J459" s="5" t="inlineStr">
        <is>
          <t>No direct part in either pairing.</t>
        </is>
      </c>
      <c r="K459" s="19" t="inlineStr">
        <is>
          <t>Credited as Durlabh, with Mac Mohan as his henchman, the muscle in the diamond theft that ruins the Mehras.</t>
        </is>
      </c>
      <c r="L459" s="5" t="n"/>
      <c r="M459" s="5" t="inlineStr">
        <is>
          <t>SOURCE-069</t>
        </is>
      </c>
    </row>
    <row r="460" ht="64" customHeight="1">
      <c r="A460" s="15" t="inlineStr">
        <is>
          <t>CAST-459</t>
        </is>
      </c>
      <c r="B460" s="18" t="inlineStr">
        <is>
          <t>FILM-069</t>
        </is>
      </c>
      <c r="C460" s="5" t="inlineStr">
        <is>
          <t>Hathyar</t>
        </is>
      </c>
      <c r="D460" s="17" t="n">
        <v>1989</v>
      </c>
      <c r="E460" s="5" t="inlineStr">
        <is>
          <t>Sanjay Dutt</t>
        </is>
      </c>
      <c r="F460" s="5" t="inlineStr">
        <is>
          <t>Avinash</t>
        </is>
      </c>
      <c r="G460" s="5" t="inlineStr">
        <is>
          <t>Co-lead</t>
        </is>
      </c>
      <c r="H460" s="5" t="inlineStr">
        <is>
          <t>Major</t>
        </is>
      </c>
      <c r="I460" s="5" t="inlineStr">
        <is>
          <t>The film's protagonist, whose family Kapoor's character is the respectable connection for.</t>
        </is>
      </c>
      <c r="J460" s="5" t="inlineStr">
        <is>
          <t>Holds the film's romance, outside Kapoor's romance-free part.</t>
        </is>
      </c>
      <c r="K460" s="19" t="inlineStr">
        <is>
          <t>A young man who comes to Bombay with his parents and scrapes along, is left the family's breadwinner by his father's suicide, cannot find work, turns to theft, kills a victim and sinks into the war between two gang bosses.</t>
        </is>
      </c>
      <c r="L460" s="5" t="n"/>
      <c r="M460" s="5" t="inlineStr">
        <is>
          <t>SOURCE-068</t>
        </is>
      </c>
    </row>
    <row r="461" ht="49" customHeight="1">
      <c r="A461" s="15" t="inlineStr">
        <is>
          <t>CAST-460</t>
        </is>
      </c>
      <c r="B461" s="18" t="inlineStr">
        <is>
          <t>FILM-069</t>
        </is>
      </c>
      <c r="C461" s="5" t="inlineStr">
        <is>
          <t>Hathyar</t>
        </is>
      </c>
      <c r="D461" s="17" t="n">
        <v>1989</v>
      </c>
      <c r="E461" s="5" t="inlineStr">
        <is>
          <t>Dharmendra</t>
        </is>
      </c>
      <c r="F461" s="5" t="inlineStr">
        <is>
          <t>Khushal Khan</t>
        </is>
      </c>
      <c r="G461" s="5" t="inlineStr">
        <is>
          <t>Antagonist</t>
        </is>
      </c>
      <c r="H461" s="5" t="inlineStr">
        <is>
          <t>Major</t>
        </is>
      </c>
      <c r="I461" s="5" t="inlineStr">
        <is>
          <t>Kapoor's elder brother, the crime lord whose business he refuses to touch.</t>
        </is>
      </c>
      <c r="J461" s="5" t="inlineStr">
        <is>
          <t>No part in the romances.</t>
        </is>
      </c>
      <c r="K461" s="19" t="inlineStr">
        <is>
          <t>An underworld crime lord at war with Rajan Anna, whose respectable younger brother will have nothing to do with his trade.</t>
        </is>
      </c>
      <c r="L461" s="5" t="n"/>
      <c r="M461" s="5" t="inlineStr">
        <is>
          <t>SOURCE-068</t>
        </is>
      </c>
    </row>
    <row r="462" ht="49" customHeight="1">
      <c r="A462" s="15" t="inlineStr">
        <is>
          <t>CAST-461</t>
        </is>
      </c>
      <c r="B462" s="18" t="inlineStr">
        <is>
          <t>FILM-069</t>
        </is>
      </c>
      <c r="C462" s="5" t="inlineStr">
        <is>
          <t>Hathyar</t>
        </is>
      </c>
      <c r="D462" s="17" t="n">
        <v>1989</v>
      </c>
      <c r="E462" s="5" t="inlineStr">
        <is>
          <t>Amrita Singh</t>
        </is>
      </c>
      <c r="F462" s="5" t="inlineStr">
        <is>
          <t>Suman</t>
        </is>
      </c>
      <c r="G462" s="5" t="inlineStr">
        <is>
          <t>Co-lead</t>
        </is>
      </c>
      <c r="H462" s="5" t="inlineStr">
        <is>
          <t>Major</t>
        </is>
      </c>
      <c r="I462" s="5" t="inlineStr">
        <is>
          <t>The protagonist's romance, in the thread Kapoor's character stands outside of.</t>
        </is>
      </c>
      <c r="J462" s="5" t="inlineStr">
        <is>
          <t>The film's principal romance, which belongs to Sanjay Dutt's character rather than Kapoor's.</t>
        </is>
      </c>
      <c r="K462" s="19" t="inlineStr">
        <is>
          <t>Credited as Suman, with Shyama as her grandmother, the woman in Avinash's life as he moves from poverty into crime.</t>
        </is>
      </c>
      <c r="L462" s="5" t="n"/>
      <c r="M462" s="5" t="inlineStr">
        <is>
          <t>SOURCE-068</t>
        </is>
      </c>
    </row>
    <row r="463" ht="49" customHeight="1">
      <c r="A463" s="15" t="inlineStr">
        <is>
          <t>CAST-462</t>
        </is>
      </c>
      <c r="B463" s="18" t="inlineStr">
        <is>
          <t>FILM-069</t>
        </is>
      </c>
      <c r="C463" s="5" t="inlineStr">
        <is>
          <t>Hathyar</t>
        </is>
      </c>
      <c r="D463" s="17" t="n">
        <v>1989</v>
      </c>
      <c r="E463" s="5" t="inlineStr">
        <is>
          <t>Paresh Rawal</t>
        </is>
      </c>
      <c r="F463" s="5" t="inlineStr">
        <is>
          <t>Rajan Anna</t>
        </is>
      </c>
      <c r="G463" s="5" t="inlineStr">
        <is>
          <t>Antagonist</t>
        </is>
      </c>
      <c r="H463" s="5" t="inlineStr">
        <is>
          <t>Major</t>
        </is>
      </c>
      <c r="I463" s="5" t="inlineStr">
        <is>
          <t>The rival of Kapoor's brother, and the other half of the gang war.</t>
        </is>
      </c>
      <c r="J463" s="5" t="inlineStr">
        <is>
          <t>No part in the romances.</t>
        </is>
      </c>
      <c r="K463" s="19" t="inlineStr">
        <is>
          <t>A gang boss at war with Khushal Khan, with a henchman of his own, in the rivalry the protagonist is finally caught between.</t>
        </is>
      </c>
      <c r="L463" s="5" t="n"/>
      <c r="M463" s="5" t="inlineStr">
        <is>
          <t>SOURCE-068</t>
        </is>
      </c>
    </row>
    <row r="464" ht="49" customHeight="1">
      <c r="A464" s="15" t="inlineStr">
        <is>
          <t>CAST-463</t>
        </is>
      </c>
      <c r="B464" s="18" t="inlineStr">
        <is>
          <t>FILM-069</t>
        </is>
      </c>
      <c r="C464" s="5" t="inlineStr">
        <is>
          <t>Hathyar</t>
        </is>
      </c>
      <c r="D464" s="17" t="n">
        <v>1989</v>
      </c>
      <c r="E464" s="5" t="inlineStr">
        <is>
          <t>Kulbhushan Kharbanda</t>
        </is>
      </c>
      <c r="F464" s="5" t="inlineStr">
        <is>
          <t>Avinash's father</t>
        </is>
      </c>
      <c r="G464" s="5" t="inlineStr">
        <is>
          <t>Family</t>
        </is>
      </c>
      <c r="H464" s="5" t="inlineStr">
        <is>
          <t>Major</t>
        </is>
      </c>
      <c r="I464" s="5" t="inlineStr">
        <is>
          <t>The father whose suicide turns the protagonist towards crime.</t>
        </is>
      </c>
      <c r="J464" s="5" t="inlineStr">
        <is>
          <t>No part in the romances.</t>
        </is>
      </c>
      <c r="K464" s="19" t="inlineStr">
        <is>
          <t>A man who brings his family to Bombay, cannot bear his poverty any longer, and kills himself, leaving his son responsible for them.</t>
        </is>
      </c>
      <c r="L464" s="5" t="n"/>
      <c r="M464" s="5" t="inlineStr">
        <is>
          <t>SOURCE-068</t>
        </is>
      </c>
    </row>
    <row r="465" ht="49" customHeight="1">
      <c r="A465" s="15" t="inlineStr">
        <is>
          <t>CAST-464</t>
        </is>
      </c>
      <c r="B465" s="18" t="inlineStr">
        <is>
          <t>FILM-069</t>
        </is>
      </c>
      <c r="C465" s="5" t="inlineStr">
        <is>
          <t>Hathyar</t>
        </is>
      </c>
      <c r="D465" s="17" t="n">
        <v>1989</v>
      </c>
      <c r="E465" s="5" t="inlineStr">
        <is>
          <t>Asha Parekh</t>
        </is>
      </c>
      <c r="F465" s="5" t="inlineStr">
        <is>
          <t>Avinash's mother</t>
        </is>
      </c>
      <c r="G465" s="5" t="inlineStr">
        <is>
          <t>Family</t>
        </is>
      </c>
      <c r="H465" s="5" t="inlineStr">
        <is>
          <t>Major</t>
        </is>
      </c>
      <c r="I465" s="5" t="inlineStr">
        <is>
          <t>The widowed mother the protagonist cannot provide for.</t>
        </is>
      </c>
      <c r="J465" s="5" t="inlineStr">
        <is>
          <t>No part in the romances.</t>
        </is>
      </c>
      <c r="K465" s="19" t="inlineStr">
        <is>
          <t>The mother of the family that scrapes along in Bombay, widowed by her husband's suicide and dependent on a son who cannot find work.</t>
        </is>
      </c>
      <c r="L465" s="5" t="n"/>
      <c r="M465" s="5" t="inlineStr">
        <is>
          <t>SOURCE-068</t>
        </is>
      </c>
    </row>
    <row r="466" ht="49" customHeight="1">
      <c r="A466" s="15" t="inlineStr">
        <is>
          <t>CAST-465</t>
        </is>
      </c>
      <c r="B466" s="18" t="inlineStr">
        <is>
          <t>FILM-069</t>
        </is>
      </c>
      <c r="C466" s="5" t="inlineStr">
        <is>
          <t>Hathyar</t>
        </is>
      </c>
      <c r="D466" s="17" t="n">
        <v>1989</v>
      </c>
      <c r="E466" s="5" t="inlineStr">
        <is>
          <t>Sangeeta Bijlani</t>
        </is>
      </c>
      <c r="F466" s="5" t="inlineStr">
        <is>
          <t>Jenny</t>
        </is>
      </c>
      <c r="G466" s="5" t="inlineStr">
        <is>
          <t>Supporting</t>
        </is>
      </c>
      <c r="H466" s="5" t="inlineStr">
        <is>
          <t>Medium</t>
        </is>
      </c>
      <c r="I466" s="5" t="inlineStr">
        <is>
          <t>Credited as the film's second woman; the summary does not place her.</t>
        </is>
      </c>
      <c r="J466" s="5" t="inlineStr">
        <is>
          <t>No documented part; Kapoor's role is recorded as having no romance at all.</t>
        </is>
      </c>
      <c r="K466" s="19" t="inlineStr">
        <is>
          <t>Credited as Jenny, the second female part in an ensemble crime film.</t>
        </is>
      </c>
      <c r="L466" s="5" t="n"/>
      <c r="M466" s="5" t="inlineStr">
        <is>
          <t>SOURCE-068</t>
        </is>
      </c>
    </row>
    <row r="467" ht="34" customHeight="1">
      <c r="A467" s="15" t="inlineStr">
        <is>
          <t>CAST-466</t>
        </is>
      </c>
      <c r="B467" s="18" t="inlineStr">
        <is>
          <t>FILM-069</t>
        </is>
      </c>
      <c r="C467" s="5" t="inlineStr">
        <is>
          <t>Hathyar</t>
        </is>
      </c>
      <c r="D467" s="17" t="n">
        <v>1989</v>
      </c>
      <c r="E467" s="5" t="inlineStr">
        <is>
          <t>Satyajeet</t>
        </is>
      </c>
      <c r="F467" s="5" t="inlineStr">
        <is>
          <t>Pakya</t>
        </is>
      </c>
      <c r="G467" s="5" t="inlineStr">
        <is>
          <t>Friend</t>
        </is>
      </c>
      <c r="H467" s="5" t="inlineStr">
        <is>
          <t>Medium</t>
        </is>
      </c>
      <c r="I467" s="5" t="inlineStr">
        <is>
          <t>The friend who pushes the protagonist into stealing.</t>
        </is>
      </c>
      <c r="J467" s="5" t="inlineStr">
        <is>
          <t>No part in the romances.</t>
        </is>
      </c>
      <c r="K467" s="19" t="inlineStr">
        <is>
          <t>A friend from the local gang who instigates the desperate Avinash into theft, the first step into the criminal world.</t>
        </is>
      </c>
      <c r="L467" s="5" t="n"/>
      <c r="M467" s="5" t="inlineStr">
        <is>
          <t>SOURCE-068</t>
        </is>
      </c>
    </row>
    <row r="468" ht="64" customHeight="1">
      <c r="A468" s="15" t="inlineStr">
        <is>
          <t>CAST-467</t>
        </is>
      </c>
      <c r="B468" s="18" t="inlineStr">
        <is>
          <t>FILM-070</t>
        </is>
      </c>
      <c r="C468" s="5" t="inlineStr">
        <is>
          <t>Bade Ghar Ki Beti</t>
        </is>
      </c>
      <c r="D468" s="17" t="n">
        <v>1989</v>
      </c>
      <c r="E468" s="5" t="inlineStr">
        <is>
          <t>Meenakshi Seshadri</t>
        </is>
      </c>
      <c r="F468" s="5" t="inlineStr">
        <is>
          <t>Mala</t>
        </is>
      </c>
      <c r="G468" s="5" t="inlineStr">
        <is>
          <t>Co-lead</t>
        </is>
      </c>
      <c r="H468" s="5" t="inlineStr">
        <is>
          <t>Major</t>
        </is>
      </c>
      <c r="I468" s="5" t="inlineStr">
        <is>
          <t>The servant's daughter married to Gopal at his father's wish, and his partner against the rest of the household.</t>
        </is>
      </c>
      <c r="J468" s="5" t="inlineStr">
        <is>
          <t>The whole of the pairing in Romances, a united couple set against three brothers and their wives.</t>
        </is>
      </c>
      <c r="K468" s="19" t="inlineStr">
        <is>
          <t>Kishanlal's daughter, asked for in marriage by the head of the family she serves, helpful and sweet-natured against three malicious sisters-in-law, and the one who leaves the palatial house with her husband.</t>
        </is>
      </c>
      <c r="L468" s="5" t="inlineStr">
        <is>
          <t>The title role, and the part the film's argument about daughters-in-law is built on.</t>
        </is>
      </c>
      <c r="M468" s="5" t="inlineStr">
        <is>
          <t>SOURCE-064</t>
        </is>
      </c>
    </row>
    <row r="469" ht="49" customHeight="1">
      <c r="A469" s="15" t="inlineStr">
        <is>
          <t>CAST-468</t>
        </is>
      </c>
      <c r="B469" s="18" t="inlineStr">
        <is>
          <t>FILM-070</t>
        </is>
      </c>
      <c r="C469" s="5" t="inlineStr">
        <is>
          <t>Bade Ghar Ki Beti</t>
        </is>
      </c>
      <c r="D469" s="17" t="n">
        <v>1989</v>
      </c>
      <c r="E469" s="5" t="inlineStr">
        <is>
          <t>Shammi Kapoor</t>
        </is>
      </c>
      <c r="F469" s="5" t="inlineStr">
        <is>
          <t>Thakur Din Dayal</t>
        </is>
      </c>
      <c r="G469" s="5" t="inlineStr">
        <is>
          <t>Family</t>
        </is>
      </c>
      <c r="H469" s="5" t="inlineStr">
        <is>
          <t>Major</t>
        </is>
      </c>
      <c r="I469" s="5" t="inlineStr">
        <is>
          <t>Gopal's father, who chooses Mala for him, and whose death removes the household's only restraint.</t>
        </is>
      </c>
      <c r="J469" s="5" t="inlineStr">
        <is>
          <t>The maker of the marriage the film endorses.</t>
        </is>
      </c>
      <c r="K469" s="19" t="inlineStr">
        <is>
          <t>The head of a wealthy family, so impressed by his servant's daughter that he asks for her for his fourth son, and dead before the misfortune that follows.</t>
        </is>
      </c>
      <c r="L469" s="5" t="n"/>
      <c r="M469" s="5" t="inlineStr">
        <is>
          <t>SOURCE-064</t>
        </is>
      </c>
    </row>
    <row r="470" ht="64" customHeight="1">
      <c r="A470" s="15" t="inlineStr">
        <is>
          <t>CAST-469</t>
        </is>
      </c>
      <c r="B470" s="18" t="inlineStr">
        <is>
          <t>FILM-070</t>
        </is>
      </c>
      <c r="C470" s="5" t="inlineStr">
        <is>
          <t>Bade Ghar Ki Beti</t>
        </is>
      </c>
      <c r="D470" s="17" t="n">
        <v>1989</v>
      </c>
      <c r="E470" s="5" t="inlineStr">
        <is>
          <t>Sushma Seth</t>
        </is>
      </c>
      <c r="F470" s="5" t="inlineStr">
        <is>
          <t>Lakshmi Din Dayal</t>
        </is>
      </c>
      <c r="G470" s="5" t="inlineStr">
        <is>
          <t>Family</t>
        </is>
      </c>
      <c r="H470" s="5" t="inlineStr">
        <is>
          <t>Major</t>
        </is>
      </c>
      <c r="I470" s="5" t="inlineStr">
        <is>
          <t>Gopal's mother, left to the other sons and thrown out of her own house.</t>
        </is>
      </c>
      <c r="J470" s="5" t="inlineStr">
        <is>
          <t>The injury the couple's eventual return is organised around.</t>
        </is>
      </c>
      <c r="K470" s="19" t="inlineStr">
        <is>
          <t>The widowed matriarch left with three indifferent sons and their abusive wives, made to do the menial work, neglected when ill, finally turned out, and reported to her absent son as away on a pilgrimage.</t>
        </is>
      </c>
      <c r="L470" s="5" t="n"/>
      <c r="M470" s="5" t="inlineStr">
        <is>
          <t>SOURCE-064</t>
        </is>
      </c>
    </row>
    <row r="471" ht="49" customHeight="1">
      <c r="A471" s="15" t="inlineStr">
        <is>
          <t>CAST-470</t>
        </is>
      </c>
      <c r="B471" s="18" t="inlineStr">
        <is>
          <t>FILM-070</t>
        </is>
      </c>
      <c r="C471" s="5" t="inlineStr">
        <is>
          <t>Bade Ghar Ki Beti</t>
        </is>
      </c>
      <c r="D471" s="17" t="n">
        <v>1989</v>
      </c>
      <c r="E471" s="5" t="inlineStr">
        <is>
          <t>Gulshan Grover</t>
        </is>
      </c>
      <c r="F471" s="5" t="inlineStr">
        <is>
          <t>Giridhar</t>
        </is>
      </c>
      <c r="G471" s="5" t="inlineStr">
        <is>
          <t>Antagonist</t>
        </is>
      </c>
      <c r="H471" s="5" t="inlineStr">
        <is>
          <t>Medium</t>
        </is>
      </c>
      <c r="I471" s="5" t="inlineStr">
        <is>
          <t>One of the three brothers who neglect their mother and live off Gopal.</t>
        </is>
      </c>
      <c r="J471" s="5" t="inlineStr">
        <is>
          <t>Part of the household the couple is set against.</t>
        </is>
      </c>
      <c r="K471" s="19" t="inlineStr">
        <is>
          <t>One of the three indifferent brothers, married to Shoma Anand's character, who mortgage the family home and decide to live off their musician brother.</t>
        </is>
      </c>
      <c r="L471" s="5" t="n"/>
      <c r="M471" s="5" t="inlineStr">
        <is>
          <t>SOURCE-064</t>
        </is>
      </c>
    </row>
    <row r="472" ht="34" customHeight="1">
      <c r="A472" s="15" t="inlineStr">
        <is>
          <t>CAST-471</t>
        </is>
      </c>
      <c r="B472" s="18" t="inlineStr">
        <is>
          <t>FILM-070</t>
        </is>
      </c>
      <c r="C472" s="5" t="inlineStr">
        <is>
          <t>Bade Ghar Ki Beti</t>
        </is>
      </c>
      <c r="D472" s="17" t="n">
        <v>1989</v>
      </c>
      <c r="E472" s="5" t="inlineStr">
        <is>
          <t>Satish Shah</t>
        </is>
      </c>
      <c r="F472" s="5" t="inlineStr">
        <is>
          <t>Murli</t>
        </is>
      </c>
      <c r="G472" s="5" t="inlineStr">
        <is>
          <t>Antagonist</t>
        </is>
      </c>
      <c r="H472" s="5" t="inlineStr">
        <is>
          <t>Medium</t>
        </is>
      </c>
      <c r="I472" s="5" t="inlineStr">
        <is>
          <t>The second of the three brothers.</t>
        </is>
      </c>
      <c r="J472" s="5" t="inlineStr">
        <is>
          <t>Part of the opposing household.</t>
        </is>
      </c>
      <c r="K472" s="19" t="inlineStr">
        <is>
          <t>One of the three brothers, married to Aruna Irani's character, in the trio that turns their mother out.</t>
        </is>
      </c>
      <c r="L472" s="5" t="n"/>
      <c r="M472" s="5" t="inlineStr">
        <is>
          <t>SOURCE-064</t>
        </is>
      </c>
    </row>
    <row r="473" ht="34" customHeight="1">
      <c r="A473" s="15" t="inlineStr">
        <is>
          <t>CAST-472</t>
        </is>
      </c>
      <c r="B473" s="18" t="inlineStr">
        <is>
          <t>FILM-070</t>
        </is>
      </c>
      <c r="C473" s="5" t="inlineStr">
        <is>
          <t>Bade Ghar Ki Beti</t>
        </is>
      </c>
      <c r="D473" s="17" t="n">
        <v>1989</v>
      </c>
      <c r="E473" s="5" t="inlineStr">
        <is>
          <t>Raj Kiran</t>
        </is>
      </c>
      <c r="F473" s="5" t="inlineStr">
        <is>
          <t>Manohar</t>
        </is>
      </c>
      <c r="G473" s="5" t="inlineStr">
        <is>
          <t>Antagonist</t>
        </is>
      </c>
      <c r="H473" s="5" t="inlineStr">
        <is>
          <t>Medium</t>
        </is>
      </c>
      <c r="I473" s="5" t="inlineStr">
        <is>
          <t>The third of the brothers.</t>
        </is>
      </c>
      <c r="J473" s="5" t="inlineStr">
        <is>
          <t>Part of the opposing household.</t>
        </is>
      </c>
      <c r="K473" s="19" t="inlineStr">
        <is>
          <t>The third indifferent brother, married to Jayashree T's character, completing the trio set against Gopal and Mala.</t>
        </is>
      </c>
      <c r="L473" s="5" t="n"/>
      <c r="M473" s="5" t="inlineStr">
        <is>
          <t>SOURCE-064</t>
        </is>
      </c>
    </row>
    <row r="474" ht="49" customHeight="1">
      <c r="A474" s="15" t="inlineStr">
        <is>
          <t>CAST-473</t>
        </is>
      </c>
      <c r="B474" s="18" t="inlineStr">
        <is>
          <t>FILM-070</t>
        </is>
      </c>
      <c r="C474" s="5" t="inlineStr">
        <is>
          <t>Bade Ghar Ki Beti</t>
        </is>
      </c>
      <c r="D474" s="17" t="n">
        <v>1989</v>
      </c>
      <c r="E474" s="5" t="inlineStr">
        <is>
          <t>Aruna Irani</t>
        </is>
      </c>
      <c r="F474" s="5" t="inlineStr">
        <is>
          <t>Murli's wife</t>
        </is>
      </c>
      <c r="G474" s="5" t="inlineStr">
        <is>
          <t>Antagonist</t>
        </is>
      </c>
      <c r="H474" s="5" t="inlineStr">
        <is>
          <t>Medium</t>
        </is>
      </c>
      <c r="I474" s="5" t="inlineStr">
        <is>
          <t>One of the three daughters-in-law whose conduct is set against Mala's.</t>
        </is>
      </c>
      <c r="J474" s="5" t="inlineStr">
        <is>
          <t>The contrast the film's defence of its heroine depends on.</t>
        </is>
      </c>
      <c r="K474" s="19" t="inlineStr">
        <is>
          <t>Credited as Murli's wife, one of the three who refuse household work and force their mother-in-law to do the menial tasks.</t>
        </is>
      </c>
      <c r="L474" s="5" t="n"/>
      <c r="M474" s="5" t="inlineStr">
        <is>
          <t>SOURCE-064</t>
        </is>
      </c>
    </row>
    <row r="475" ht="49" customHeight="1">
      <c r="A475" s="15" t="inlineStr">
        <is>
          <t>CAST-474</t>
        </is>
      </c>
      <c r="B475" s="18" t="inlineStr">
        <is>
          <t>FILM-070</t>
        </is>
      </c>
      <c r="C475" s="5" t="inlineStr">
        <is>
          <t>Bade Ghar Ki Beti</t>
        </is>
      </c>
      <c r="D475" s="17" t="n">
        <v>1989</v>
      </c>
      <c r="E475" s="5" t="inlineStr">
        <is>
          <t>Shivraj</t>
        </is>
      </c>
      <c r="F475" s="5" t="inlineStr">
        <is>
          <t>Kishan Lal</t>
        </is>
      </c>
      <c r="G475" s="5" t="inlineStr">
        <is>
          <t>Family</t>
        </is>
      </c>
      <c r="H475" s="5" t="inlineStr">
        <is>
          <t>Medium</t>
        </is>
      </c>
      <c r="I475" s="5" t="inlineStr">
        <is>
          <t>Mala's father, and a servant in the house she marries into.</t>
        </is>
      </c>
      <c r="J475" s="5" t="inlineStr">
        <is>
          <t>The class difference the marriage crosses, accepted humbly rather than contested.</t>
        </is>
      </c>
      <c r="K475" s="19" t="inlineStr">
        <is>
          <t>A servant in the wealthy household, credited with Urmila Bhatt as his wife, who humbly accepts the master's proposal for his daughter.</t>
        </is>
      </c>
      <c r="L475" s="5" t="n"/>
      <c r="M475" s="5" t="inlineStr">
        <is>
          <t>SOURCE-064</t>
        </is>
      </c>
    </row>
    <row r="476" ht="34" customHeight="1">
      <c r="A476" s="15" t="inlineStr">
        <is>
          <t>CAST-475</t>
        </is>
      </c>
      <c r="B476" s="18" t="inlineStr">
        <is>
          <t>FILM-070</t>
        </is>
      </c>
      <c r="C476" s="5" t="inlineStr">
        <is>
          <t>Bade Ghar Ki Beti</t>
        </is>
      </c>
      <c r="D476" s="17" t="n">
        <v>1989</v>
      </c>
      <c r="E476" s="5" t="inlineStr">
        <is>
          <t>Urmila Matondkar</t>
        </is>
      </c>
      <c r="F476" s="5" t="inlineStr">
        <is>
          <t>Pushpa</t>
        </is>
      </c>
      <c r="G476" s="5" t="inlineStr">
        <is>
          <t>Supporting</t>
        </is>
      </c>
      <c r="H476" s="5" t="inlineStr">
        <is>
          <t>Minor</t>
        </is>
      </c>
      <c r="I476" s="5" t="inlineStr">
        <is>
          <t>A credited supporting presence in the household.</t>
        </is>
      </c>
      <c r="J476" s="5" t="inlineStr">
        <is>
          <t>No documented part in the pairing.</t>
        </is>
      </c>
      <c r="K476" s="19" t="inlineStr">
        <is>
          <t>Credited as Pushpa, an early screen part for the actress before her career as a lead.</t>
        </is>
      </c>
      <c r="L476" s="5" t="n"/>
      <c r="M476" s="5" t="inlineStr">
        <is>
          <t>SOURCE-064</t>
        </is>
      </c>
    </row>
    <row r="477" ht="79" customHeight="1">
      <c r="A477" s="15" t="inlineStr">
        <is>
          <t>CAST-679</t>
        </is>
      </c>
      <c r="B477" s="18" t="inlineStr">
        <is>
          <t>FILM-071</t>
        </is>
      </c>
      <c r="C477" s="5" t="inlineStr">
        <is>
          <t>Paraya Ghar</t>
        </is>
      </c>
      <c r="D477" s="17" t="n">
        <v>1989</v>
      </c>
      <c r="E477" s="5" t="inlineStr">
        <is>
          <t>Jaya Prada</t>
        </is>
      </c>
      <c r="F477" s="5" t="n"/>
      <c r="G477" s="5" t="inlineStr">
        <is>
          <t>Co-lead</t>
        </is>
      </c>
      <c r="H477" s="5" t="inlineStr">
        <is>
          <t>Major</t>
        </is>
      </c>
      <c r="I477" s="5" t="inlineStr">
        <is>
          <t>Credited in the infobox as the film's other star; the article is a stub with no cast list and no plot, so no character name exists for her.</t>
        </is>
      </c>
      <c r="J477" s="5" t="inlineStr">
        <is>
          <t>The filmography records a major romance for this film, but the article carries no synopsis and no character names, which is why there is no Romances row.</t>
        </is>
      </c>
      <c r="K477" s="19" t="inlineStr">
        <is>
          <t>Named in the infobox and the lead sentence as Kapoor's co-star, with no character name recorded anywhere in the article, which Wikipedia itself tags as having no plot.</t>
        </is>
      </c>
      <c r="L477" s="5" t="n"/>
      <c r="M477" s="5" t="inlineStr">
        <is>
          <t>SOURCE-065</t>
        </is>
      </c>
    </row>
    <row r="478" ht="49" customHeight="1">
      <c r="A478" s="15" t="inlineStr">
        <is>
          <t>CAST-680</t>
        </is>
      </c>
      <c r="B478" s="18" t="inlineStr">
        <is>
          <t>FILM-071</t>
        </is>
      </c>
      <c r="C478" s="5" t="inlineStr">
        <is>
          <t>Paraya Ghar</t>
        </is>
      </c>
      <c r="D478" s="17" t="n">
        <v>1989</v>
      </c>
      <c r="E478" s="5" t="inlineStr">
        <is>
          <t>Raj Babbar</t>
        </is>
      </c>
      <c r="F478" s="5" t="n"/>
      <c r="G478" s="5" t="inlineStr">
        <is>
          <t>Supporting</t>
        </is>
      </c>
      <c r="H478" s="5" t="inlineStr">
        <is>
          <t>Major</t>
        </is>
      </c>
      <c r="I478" s="5" t="inlineStr">
        <is>
          <t>Named third in the lead sentence; no character, function or relationship is documented.</t>
        </is>
      </c>
      <c r="J478" s="5" t="inlineStr">
        <is>
          <t>Undocumented.</t>
        </is>
      </c>
      <c r="K478" s="19" t="inlineStr">
        <is>
          <t>Named in the article's single prose sentence as part of the cast, with no character name, no cast list and no plot section to place him.</t>
        </is>
      </c>
      <c r="L478" s="5" t="n"/>
      <c r="M478" s="5" t="inlineStr">
        <is>
          <t>SOURCE-065</t>
        </is>
      </c>
    </row>
    <row r="479" ht="64" customHeight="1">
      <c r="A479" s="15" t="inlineStr">
        <is>
          <t>CAST-681</t>
        </is>
      </c>
      <c r="B479" s="18" t="inlineStr">
        <is>
          <t>FILM-071</t>
        </is>
      </c>
      <c r="C479" s="5" t="inlineStr">
        <is>
          <t>Paraya Ghar</t>
        </is>
      </c>
      <c r="D479" s="17" t="n">
        <v>1989</v>
      </c>
      <c r="E479" s="5" t="inlineStr">
        <is>
          <t>Madhavi</t>
        </is>
      </c>
      <c r="F479" s="5" t="n"/>
      <c r="G479" s="5" t="inlineStr">
        <is>
          <t>Supporting</t>
        </is>
      </c>
      <c r="H479" s="5" t="inlineStr">
        <is>
          <t>Major</t>
        </is>
      </c>
      <c r="I479" s="5" t="inlineStr">
        <is>
          <t>Named in the lead sentence as the film's second actress; undocumented otherwise.</t>
        </is>
      </c>
      <c r="J479" s="5" t="inlineStr">
        <is>
          <t>Undocumented; with two credited actresses and no synopsis, neither can be matched to Kapoor's recorded romance.</t>
        </is>
      </c>
      <c r="K479" s="19" t="inlineStr">
        <is>
          <t>Named among the cast in the article's lead sentence, with no character name recorded.</t>
        </is>
      </c>
      <c r="L479" s="5" t="n"/>
      <c r="M479" s="5" t="inlineStr">
        <is>
          <t>SOURCE-065</t>
        </is>
      </c>
    </row>
    <row r="480" ht="49" customHeight="1">
      <c r="A480" s="15" t="inlineStr">
        <is>
          <t>CAST-682</t>
        </is>
      </c>
      <c r="B480" s="18" t="inlineStr">
        <is>
          <t>FILM-071</t>
        </is>
      </c>
      <c r="C480" s="5" t="inlineStr">
        <is>
          <t>Paraya Ghar</t>
        </is>
      </c>
      <c r="D480" s="17" t="n">
        <v>1989</v>
      </c>
      <c r="E480" s="5" t="inlineStr">
        <is>
          <t>Kader Khan</t>
        </is>
      </c>
      <c r="F480" s="5" t="n"/>
      <c r="G480" s="5" t="inlineStr">
        <is>
          <t>Supporting</t>
        </is>
      </c>
      <c r="H480" s="5" t="inlineStr">
        <is>
          <t>Medium</t>
        </is>
      </c>
      <c r="I480" s="5" t="inlineStr">
        <is>
          <t>Named last in the lead sentence; undocumented.</t>
        </is>
      </c>
      <c r="J480" s="5" t="inlineStr">
        <is>
          <t>Undocumented.</t>
        </is>
      </c>
      <c r="K480" s="19" t="inlineStr">
        <is>
          <t>Named in the article's prose list of the cast, in the register of fathers and comic authority he worked in through this period; no character is given.</t>
        </is>
      </c>
      <c r="L480" s="5" t="n"/>
      <c r="M480" s="5" t="inlineStr">
        <is>
          <t>SOURCE-065</t>
        </is>
      </c>
    </row>
    <row r="481" ht="34" customHeight="1">
      <c r="A481" s="15" t="inlineStr">
        <is>
          <t>CAST-683</t>
        </is>
      </c>
      <c r="B481" s="18" t="inlineStr">
        <is>
          <t>FILM-071</t>
        </is>
      </c>
      <c r="C481" s="5" t="inlineStr">
        <is>
          <t>Paraya Ghar</t>
        </is>
      </c>
      <c r="D481" s="17" t="n">
        <v>1989</v>
      </c>
      <c r="E481" s="5" t="inlineStr">
        <is>
          <t>Aruna Irani</t>
        </is>
      </c>
      <c r="F481" s="5" t="n"/>
      <c r="G481" s="5" t="inlineStr">
        <is>
          <t>Supporting</t>
        </is>
      </c>
      <c r="H481" s="5" t="inlineStr">
        <is>
          <t>Medium</t>
        </is>
      </c>
      <c r="I481" s="5" t="inlineStr">
        <is>
          <t>Named in the lead sentence; undocumented.</t>
        </is>
      </c>
      <c r="J481" s="5" t="inlineStr">
        <is>
          <t>Undocumented.</t>
        </is>
      </c>
      <c r="K481" s="19" t="inlineStr">
        <is>
          <t>Named among the cast in the article's only prose sentence, with no character name.</t>
        </is>
      </c>
      <c r="L481" s="5" t="n"/>
      <c r="M481" s="5" t="inlineStr">
        <is>
          <t>SOURCE-065</t>
        </is>
      </c>
    </row>
    <row r="482" ht="34" customHeight="1">
      <c r="A482" s="15" t="inlineStr">
        <is>
          <t>CAST-684</t>
        </is>
      </c>
      <c r="B482" s="18" t="inlineStr">
        <is>
          <t>FILM-071</t>
        </is>
      </c>
      <c r="C482" s="5" t="inlineStr">
        <is>
          <t>Paraya Ghar</t>
        </is>
      </c>
      <c r="D482" s="17" t="n">
        <v>1989</v>
      </c>
      <c r="E482" s="5" t="inlineStr">
        <is>
          <t>Tanuja</t>
        </is>
      </c>
      <c r="F482" s="5" t="n"/>
      <c r="G482" s="5" t="inlineStr">
        <is>
          <t>Family</t>
        </is>
      </c>
      <c r="H482" s="5" t="inlineStr">
        <is>
          <t>Medium</t>
        </is>
      </c>
      <c r="I482" s="5" t="inlineStr">
        <is>
          <t>Named in the lead sentence; undocumented.</t>
        </is>
      </c>
      <c r="J482" s="5" t="inlineStr">
        <is>
          <t>Undocumented.</t>
        </is>
      </c>
      <c r="K482" s="19" t="inlineStr">
        <is>
          <t>Named among the cast of a stub article, in the maternal register she worked in by this period; no character is recorded.</t>
        </is>
      </c>
      <c r="L482" s="5" t="n"/>
      <c r="M482" s="5" t="inlineStr">
        <is>
          <t>SOURCE-065</t>
        </is>
      </c>
    </row>
    <row r="483" ht="34" customHeight="1">
      <c r="A483" s="15" t="inlineStr">
        <is>
          <t>CAST-685</t>
        </is>
      </c>
      <c r="B483" s="18" t="inlineStr">
        <is>
          <t>FILM-071</t>
        </is>
      </c>
      <c r="C483" s="5" t="inlineStr">
        <is>
          <t>Paraya Ghar</t>
        </is>
      </c>
      <c r="D483" s="17" t="n">
        <v>1989</v>
      </c>
      <c r="E483" s="5" t="inlineStr">
        <is>
          <t>Sachin Pilgaonkar</t>
        </is>
      </c>
      <c r="F483" s="5" t="n"/>
      <c r="G483" s="5" t="inlineStr">
        <is>
          <t>Supporting</t>
        </is>
      </c>
      <c r="H483" s="5" t="inlineStr">
        <is>
          <t>Medium</t>
        </is>
      </c>
      <c r="I483" s="5" t="inlineStr">
        <is>
          <t>Named in the lead sentence; undocumented.</t>
        </is>
      </c>
      <c r="J483" s="5" t="inlineStr">
        <is>
          <t>Undocumented.</t>
        </is>
      </c>
      <c r="K483" s="19" t="inlineStr">
        <is>
          <t>Named among the cast in the article's single prose sentence, with no character name and no plot.</t>
        </is>
      </c>
      <c r="L483" s="5" t="n"/>
      <c r="M483" s="5" t="inlineStr">
        <is>
          <t>SOURCE-065</t>
        </is>
      </c>
    </row>
    <row r="484" ht="64" customHeight="1">
      <c r="A484" s="15" t="inlineStr">
        <is>
          <t>CAST-476</t>
        </is>
      </c>
      <c r="B484" s="18" t="inlineStr">
        <is>
          <t>FILM-072</t>
        </is>
      </c>
      <c r="C484" s="5" t="inlineStr">
        <is>
          <t>Khoj</t>
        </is>
      </c>
      <c r="D484" s="17" t="n">
        <v>1989</v>
      </c>
      <c r="E484" s="5" t="inlineStr">
        <is>
          <t>Kimi Katkar</t>
        </is>
      </c>
      <c r="F484" s="5" t="inlineStr">
        <is>
          <t>Anita Kapoor, and Sujata Singh</t>
        </is>
      </c>
      <c r="G484" s="5" t="inlineStr">
        <is>
          <t>Co-lead</t>
        </is>
      </c>
      <c r="H484" s="5" t="inlineStr">
        <is>
          <t>Major</t>
        </is>
      </c>
      <c r="I484" s="5" t="inlineStr">
        <is>
          <t>His wife, who vanishes, and the woman who later appears claiming to be her.</t>
        </is>
      </c>
      <c r="J484" s="5" t="inlineStr">
        <is>
          <t>The whole of the pairing in Romances, which the film turns into a question about whether the marriage is even his.</t>
        </is>
      </c>
      <c r="K484" s="19" t="inlineStr">
        <is>
          <t>Credited in both parts: the wife who disappears one night from a Kathmandu hotel, and the stranger produced at a church as her, whom the wedding photographs, the doctor, a constable and the couple's own daughter all confirm.</t>
        </is>
      </c>
      <c r="L484" s="5" t="n"/>
      <c r="M484" s="5" t="inlineStr">
        <is>
          <t>SOURCE-066</t>
        </is>
      </c>
    </row>
    <row r="485" ht="49" customHeight="1">
      <c r="A485" s="15" t="inlineStr">
        <is>
          <t>CAST-477</t>
        </is>
      </c>
      <c r="B485" s="18" t="inlineStr">
        <is>
          <t>FILM-072</t>
        </is>
      </c>
      <c r="C485" s="5" t="inlineStr">
        <is>
          <t>Khoj</t>
        </is>
      </c>
      <c r="D485" s="17" t="n">
        <v>1989</v>
      </c>
      <c r="E485" s="5" t="inlineStr">
        <is>
          <t>Naseeruddin Shah</t>
        </is>
      </c>
      <c r="F485" s="5" t="inlineStr">
        <is>
          <t>Inspector Balveer Singh</t>
        </is>
      </c>
      <c r="G485" s="5" t="inlineStr">
        <is>
          <t>Authority figure</t>
        </is>
      </c>
      <c r="H485" s="5" t="inlineStr">
        <is>
          <t>Major</t>
        </is>
      </c>
      <c r="I485" s="5" t="inlineStr">
        <is>
          <t>The officer who takes his missing-person report and then finds all the evidence pointing at him.</t>
        </is>
      </c>
      <c r="J485" s="5" t="inlineStr">
        <is>
          <t>Converts the marriage into a case against the husband.</t>
        </is>
      </c>
      <c r="K485" s="19" t="inlineStr">
        <is>
          <t>The inspector who begins the search for the missing wife and ends by weighing a mounting body of evidence that the man reporting her is lying.</t>
        </is>
      </c>
      <c r="L485" s="5" t="n"/>
      <c r="M485" s="5" t="inlineStr">
        <is>
          <t>SOURCE-066</t>
        </is>
      </c>
    </row>
    <row r="486" ht="49" customHeight="1">
      <c r="A486" s="15" t="inlineStr">
        <is>
          <t>CAST-478</t>
        </is>
      </c>
      <c r="B486" s="18" t="inlineStr">
        <is>
          <t>FILM-072</t>
        </is>
      </c>
      <c r="C486" s="5" t="inlineStr">
        <is>
          <t>Khoj</t>
        </is>
      </c>
      <c r="D486" s="17" t="n">
        <v>1989</v>
      </c>
      <c r="E486" s="5" t="inlineStr">
        <is>
          <t>Danny Denzongpa</t>
        </is>
      </c>
      <c r="F486" s="5" t="inlineStr">
        <is>
          <t>CBI Officer Sudhir Roy / Father Anthony</t>
        </is>
      </c>
      <c r="G486" s="5" t="inlineStr">
        <is>
          <t>Antagonist</t>
        </is>
      </c>
      <c r="H486" s="5" t="inlineStr">
        <is>
          <t>Major</t>
        </is>
      </c>
      <c r="I486" s="5" t="inlineStr">
        <is>
          <t>The priest who telephones to say the missing wife is with him, credited under a second, official identity.</t>
        </is>
      </c>
      <c r="J486" s="5" t="inlineStr">
        <is>
          <t>Produces the woman whose claim destroys the husband's account of his own marriage.</t>
        </is>
      </c>
      <c r="K486" s="19" t="inlineStr">
        <is>
          <t>Credited as both Father Anthony and a CBI officer named Sudhir Roy, the man who calls Ravi to the church where the substitute wife is waiting.</t>
        </is>
      </c>
      <c r="L486" s="5" t="n"/>
      <c r="M486" s="5" t="inlineStr">
        <is>
          <t>SOURCE-066</t>
        </is>
      </c>
    </row>
    <row r="487" ht="49" customHeight="1">
      <c r="A487" s="15" t="inlineStr">
        <is>
          <t>CAST-479</t>
        </is>
      </c>
      <c r="B487" s="18" t="inlineStr">
        <is>
          <t>FILM-072</t>
        </is>
      </c>
      <c r="C487" s="5" t="inlineStr">
        <is>
          <t>Khoj</t>
        </is>
      </c>
      <c r="D487" s="17" t="n">
        <v>1989</v>
      </c>
      <c r="E487" s="5" t="inlineStr">
        <is>
          <t>Satish Shah</t>
        </is>
      </c>
      <c r="F487" s="5" t="inlineStr">
        <is>
          <t>Constable Dobby Singh / Bobby Singh</t>
        </is>
      </c>
      <c r="G487" s="5" t="inlineStr">
        <is>
          <t>Comic support</t>
        </is>
      </c>
      <c r="H487" s="5" t="inlineStr">
        <is>
          <t>Medium</t>
        </is>
      </c>
      <c r="I487" s="5" t="inlineStr">
        <is>
          <t>A constable in a double role, one of the witnesses who identifies the stranger as his wife.</t>
        </is>
      </c>
      <c r="J487" s="5" t="inlineStr">
        <is>
          <t>Part of the chain of identifications that overturns the marriage.</t>
        </is>
      </c>
      <c r="K487" s="19" t="inlineStr">
        <is>
          <t>Credited in a double role as two near-identically named constables, one of whom identifies the new woman as Anita.</t>
        </is>
      </c>
      <c r="L487" s="5" t="n"/>
      <c r="M487" s="5" t="inlineStr">
        <is>
          <t>SOURCE-066</t>
        </is>
      </c>
    </row>
    <row r="488" ht="49" customHeight="1">
      <c r="A488" s="15" t="inlineStr">
        <is>
          <t>CAST-480</t>
        </is>
      </c>
      <c r="B488" s="18" t="inlineStr">
        <is>
          <t>FILM-072</t>
        </is>
      </c>
      <c r="C488" s="5" t="inlineStr">
        <is>
          <t>Khoj</t>
        </is>
      </c>
      <c r="D488" s="17" t="n">
        <v>1989</v>
      </c>
      <c r="E488" s="5" t="inlineStr">
        <is>
          <t>Om Shivpuri</t>
        </is>
      </c>
      <c r="F488" s="5" t="inlineStr">
        <is>
          <t>Dr. Saxena</t>
        </is>
      </c>
      <c r="G488" s="5" t="inlineStr">
        <is>
          <t>Supporting</t>
        </is>
      </c>
      <c r="H488" s="5" t="inlineStr">
        <is>
          <t>Medium</t>
        </is>
      </c>
      <c r="I488" s="5" t="inlineStr">
        <is>
          <t>The family doctor whose identification of the stranger is among the most damaging.</t>
        </is>
      </c>
      <c r="J488" s="5" t="inlineStr">
        <is>
          <t>A witness against the husband's own knowledge of his wife.</t>
        </is>
      </c>
      <c r="K488" s="19" t="inlineStr">
        <is>
          <t>The doctor who identifies the substitute as Anita, one of the figures whose testimony closes the trap around Ravi.</t>
        </is>
      </c>
      <c r="L488" s="5" t="n"/>
      <c r="M488" s="5" t="inlineStr">
        <is>
          <t>SOURCE-066</t>
        </is>
      </c>
    </row>
    <row r="489" ht="34" customHeight="1">
      <c r="A489" s="15" t="inlineStr">
        <is>
          <t>CAST-481</t>
        </is>
      </c>
      <c r="B489" s="18" t="inlineStr">
        <is>
          <t>FILM-072</t>
        </is>
      </c>
      <c r="C489" s="5" t="inlineStr">
        <is>
          <t>Khoj</t>
        </is>
      </c>
      <c r="D489" s="17" t="n">
        <v>1989</v>
      </c>
      <c r="E489" s="5" t="inlineStr">
        <is>
          <t>Sudha Shivpuri</t>
        </is>
      </c>
      <c r="F489" s="5" t="inlineStr">
        <is>
          <t>Sudha Rana</t>
        </is>
      </c>
      <c r="G489" s="5" t="inlineStr">
        <is>
          <t>Supporting</t>
        </is>
      </c>
      <c r="H489" s="5" t="inlineStr">
        <is>
          <t>Medium</t>
        </is>
      </c>
      <c r="I489" s="5" t="inlineStr">
        <is>
          <t>A credited supporting figure in the circle around the disputed identity.</t>
        </is>
      </c>
      <c r="J489" s="5" t="inlineStr">
        <is>
          <t>Part of the social world that accepts the substitution.</t>
        </is>
      </c>
      <c r="K489" s="19" t="inlineStr">
        <is>
          <t>Credited as Sudha Rana, among the people around a marriage whose facts are being rewritten.</t>
        </is>
      </c>
      <c r="L489" s="5" t="n"/>
      <c r="M489" s="5" t="inlineStr">
        <is>
          <t>SOURCE-066</t>
        </is>
      </c>
    </row>
    <row r="490" ht="34" customHeight="1">
      <c r="A490" s="15" t="inlineStr">
        <is>
          <t>CAST-482</t>
        </is>
      </c>
      <c r="B490" s="18" t="inlineStr">
        <is>
          <t>FILM-072</t>
        </is>
      </c>
      <c r="C490" s="5" t="inlineStr">
        <is>
          <t>Khoj</t>
        </is>
      </c>
      <c r="D490" s="17" t="n">
        <v>1989</v>
      </c>
      <c r="E490" s="5" t="inlineStr">
        <is>
          <t>Beena Banerjee</t>
        </is>
      </c>
      <c r="F490" s="5" t="inlineStr">
        <is>
          <t>Gulabo Singh</t>
        </is>
      </c>
      <c r="G490" s="5" t="inlineStr">
        <is>
          <t>Supporting</t>
        </is>
      </c>
      <c r="H490" s="5" t="inlineStr">
        <is>
          <t>Minor</t>
        </is>
      </c>
      <c r="I490" s="5" t="inlineStr">
        <is>
          <t>A credited supporting presence, named with the inspector's surname.</t>
        </is>
      </c>
      <c r="J490" s="5" t="inlineStr">
        <is>
          <t>No documented part in the pairing.</t>
        </is>
      </c>
      <c r="K490" s="19" t="inlineStr">
        <is>
          <t>Credited as Gulabo Singh, in the film's supporting ranks.</t>
        </is>
      </c>
      <c r="L490" s="5" t="n"/>
      <c r="M490" s="5" t="inlineStr">
        <is>
          <t>SOURCE-066</t>
        </is>
      </c>
    </row>
    <row r="491" ht="64" customHeight="1">
      <c r="A491" s="15" t="inlineStr">
        <is>
          <t>CAST-483</t>
        </is>
      </c>
      <c r="B491" s="18" t="inlineStr">
        <is>
          <t>FILM-073</t>
        </is>
      </c>
      <c r="C491" s="5" t="inlineStr">
        <is>
          <t>Nigahen</t>
        </is>
      </c>
      <c r="D491" s="17" t="n">
        <v>1989</v>
      </c>
      <c r="E491" s="5" t="inlineStr">
        <is>
          <t>Sridevi</t>
        </is>
      </c>
      <c r="F491" s="5" t="inlineStr">
        <is>
          <t>Neelam, and Rajni</t>
        </is>
      </c>
      <c r="G491" s="5" t="inlineStr">
        <is>
          <t>Co-lead</t>
        </is>
      </c>
      <c r="H491" s="5" t="inlineStr">
        <is>
          <t>Major</t>
        </is>
      </c>
      <c r="I491" s="5" t="inlineStr">
        <is>
          <t>Plays both the daughter of Kapoor's character and, as in Nagina, his wife; Kapoor himself is present only in archive footage.</t>
        </is>
      </c>
      <c r="J491" s="5" t="inlineStr">
        <is>
          <t>Carries the sequel's romance as the daughter, while the earlier marriage survives only as footage.</t>
        </is>
      </c>
      <c r="K491" s="19" t="inlineStr">
        <is>
          <t>In a dual role as Rajni, the shape-shifting wife of the first film, and as her daughter Neelam, raised in the city by her grandfather after her parents' fatal car accident and returning to the ancestral home as a young adult.</t>
        </is>
      </c>
      <c r="L491" s="5" t="inlineStr">
        <is>
          <t>A return to the role that had made Nagina one of the decade's biggest successes.</t>
        </is>
      </c>
      <c r="M491" s="5" t="inlineStr">
        <is>
          <t>SOURCE-070</t>
        </is>
      </c>
    </row>
    <row r="492" ht="49" customHeight="1">
      <c r="A492" s="15" t="inlineStr">
        <is>
          <t>CAST-484</t>
        </is>
      </c>
      <c r="B492" s="18" t="inlineStr">
        <is>
          <t>FILM-073</t>
        </is>
      </c>
      <c r="C492" s="5" t="inlineStr">
        <is>
          <t>Nigahen</t>
        </is>
      </c>
      <c r="D492" s="17" t="n">
        <v>1989</v>
      </c>
      <c r="E492" s="5" t="inlineStr">
        <is>
          <t>Sunny Deol</t>
        </is>
      </c>
      <c r="F492" s="5" t="inlineStr">
        <is>
          <t>Anand</t>
        </is>
      </c>
      <c r="G492" s="5" t="inlineStr">
        <is>
          <t>Co-lead</t>
        </is>
      </c>
      <c r="H492" s="5" t="inlineStr">
        <is>
          <t>Major</t>
        </is>
      </c>
      <c r="I492" s="5" t="inlineStr">
        <is>
          <t>The daughter's suitor, in the generation after Kapoor's character.</t>
        </is>
      </c>
      <c r="J492" s="5" t="inlineStr">
        <is>
          <t>The sequel's romance, begun as an infiltration and ending in real feeling.</t>
        </is>
      </c>
      <c r="K492" s="19" t="inlineStr">
        <is>
          <t>A man kidnapped as a child by the tantric Gorakhnath, who feigns amnesia to woo Neelam on his master's instructions and inadvertently falls in love with her.</t>
        </is>
      </c>
      <c r="L492" s="5" t="n"/>
      <c r="M492" s="5" t="inlineStr">
        <is>
          <t>SOURCE-070</t>
        </is>
      </c>
    </row>
    <row r="493" ht="49" customHeight="1">
      <c r="A493" s="15" t="inlineStr">
        <is>
          <t>CAST-485</t>
        </is>
      </c>
      <c r="B493" s="18" t="inlineStr">
        <is>
          <t>FILM-073</t>
        </is>
      </c>
      <c r="C493" s="5" t="inlineStr">
        <is>
          <t>Nigahen</t>
        </is>
      </c>
      <c r="D493" s="17" t="n">
        <v>1989</v>
      </c>
      <c r="E493" s="5" t="inlineStr">
        <is>
          <t>Anupam Kher</t>
        </is>
      </c>
      <c r="F493" s="5" t="inlineStr">
        <is>
          <t>Gorakhnath</t>
        </is>
      </c>
      <c r="G493" s="5" t="inlineStr">
        <is>
          <t>Antagonist</t>
        </is>
      </c>
      <c r="H493" s="5" t="inlineStr">
        <is>
          <t>Major</t>
        </is>
      </c>
      <c r="I493" s="5" t="inlineStr">
        <is>
          <t>The successor to the tantric who hunted Kapoor's wife in the first film.</t>
        </is>
      </c>
      <c r="J493" s="5" t="inlineStr">
        <is>
          <t>Directs the courtship as a means of getting at the gem.</t>
        </is>
      </c>
      <c r="K493" s="19" t="inlineStr">
        <is>
          <t>Bhaironath's disciple, who kidnapped Anand as a child, witnessed Neelam being hypnotised into finding the gem, and sets his pupil to courting her for it.</t>
        </is>
      </c>
      <c r="L493" s="5" t="n"/>
      <c r="M493" s="5" t="inlineStr">
        <is>
          <t>SOURCE-070</t>
        </is>
      </c>
    </row>
    <row r="494" ht="49" customHeight="1">
      <c r="A494" s="15" t="inlineStr">
        <is>
          <t>CAST-486</t>
        </is>
      </c>
      <c r="B494" s="18" t="inlineStr">
        <is>
          <t>FILM-073</t>
        </is>
      </c>
      <c r="C494" s="5" t="inlineStr">
        <is>
          <t>Nigahen</t>
        </is>
      </c>
      <c r="D494" s="17" t="n">
        <v>1989</v>
      </c>
      <c r="E494" s="5" t="inlineStr">
        <is>
          <t>Pran</t>
        </is>
      </c>
      <c r="F494" s="5" t="inlineStr">
        <is>
          <t>Raja sahab</t>
        </is>
      </c>
      <c r="G494" s="5" t="inlineStr">
        <is>
          <t>Family</t>
        </is>
      </c>
      <c r="H494" s="5" t="inlineStr">
        <is>
          <t>Major</t>
        </is>
      </c>
      <c r="I494" s="5" t="inlineStr">
        <is>
          <t>The grandfather who raises the orphaned daughter of Kapoor's character.</t>
        </is>
      </c>
      <c r="J494" s="5" t="inlineStr">
        <is>
          <t>The family authority the sequel's romance is conducted under.</t>
        </is>
      </c>
      <c r="K494" s="19" t="inlineStr">
        <is>
          <t>Neelam's grandfather, who brings her up in the city after her parents' death and finally takes her back to the ancestral house.</t>
        </is>
      </c>
      <c r="L494" s="5" t="n"/>
      <c r="M494" s="5" t="inlineStr">
        <is>
          <t>SOURCE-070</t>
        </is>
      </c>
    </row>
    <row r="495" ht="49" customHeight="1">
      <c r="A495" s="15" t="inlineStr">
        <is>
          <t>CAST-487</t>
        </is>
      </c>
      <c r="B495" s="18" t="inlineStr">
        <is>
          <t>FILM-073</t>
        </is>
      </c>
      <c r="C495" s="5" t="inlineStr">
        <is>
          <t>Nigahen</t>
        </is>
      </c>
      <c r="D495" s="17" t="n">
        <v>1989</v>
      </c>
      <c r="E495" s="5" t="inlineStr">
        <is>
          <t>Amrish Puri</t>
        </is>
      </c>
      <c r="F495" s="5" t="inlineStr">
        <is>
          <t>Bhaironath</t>
        </is>
      </c>
      <c r="G495" s="5" t="inlineStr">
        <is>
          <t>Antagonist</t>
        </is>
      </c>
      <c r="H495" s="5" t="inlineStr">
        <is>
          <t>Minor</t>
        </is>
      </c>
      <c r="I495" s="5" t="inlineStr">
        <is>
          <t>The antagonist of the first film, returning as a voice only.</t>
        </is>
      </c>
      <c r="J495" s="5" t="inlineStr">
        <is>
          <t>A continuity presence rather than a participant.</t>
        </is>
      </c>
      <c r="K495" s="19" t="inlineStr">
        <is>
          <t>Credited for Bhaironath's voice alone, the tantric who tried to expose Rajni in Nagina and whose disciple carries the sequel's plot.</t>
        </is>
      </c>
      <c r="L495" s="5" t="n"/>
      <c r="M495" s="5" t="inlineStr">
        <is>
          <t>SOURCE-070</t>
        </is>
      </c>
    </row>
    <row r="496" ht="34" customHeight="1">
      <c r="A496" s="15" t="inlineStr">
        <is>
          <t>CAST-488</t>
        </is>
      </c>
      <c r="B496" s="18" t="inlineStr">
        <is>
          <t>FILM-073</t>
        </is>
      </c>
      <c r="C496" s="5" t="inlineStr">
        <is>
          <t>Nigahen</t>
        </is>
      </c>
      <c r="D496" s="17" t="n">
        <v>1989</v>
      </c>
      <c r="E496" s="5" t="inlineStr">
        <is>
          <t>Gulshan Grover</t>
        </is>
      </c>
      <c r="F496" s="5" t="inlineStr">
        <is>
          <t>Kumar</t>
        </is>
      </c>
      <c r="G496" s="5" t="inlineStr">
        <is>
          <t>Antagonist</t>
        </is>
      </c>
      <c r="H496" s="5" t="inlineStr">
        <is>
          <t>Medium</t>
        </is>
      </c>
      <c r="I496" s="5" t="inlineStr">
        <is>
          <t>Credited among the sequel's opposition.</t>
        </is>
      </c>
      <c r="J496" s="5" t="inlineStr">
        <is>
          <t>No documented part in the courtship.</t>
        </is>
      </c>
      <c r="K496" s="19" t="inlineStr">
        <is>
          <t>Credited as Kumar, in the ranks around the tantric's pursuit of the gem.</t>
        </is>
      </c>
      <c r="L496" s="5" t="n"/>
      <c r="M496" s="5" t="inlineStr">
        <is>
          <t>SOURCE-070</t>
        </is>
      </c>
    </row>
    <row r="497" ht="49" customHeight="1">
      <c r="A497" s="15" t="inlineStr">
        <is>
          <t>CAST-489</t>
        </is>
      </c>
      <c r="B497" s="18" t="inlineStr">
        <is>
          <t>FILM-073</t>
        </is>
      </c>
      <c r="C497" s="5" t="inlineStr">
        <is>
          <t>Nigahen</t>
        </is>
      </c>
      <c r="D497" s="17" t="n">
        <v>1989</v>
      </c>
      <c r="E497" s="5" t="inlineStr">
        <is>
          <t>Anjana Mumtaz</t>
        </is>
      </c>
      <c r="F497" s="5" t="inlineStr">
        <is>
          <t>Shanti Devi</t>
        </is>
      </c>
      <c r="G497" s="5" t="inlineStr">
        <is>
          <t>Family</t>
        </is>
      </c>
      <c r="H497" s="5" t="inlineStr">
        <is>
          <t>Medium</t>
        </is>
      </c>
      <c r="I497" s="5" t="inlineStr">
        <is>
          <t>The suitor's mother, in the family opposite the one Kapoor's character belonged to.</t>
        </is>
      </c>
      <c r="J497" s="5" t="inlineStr">
        <is>
          <t>Family background to the sequel's courtship.</t>
        </is>
      </c>
      <c r="K497" s="19" t="inlineStr">
        <is>
          <t>Credited as Anand's mother, in the household the kidnapped son returns to the story from.</t>
        </is>
      </c>
      <c r="L497" s="5" t="n"/>
      <c r="M497" s="5" t="inlineStr">
        <is>
          <t>SOURCE-070</t>
        </is>
      </c>
    </row>
    <row r="498" ht="64" customHeight="1">
      <c r="A498" s="15" t="inlineStr">
        <is>
          <t>CAST-490</t>
        </is>
      </c>
      <c r="B498" s="18" t="inlineStr">
        <is>
          <t>FILM-074</t>
        </is>
      </c>
      <c r="C498" s="5" t="inlineStr">
        <is>
          <t>Chandni</t>
        </is>
      </c>
      <c r="D498" s="17" t="n">
        <v>1989</v>
      </c>
      <c r="E498" s="5" t="inlineStr">
        <is>
          <t>Sridevi</t>
        </is>
      </c>
      <c r="F498" s="5" t="inlineStr">
        <is>
          <t>Chandni Mathur</t>
        </is>
      </c>
      <c r="G498" s="5" t="inlineStr">
        <is>
          <t>Co-lead</t>
        </is>
      </c>
      <c r="H498" s="5" t="inlineStr">
        <is>
          <t>Major</t>
        </is>
      </c>
      <c r="I498" s="5" t="inlineStr">
        <is>
          <t>The woman Rohit courts, is engaged to, paralyses himself trying to delight, and then releases.</t>
        </is>
      </c>
      <c r="J498" s="5" t="inlineStr">
        <is>
          <t>The whole of the pairing in Romances, and the title role the film's triangle turns on.</t>
        </is>
      </c>
      <c r="K498" s="19" t="inlineStr">
        <is>
          <t>A middle-class girl courted relentlessly in Delhi, blamed by her fiance's family for his helicopter crash, let go by him, and rebuilt in Bombay as a travel-agency professional engaged to her employer before Rohit reappears.</t>
        </is>
      </c>
      <c r="L498" s="5" t="inlineStr">
        <is>
          <t>One of Sridevi's defining roles, in the film widely credited with turning Hindi cinema back towards romance at the end of the 1980s.</t>
        </is>
      </c>
      <c r="M498" s="5" t="inlineStr">
        <is>
          <t>SOURCE-067</t>
        </is>
      </c>
    </row>
    <row r="499" ht="64" customHeight="1">
      <c r="A499" s="15" t="inlineStr">
        <is>
          <t>CAST-491</t>
        </is>
      </c>
      <c r="B499" s="18" t="inlineStr">
        <is>
          <t>FILM-074</t>
        </is>
      </c>
      <c r="C499" s="5" t="inlineStr">
        <is>
          <t>Chandni</t>
        </is>
      </c>
      <c r="D499" s="17" t="n">
        <v>1989</v>
      </c>
      <c r="E499" s="5" t="inlineStr">
        <is>
          <t>Vinod Khanna</t>
        </is>
      </c>
      <c r="F499" s="5" t="inlineStr">
        <is>
          <t>Lalit Khanna</t>
        </is>
      </c>
      <c r="G499" s="5" t="inlineStr">
        <is>
          <t>Romantic rival</t>
        </is>
      </c>
      <c r="H499" s="5" t="inlineStr">
        <is>
          <t>Major</t>
        </is>
      </c>
      <c r="I499" s="5" t="inlineStr">
        <is>
          <t>The travel-agency head who becomes Rohit's friend without knowing whose fiancee he is engaged to, and who gives her up.</t>
        </is>
      </c>
      <c r="J499" s="5" t="inlineStr">
        <is>
          <t>The second claim in the triangle, and the renunciation that resolves it.</t>
        </is>
      </c>
      <c r="K499" s="19" t="inlineStr">
        <is>
          <t>A widower who falls for his employee, proposes and is hesitantly accepted, befriends the man she was once engaged to, and releases her on seeing her run to him.</t>
        </is>
      </c>
      <c r="L499" s="5" t="n"/>
      <c r="M499" s="5" t="inlineStr">
        <is>
          <t>SOURCE-067</t>
        </is>
      </c>
    </row>
    <row r="500" ht="49" customHeight="1">
      <c r="A500" s="15" t="inlineStr">
        <is>
          <t>CAST-492</t>
        </is>
      </c>
      <c r="B500" s="18" t="inlineStr">
        <is>
          <t>FILM-074</t>
        </is>
      </c>
      <c r="C500" s="5" t="inlineStr">
        <is>
          <t>Chandni</t>
        </is>
      </c>
      <c r="D500" s="17" t="n">
        <v>1989</v>
      </c>
      <c r="E500" s="5" t="inlineStr">
        <is>
          <t>Sushma Seth</t>
        </is>
      </c>
      <c r="F500" s="5" t="inlineStr">
        <is>
          <t>Armani Gupta</t>
        </is>
      </c>
      <c r="G500" s="5" t="inlineStr">
        <is>
          <t>Family</t>
        </is>
      </c>
      <c r="H500" s="5" t="inlineStr">
        <is>
          <t>Major</t>
        </is>
      </c>
      <c r="I500" s="5" t="inlineStr">
        <is>
          <t>Rohit's mother, who blames and mistreats the woman he loves.</t>
        </is>
      </c>
      <c r="J500" s="5" t="inlineStr">
        <is>
          <t>The family opposition, first on grounds of status and then of blame for the accident.</t>
        </is>
      </c>
      <c r="K500" s="19" t="inlineStr">
        <is>
          <t>Rohit's mother, part of a family that dislikes Chandni for her social position and holds her responsible for the crash that paralyses him.</t>
        </is>
      </c>
      <c r="L500" s="5" t="n"/>
      <c r="M500" s="5" t="inlineStr">
        <is>
          <t>SOURCE-067</t>
        </is>
      </c>
    </row>
    <row r="501" ht="34" customHeight="1">
      <c r="A501" s="15" t="inlineStr">
        <is>
          <t>CAST-493</t>
        </is>
      </c>
      <c r="B501" s="18" t="inlineStr">
        <is>
          <t>FILM-074</t>
        </is>
      </c>
      <c r="C501" s="5" t="inlineStr">
        <is>
          <t>Chandni</t>
        </is>
      </c>
      <c r="D501" s="17" t="n">
        <v>1989</v>
      </c>
      <c r="E501" s="5" t="inlineStr">
        <is>
          <t>Waheeda Rehman</t>
        </is>
      </c>
      <c r="F501" s="5" t="inlineStr">
        <is>
          <t>Lata Khanna</t>
        </is>
      </c>
      <c r="G501" s="5" t="inlineStr">
        <is>
          <t>Family</t>
        </is>
      </c>
      <c r="H501" s="5" t="inlineStr">
        <is>
          <t>Major</t>
        </is>
      </c>
      <c r="I501" s="5" t="inlineStr">
        <is>
          <t>The rival's mother, and the film's counter-example to Rohit's family.</t>
        </is>
      </c>
      <c r="J501" s="5" t="inlineStr">
        <is>
          <t>Accepts the heroine immediately, where the first family refused her.</t>
        </is>
      </c>
      <c r="K501" s="19" t="inlineStr">
        <is>
          <t>Lalit's mother, who takes to Chandni at once, the warm reception set against the Guptas' contempt.</t>
        </is>
      </c>
      <c r="L501" s="5" t="n"/>
      <c r="M501" s="5" t="inlineStr">
        <is>
          <t>SOURCE-067</t>
        </is>
      </c>
    </row>
    <row r="502" ht="34" customHeight="1">
      <c r="A502" s="15" t="inlineStr">
        <is>
          <t>CAST-494</t>
        </is>
      </c>
      <c r="B502" s="18" t="inlineStr">
        <is>
          <t>FILM-074</t>
        </is>
      </c>
      <c r="C502" s="5" t="inlineStr">
        <is>
          <t>Chandni</t>
        </is>
      </c>
      <c r="D502" s="17" t="n">
        <v>1989</v>
      </c>
      <c r="E502" s="5" t="inlineStr">
        <is>
          <t>Manohar Singh</t>
        </is>
      </c>
      <c r="F502" s="5" t="inlineStr">
        <is>
          <t>Nihaal Gupta</t>
        </is>
      </c>
      <c r="G502" s="5" t="inlineStr">
        <is>
          <t>Family</t>
        </is>
      </c>
      <c r="H502" s="5" t="inlineStr">
        <is>
          <t>Medium</t>
        </is>
      </c>
      <c r="I502" s="5" t="inlineStr">
        <is>
          <t>Rohit's father, in the family that drives the heroine out.</t>
        </is>
      </c>
      <c r="J502" s="5" t="inlineStr">
        <is>
          <t>Part of the household opposition.</t>
        </is>
      </c>
      <c r="K502" s="19" t="inlineStr">
        <is>
          <t>Credited as Rohit's father, in the Gupta family whose disapproval and blame end the first engagement.</t>
        </is>
      </c>
      <c r="L502" s="5" t="n"/>
      <c r="M502" s="5" t="inlineStr">
        <is>
          <t>SOURCE-067</t>
        </is>
      </c>
    </row>
    <row r="503" ht="49" customHeight="1">
      <c r="A503" s="15" t="inlineStr">
        <is>
          <t>CAST-495</t>
        </is>
      </c>
      <c r="B503" s="18" t="inlineStr">
        <is>
          <t>FILM-074</t>
        </is>
      </c>
      <c r="C503" s="5" t="inlineStr">
        <is>
          <t>Chandni</t>
        </is>
      </c>
      <c r="D503" s="17" t="n">
        <v>1989</v>
      </c>
      <c r="E503" s="5" t="inlineStr">
        <is>
          <t>Ram Gopal Bajaj</t>
        </is>
      </c>
      <c r="F503" s="5" t="inlineStr">
        <is>
          <t>Shiv Prasad Mathur</t>
        </is>
      </c>
      <c r="G503" s="5" t="inlineStr">
        <is>
          <t>Family</t>
        </is>
      </c>
      <c r="H503" s="5" t="inlineStr">
        <is>
          <t>Medium</t>
        </is>
      </c>
      <c r="I503" s="5" t="inlineStr">
        <is>
          <t>The heroine's father, on the middle-class side of the difference the Guptas object to.</t>
        </is>
      </c>
      <c r="J503" s="5" t="inlineStr">
        <is>
          <t>The family the romance begins in, at a cousin's wedding.</t>
        </is>
      </c>
      <c r="K503" s="19" t="inlineStr">
        <is>
          <t>Chandni's father, credited with Asha Sharma as her mother, who brings her to Delhi for the wedding where she meets Rohit.</t>
        </is>
      </c>
      <c r="L503" s="5" t="n"/>
      <c r="M503" s="5" t="inlineStr">
        <is>
          <t>SOURCE-067</t>
        </is>
      </c>
    </row>
    <row r="504" ht="34" customHeight="1">
      <c r="A504" s="15" t="inlineStr">
        <is>
          <t>CAST-496</t>
        </is>
      </c>
      <c r="B504" s="18" t="inlineStr">
        <is>
          <t>FILM-074</t>
        </is>
      </c>
      <c r="C504" s="5" t="inlineStr">
        <is>
          <t>Chandni</t>
        </is>
      </c>
      <c r="D504" s="17" t="n">
        <v>1989</v>
      </c>
      <c r="E504" s="5" t="inlineStr">
        <is>
          <t>Anupam Kher</t>
        </is>
      </c>
      <c r="F504" s="5" t="inlineStr">
        <is>
          <t>Ramesh Mehra</t>
        </is>
      </c>
      <c r="G504" s="5" t="inlineStr">
        <is>
          <t>Supporting</t>
        </is>
      </c>
      <c r="H504" s="5" t="inlineStr">
        <is>
          <t>Medium</t>
        </is>
      </c>
      <c r="I504" s="5" t="inlineStr">
        <is>
          <t>A credited supporting figure in the film's Bombay half.</t>
        </is>
      </c>
      <c r="J504" s="5" t="inlineStr">
        <is>
          <t>Peripheral to the triangle.</t>
        </is>
      </c>
      <c r="K504" s="19" t="inlineStr">
        <is>
          <t>Credited as Ramesh Mehra, among the supporting parts of the travel-agency world.</t>
        </is>
      </c>
      <c r="L504" s="5" t="n"/>
      <c r="M504" s="5" t="inlineStr">
        <is>
          <t>SOURCE-067</t>
        </is>
      </c>
    </row>
    <row r="505" ht="34" customHeight="1">
      <c r="A505" s="15" t="inlineStr">
        <is>
          <t>CAST-497</t>
        </is>
      </c>
      <c r="B505" s="18" t="inlineStr">
        <is>
          <t>FILM-074</t>
        </is>
      </c>
      <c r="C505" s="5" t="inlineStr">
        <is>
          <t>Chandni</t>
        </is>
      </c>
      <c r="D505" s="17" t="n">
        <v>1989</v>
      </c>
      <c r="E505" s="5" t="inlineStr">
        <is>
          <t>Mita Vashisht</t>
        </is>
      </c>
      <c r="F505" s="5" t="inlineStr">
        <is>
          <t>Kiran Chawla</t>
        </is>
      </c>
      <c r="G505" s="5" t="inlineStr">
        <is>
          <t>Supporting</t>
        </is>
      </c>
      <c r="H505" s="5" t="inlineStr">
        <is>
          <t>Medium</t>
        </is>
      </c>
      <c r="I505" s="5" t="inlineStr">
        <is>
          <t>A credited supporting presence, with a husband in the cast list.</t>
        </is>
      </c>
      <c r="J505" s="5" t="inlineStr">
        <is>
          <t>Peripheral to the triangle.</t>
        </is>
      </c>
      <c r="K505" s="19" t="inlineStr">
        <is>
          <t>Credited as Kiran Chawla, opposite Anant Mahadevan's Brijbhan Chawla.</t>
        </is>
      </c>
      <c r="L505" s="5" t="n"/>
      <c r="M505" s="5" t="inlineStr">
        <is>
          <t>SOURCE-067</t>
        </is>
      </c>
    </row>
    <row r="506" ht="34" customHeight="1">
      <c r="A506" s="15" t="inlineStr">
        <is>
          <t>CAST-498</t>
        </is>
      </c>
      <c r="B506" s="18" t="inlineStr">
        <is>
          <t>FILM-074</t>
        </is>
      </c>
      <c r="C506" s="5" t="inlineStr">
        <is>
          <t>Chandni</t>
        </is>
      </c>
      <c r="D506" s="17" t="n">
        <v>1989</v>
      </c>
      <c r="E506" s="5" t="inlineStr">
        <is>
          <t>Juhi Chawla</t>
        </is>
      </c>
      <c r="F506" s="5" t="inlineStr">
        <is>
          <t>Devika Shastri</t>
        </is>
      </c>
      <c r="G506" s="5" t="inlineStr">
        <is>
          <t>Cameo</t>
        </is>
      </c>
      <c r="H506" s="5" t="inlineStr">
        <is>
          <t>Minor</t>
        </is>
      </c>
      <c r="I506" s="5" t="inlineStr">
        <is>
          <t>A special appearance as the rival's first love, before the main action.</t>
        </is>
      </c>
      <c r="J506" s="5" t="inlineStr">
        <is>
          <t>Explains the widower's position in the triangle.</t>
        </is>
      </c>
      <c r="K506" s="19" t="inlineStr">
        <is>
          <t>In a special appearance as Lalit's first lover, the loss that makes him a widower open to a second attachment.</t>
        </is>
      </c>
      <c r="L506" s="5" t="n"/>
      <c r="M506" s="5" t="inlineStr">
        <is>
          <t>SOURCE-067</t>
        </is>
      </c>
    </row>
    <row r="507" ht="49" customHeight="1">
      <c r="A507" s="15" t="inlineStr">
        <is>
          <t>CAST-499</t>
        </is>
      </c>
      <c r="B507" s="18" t="inlineStr">
        <is>
          <t>FILM-075</t>
        </is>
      </c>
      <c r="C507" s="5" t="inlineStr">
        <is>
          <t>Amiri Garibi</t>
        </is>
      </c>
      <c r="D507" s="17" t="n">
        <v>1990</v>
      </c>
      <c r="E507" s="5" t="inlineStr">
        <is>
          <t>Neelam</t>
        </is>
      </c>
      <c r="F507" s="5" t="inlineStr">
        <is>
          <t>Jyoti</t>
        </is>
      </c>
      <c r="G507" s="5" t="inlineStr">
        <is>
          <t>Co-lead</t>
        </is>
      </c>
      <c r="H507" s="5" t="inlineStr">
        <is>
          <t>Major</t>
        </is>
      </c>
      <c r="I507" s="5" t="inlineStr">
        <is>
          <t>The woman Deepak was married to in childhood and arrives to claim, to her disgust.</t>
        </is>
      </c>
      <c r="J507" s="5" t="inlineStr">
        <is>
          <t>The whole of the pairing in Romances, a child marriage enforced against the wife's wishes.</t>
        </is>
      </c>
      <c r="K507" s="19" t="inlineStr">
        <is>
          <t>A daughter of the wealthy Kedarnath household, married as a child to a poor Bhardwaj boy, who is appalled when he grows up and moves in to claim her.</t>
        </is>
      </c>
      <c r="L507" s="5" t="n"/>
      <c r="M507" s="5" t="inlineStr">
        <is>
          <t>SOURCE-071</t>
        </is>
      </c>
    </row>
    <row r="508" ht="64" customHeight="1">
      <c r="A508" s="15" t="inlineStr">
        <is>
          <t>CAST-500</t>
        </is>
      </c>
      <c r="B508" s="18" t="inlineStr">
        <is>
          <t>FILM-075</t>
        </is>
      </c>
      <c r="C508" s="5" t="inlineStr">
        <is>
          <t>Amiri Garibi</t>
        </is>
      </c>
      <c r="D508" s="17" t="n">
        <v>1990</v>
      </c>
      <c r="E508" s="5" t="inlineStr">
        <is>
          <t>Rohini Hattangadi</t>
        </is>
      </c>
      <c r="F508" s="5" t="inlineStr">
        <is>
          <t>Sheela</t>
        </is>
      </c>
      <c r="G508" s="5" t="inlineStr">
        <is>
          <t>Antagonist</t>
        </is>
      </c>
      <c r="H508" s="5" t="inlineStr">
        <is>
          <t>Major</t>
        </is>
      </c>
      <c r="I508" s="5" t="inlineStr">
        <is>
          <t>The mother-in-law who turns Kapoor's character and the other daughter-in-law out once her husband dies.</t>
        </is>
      </c>
      <c r="J508" s="5" t="inlineStr">
        <is>
          <t>The whole of the external opposition to the claimed marriage.</t>
        </is>
      </c>
      <c r="K508" s="19" t="inlineStr">
        <is>
          <t>The matriarch who refuses to welcome her son's bride, ill-treats and humiliates her, and on her husband's death orders both Rani and Deepak out of the house while arranging a richer match for her son.</t>
        </is>
      </c>
      <c r="L508" s="5" t="n"/>
      <c r="M508" s="5" t="inlineStr">
        <is>
          <t>SOURCE-071</t>
        </is>
      </c>
    </row>
    <row r="509" ht="49" customHeight="1">
      <c r="A509" s="15" t="inlineStr">
        <is>
          <t>CAST-501</t>
        </is>
      </c>
      <c r="B509" s="18" t="inlineStr">
        <is>
          <t>FILM-075</t>
        </is>
      </c>
      <c r="C509" s="5" t="inlineStr">
        <is>
          <t>Amiri Garibi</t>
        </is>
      </c>
      <c r="D509" s="17" t="n">
        <v>1990</v>
      </c>
      <c r="E509" s="5" t="inlineStr">
        <is>
          <t>Poonam Dhillon</t>
        </is>
      </c>
      <c r="F509" s="5" t="inlineStr">
        <is>
          <t>Rani</t>
        </is>
      </c>
      <c r="G509" s="5" t="inlineStr">
        <is>
          <t>Supporting</t>
        </is>
      </c>
      <c r="H509" s="5" t="inlineStr">
        <is>
          <t>Major</t>
        </is>
      </c>
      <c r="I509" s="5" t="inlineStr">
        <is>
          <t>The other outsider in the house, and Kapoor's character's fellow victim of the matriarch.</t>
        </is>
      </c>
      <c r="J509" s="5" t="inlineStr">
        <is>
          <t>The parallel case of a marriage made across a class line, and the film's second ill-treated spouse.</t>
        </is>
      </c>
      <c r="K509" s="19" t="inlineStr">
        <is>
          <t>A small-town girl married to Kedarnath's son and welcomed by nobody, belittled, slapped and humiliated, and finally turned out of the house with Deepak.</t>
        </is>
      </c>
      <c r="L509" s="5" t="n"/>
      <c r="M509" s="5" t="inlineStr">
        <is>
          <t>SOURCE-071</t>
        </is>
      </c>
    </row>
    <row r="510" ht="49" customHeight="1">
      <c r="A510" s="15" t="inlineStr">
        <is>
          <t>CAST-502</t>
        </is>
      </c>
      <c r="B510" s="18" t="inlineStr">
        <is>
          <t>FILM-075</t>
        </is>
      </c>
      <c r="C510" s="5" t="inlineStr">
        <is>
          <t>Amiri Garibi</t>
        </is>
      </c>
      <c r="D510" s="17" t="n">
        <v>1990</v>
      </c>
      <c r="E510" s="5" t="inlineStr">
        <is>
          <t>Om Shivpuri</t>
        </is>
      </c>
      <c r="F510" s="5" t="inlineStr">
        <is>
          <t>Kedarnath</t>
        </is>
      </c>
      <c r="G510" s="5" t="inlineStr">
        <is>
          <t>Family</t>
        </is>
      </c>
      <c r="H510" s="5" t="inlineStr">
        <is>
          <t>Major</t>
        </is>
      </c>
      <c r="I510" s="5" t="inlineStr">
        <is>
          <t>The industrialist head of the house, whose death removes the last protection.</t>
        </is>
      </c>
      <c r="J510" s="5" t="inlineStr">
        <is>
          <t>The maker of one marriage and the restraint on the opposition to the other.</t>
        </is>
      </c>
      <c r="K510" s="19" t="inlineStr">
        <is>
          <t>A wealthy Bombay industrialist who travels to a small town to propose his friend's daughter for his son, and whose death leaves both outsiders at his widow's mercy.</t>
        </is>
      </c>
      <c r="L510" s="5" t="n"/>
      <c r="M510" s="5" t="inlineStr">
        <is>
          <t>SOURCE-071</t>
        </is>
      </c>
    </row>
    <row r="511" ht="49" customHeight="1">
      <c r="A511" s="15" t="inlineStr">
        <is>
          <t>CAST-503</t>
        </is>
      </c>
      <c r="B511" s="18" t="inlineStr">
        <is>
          <t>FILM-075</t>
        </is>
      </c>
      <c r="C511" s="5" t="inlineStr">
        <is>
          <t>Amiri Garibi</t>
        </is>
      </c>
      <c r="D511" s="17" t="n">
        <v>1990</v>
      </c>
      <c r="E511" s="5" t="inlineStr">
        <is>
          <t>Raj Babbar</t>
        </is>
      </c>
      <c r="F511" s="5" t="inlineStr">
        <is>
          <t>Rajesh</t>
        </is>
      </c>
      <c r="G511" s="5" t="inlineStr">
        <is>
          <t>Antagonist</t>
        </is>
      </c>
      <c r="H511" s="5" t="inlineStr">
        <is>
          <t>Medium</t>
        </is>
      </c>
      <c r="I511" s="5" t="inlineStr">
        <is>
          <t>The son of the house, hostile to Kapoor's arrival.</t>
        </is>
      </c>
      <c r="J511" s="5" t="inlineStr">
        <is>
          <t>The husband whose treatment of Rani is the film's parallel grievance.</t>
        </is>
      </c>
      <c r="K511" s="19" t="inlineStr">
        <is>
          <t>Kedarnath's son, who refuses to welcome the bride brought from the small town and is then matched with a rich and beautiful woman by his mother.</t>
        </is>
      </c>
      <c r="L511" s="5" t="n"/>
      <c r="M511" s="5" t="inlineStr">
        <is>
          <t>SOURCE-071</t>
        </is>
      </c>
    </row>
    <row r="512" ht="49" customHeight="1">
      <c r="A512" s="15" t="inlineStr">
        <is>
          <t>CAST-504</t>
        </is>
      </c>
      <c r="B512" s="18" t="inlineStr">
        <is>
          <t>FILM-075</t>
        </is>
      </c>
      <c r="C512" s="5" t="inlineStr">
        <is>
          <t>Amiri Garibi</t>
        </is>
      </c>
      <c r="D512" s="17" t="n">
        <v>1990</v>
      </c>
      <c r="E512" s="5" t="inlineStr">
        <is>
          <t>Jeetendra</t>
        </is>
      </c>
      <c r="F512" s="5" t="inlineStr">
        <is>
          <t>Heera</t>
        </is>
      </c>
      <c r="G512" s="5" t="inlineStr">
        <is>
          <t>Co-lead</t>
        </is>
      </c>
      <c r="H512" s="5" t="inlineStr">
        <is>
          <t>Major</t>
        </is>
      </c>
      <c r="I512" s="5" t="inlineStr">
        <is>
          <t>Top-billed in the film's other principal thread.</t>
        </is>
      </c>
      <c r="J512" s="5" t="inlineStr">
        <is>
          <t>Holds one of the film's parallel romances, separate from Kapoor's claimed marriage.</t>
        </is>
      </c>
      <c r="K512" s="19" t="inlineStr">
        <is>
          <t>Credited as Heera, the top-billed lead opposite Rekha's Sona in a film of parallel class-crossing marriages.</t>
        </is>
      </c>
      <c r="L512" s="5" t="n"/>
      <c r="M512" s="5" t="inlineStr">
        <is>
          <t>SOURCE-071</t>
        </is>
      </c>
    </row>
    <row r="513" ht="49" customHeight="1">
      <c r="A513" s="15" t="inlineStr">
        <is>
          <t>CAST-505</t>
        </is>
      </c>
      <c r="B513" s="18" t="inlineStr">
        <is>
          <t>FILM-075</t>
        </is>
      </c>
      <c r="C513" s="5" t="inlineStr">
        <is>
          <t>Amiri Garibi</t>
        </is>
      </c>
      <c r="D513" s="17" t="n">
        <v>1990</v>
      </c>
      <c r="E513" s="5" t="inlineStr">
        <is>
          <t>Rekha</t>
        </is>
      </c>
      <c r="F513" s="5" t="inlineStr">
        <is>
          <t>Sona</t>
        </is>
      </c>
      <c r="G513" s="5" t="inlineStr">
        <is>
          <t>Co-lead</t>
        </is>
      </c>
      <c r="H513" s="5" t="inlineStr">
        <is>
          <t>Major</t>
        </is>
      </c>
      <c r="I513" s="5" t="inlineStr">
        <is>
          <t>Credited as the senior heroine, in the thread beside Kapoor's.</t>
        </is>
      </c>
      <c r="J513" s="5" t="inlineStr">
        <is>
          <t>The wealthy, dowried match the matriarch prefers, and the other half of the top-billed pairing.</t>
        </is>
      </c>
      <c r="K513" s="19" t="inlineStr">
        <is>
          <t>Credited as Sona, rich and beautiful and ready to come with a large dowry, the match Sheela prepares for her son while turning the poor relations out.</t>
        </is>
      </c>
      <c r="L513" s="5" t="n"/>
      <c r="M513" s="5" t="inlineStr">
        <is>
          <t>SOURCE-071</t>
        </is>
      </c>
    </row>
    <row r="514" ht="49" customHeight="1">
      <c r="A514" s="15" t="inlineStr">
        <is>
          <t>CAST-506</t>
        </is>
      </c>
      <c r="B514" s="18" t="inlineStr">
        <is>
          <t>FILM-075</t>
        </is>
      </c>
      <c r="C514" s="5" t="inlineStr">
        <is>
          <t>Amiri Garibi</t>
        </is>
      </c>
      <c r="D514" s="17" t="n">
        <v>1990</v>
      </c>
      <c r="E514" s="5" t="inlineStr">
        <is>
          <t>Pran</t>
        </is>
      </c>
      <c r="F514" s="5" t="inlineStr">
        <is>
          <t>Narayan</t>
        </is>
      </c>
      <c r="G514" s="5" t="inlineStr">
        <is>
          <t>Family</t>
        </is>
      </c>
      <c r="H514" s="5" t="inlineStr">
        <is>
          <t>Medium</t>
        </is>
      </c>
      <c r="I514" s="5" t="inlineStr">
        <is>
          <t>Rani's father, overjoyed by a match that turns out badly.</t>
        </is>
      </c>
      <c r="J514" s="5" t="inlineStr">
        <is>
          <t>The small-town family on the wrong side of the class difference.</t>
        </is>
      </c>
      <c r="K514" s="19" t="inlineStr">
        <is>
          <t>Kedarnath's childhood friend, credited with Urmila Bhatt as his wife Laxmi, delighted when his daughter is proposed for a city industrialist's son.</t>
        </is>
      </c>
      <c r="L514" s="5" t="n"/>
      <c r="M514" s="5" t="inlineStr">
        <is>
          <t>SOURCE-071</t>
        </is>
      </c>
    </row>
    <row r="515" ht="34" customHeight="1">
      <c r="A515" s="15" t="inlineStr">
        <is>
          <t>CAST-507</t>
        </is>
      </c>
      <c r="B515" s="18" t="inlineStr">
        <is>
          <t>FILM-075</t>
        </is>
      </c>
      <c r="C515" s="5" t="inlineStr">
        <is>
          <t>Amiri Garibi</t>
        </is>
      </c>
      <c r="D515" s="17" t="n">
        <v>1990</v>
      </c>
      <c r="E515" s="5" t="inlineStr">
        <is>
          <t>Jayshree Gadkar</t>
        </is>
      </c>
      <c r="F515" s="5" t="inlineStr">
        <is>
          <t>Janki Bharadwaj</t>
        </is>
      </c>
      <c r="G515" s="5" t="inlineStr">
        <is>
          <t>Family</t>
        </is>
      </c>
      <c r="H515" s="5" t="inlineStr">
        <is>
          <t>Medium</t>
        </is>
      </c>
      <c r="I515" s="5" t="inlineStr">
        <is>
          <t>Credited in Kapoor's character's own poor family.</t>
        </is>
      </c>
      <c r="J515" s="5" t="inlineStr">
        <is>
          <t>The household on the other side of the child marriage.</t>
        </is>
      </c>
      <c r="K515" s="19" t="inlineStr">
        <is>
          <t>Credited as Janki Bharadwaj, of the poor family the wealthy household's daughter was married into as a child.</t>
        </is>
      </c>
      <c r="L515" s="5" t="n"/>
      <c r="M515" s="5" t="inlineStr">
        <is>
          <t>SOURCE-071</t>
        </is>
      </c>
    </row>
    <row r="516" ht="64" customHeight="1">
      <c r="A516" s="15" t="inlineStr">
        <is>
          <t>CAST-508</t>
        </is>
      </c>
      <c r="B516" s="18" t="inlineStr">
        <is>
          <t>FILM-076</t>
        </is>
      </c>
      <c r="C516" s="5" t="inlineStr">
        <is>
          <t>Azaad Desh Ke Gulam</t>
        </is>
      </c>
      <c r="D516" s="17" t="n">
        <v>1990</v>
      </c>
      <c r="E516" s="5" t="inlineStr">
        <is>
          <t>Rekha</t>
        </is>
      </c>
      <c r="F516" s="5" t="inlineStr">
        <is>
          <t>Bharati Bhandari</t>
        </is>
      </c>
      <c r="G516" s="5" t="inlineStr">
        <is>
          <t>Co-lead</t>
        </is>
      </c>
      <c r="H516" s="5" t="inlineStr">
        <is>
          <t>Major</t>
        </is>
      </c>
      <c r="I516" s="5" t="inlineStr">
        <is>
          <t>Vijay's law-college classmate and the woman he loves, whose father he helps her expose.</t>
        </is>
      </c>
      <c r="J516" s="5" t="inlineStr">
        <is>
          <t>The whole of the pairing in Romances, a couple set against her own family and the state.</t>
        </is>
      </c>
      <c r="K516" s="19" t="inlineStr">
        <is>
          <t>A wealthy law student who learns her father's fortune comes from smuggling and trafficking children and women, sees it herself in Goa, kills him after her mother dies in the struggle, and flees to Ooty with the documents.</t>
        </is>
      </c>
      <c r="L516" s="5" t="n"/>
      <c r="M516" s="5" t="inlineStr">
        <is>
          <t>SOURCE-072</t>
        </is>
      </c>
    </row>
    <row r="517" ht="79" customHeight="1">
      <c r="A517" s="15" t="inlineStr">
        <is>
          <t>CAST-509</t>
        </is>
      </c>
      <c r="B517" s="18" t="inlineStr">
        <is>
          <t>FILM-076</t>
        </is>
      </c>
      <c r="C517" s="5" t="inlineStr">
        <is>
          <t>Azaad Desh Ke Gulam</t>
        </is>
      </c>
      <c r="D517" s="17" t="n">
        <v>1990</v>
      </c>
      <c r="E517" s="5" t="inlineStr">
        <is>
          <t>Pran</t>
        </is>
      </c>
      <c r="F517" s="5" t="inlineStr">
        <is>
          <t>Ashok Bhandari</t>
        </is>
      </c>
      <c r="G517" s="5" t="inlineStr">
        <is>
          <t>Antagonist</t>
        </is>
      </c>
      <c r="H517" s="5" t="inlineStr">
        <is>
          <t>Major</t>
        </is>
      </c>
      <c r="I517" s="5" t="inlineStr">
        <is>
          <t>The heroine's father, and the trafficker the couple set out to expose.</t>
        </is>
      </c>
      <c r="J517" s="5" t="inlineStr">
        <is>
          <t>The whole of the external opposition, and the man the heroine finally shoots.</t>
        </is>
      </c>
      <c r="K517" s="19" t="inlineStr">
        <is>
          <t>A wealthy man whose millions come from smuggling and from selling children and young women, who lies to his daughter's face, is caught loading children onto a yacht in Goa, and holds documents that would deliver the country to a foreign power.</t>
        </is>
      </c>
      <c r="L517" s="5" t="n"/>
      <c r="M517" s="5" t="inlineStr">
        <is>
          <t>SOURCE-072</t>
        </is>
      </c>
    </row>
    <row r="518" ht="49" customHeight="1">
      <c r="A518" s="15" t="inlineStr">
        <is>
          <t>CAST-510</t>
        </is>
      </c>
      <c r="B518" s="18" t="inlineStr">
        <is>
          <t>FILM-076</t>
        </is>
      </c>
      <c r="C518" s="5" t="inlineStr">
        <is>
          <t>Azaad Desh Ke Gulam</t>
        </is>
      </c>
      <c r="D518" s="17" t="n">
        <v>1990</v>
      </c>
      <c r="E518" s="5" t="inlineStr">
        <is>
          <t>Jackie Shroff</t>
        </is>
      </c>
      <c r="F518" s="5" t="inlineStr">
        <is>
          <t>Inspector Jai Kishan / Jamliya</t>
        </is>
      </c>
      <c r="G518" s="5" t="inlineStr">
        <is>
          <t>Co-lead</t>
        </is>
      </c>
      <c r="H518" s="5" t="inlineStr">
        <is>
          <t>Major</t>
        </is>
      </c>
      <c r="I518" s="5" t="inlineStr">
        <is>
          <t>The film's second male lead, credited under a second identity.</t>
        </is>
      </c>
      <c r="J518" s="5" t="inlineStr">
        <is>
          <t>Belongs to the pursuit plot rather than the pairing.</t>
        </is>
      </c>
      <c r="K518" s="19" t="inlineStr">
        <is>
          <t>Credited as a police inspector working under the name Jamliya, the second lead of the film's second half, after the heroine goes on the run.</t>
        </is>
      </c>
      <c r="L518" s="5" t="n"/>
      <c r="M518" s="5" t="inlineStr">
        <is>
          <t>SOURCE-072</t>
        </is>
      </c>
    </row>
    <row r="519" ht="49" customHeight="1">
      <c r="A519" s="15" t="inlineStr">
        <is>
          <t>CAST-511</t>
        </is>
      </c>
      <c r="B519" s="18" t="inlineStr">
        <is>
          <t>FILM-076</t>
        </is>
      </c>
      <c r="C519" s="5" t="inlineStr">
        <is>
          <t>Azaad Desh Ke Gulam</t>
        </is>
      </c>
      <c r="D519" s="17" t="n">
        <v>1990</v>
      </c>
      <c r="E519" s="5" t="inlineStr">
        <is>
          <t>Prem Chopra</t>
        </is>
      </c>
      <c r="F519" s="5" t="inlineStr">
        <is>
          <t>Minister Narayan Das</t>
        </is>
      </c>
      <c r="G519" s="5" t="inlineStr">
        <is>
          <t>Antagonist</t>
        </is>
      </c>
      <c r="H519" s="5" t="inlineStr">
        <is>
          <t>Major</t>
        </is>
      </c>
      <c r="I519" s="5" t="inlineStr">
        <is>
          <t>The political power behind the trafficking, and the film's final antagonist.</t>
        </is>
      </c>
      <c r="J519" s="5" t="inlineStr">
        <is>
          <t>The external force the couple's case is fought against.</t>
        </is>
      </c>
      <c r="K519" s="19" t="inlineStr">
        <is>
          <t>The minister implicated in the documents, against whom the case is fought, and who is killed in the attack outside the court.</t>
        </is>
      </c>
      <c r="L519" s="5" t="n"/>
      <c r="M519" s="5" t="inlineStr">
        <is>
          <t>SOURCE-072</t>
        </is>
      </c>
    </row>
    <row r="520" ht="34" customHeight="1">
      <c r="A520" s="15" t="inlineStr">
        <is>
          <t>CAST-512</t>
        </is>
      </c>
      <c r="B520" s="18" t="inlineStr">
        <is>
          <t>FILM-076</t>
        </is>
      </c>
      <c r="C520" s="5" t="inlineStr">
        <is>
          <t>Azaad Desh Ke Gulam</t>
        </is>
      </c>
      <c r="D520" s="17" t="n">
        <v>1990</v>
      </c>
      <c r="E520" s="5" t="inlineStr">
        <is>
          <t>Ashalata Wabgaonkar</t>
        </is>
      </c>
      <c r="F520" s="5" t="inlineStr">
        <is>
          <t>Sharda Bhandari</t>
        </is>
      </c>
      <c r="G520" s="5" t="inlineStr">
        <is>
          <t>Family</t>
        </is>
      </c>
      <c r="H520" s="5" t="inlineStr">
        <is>
          <t>Medium</t>
        </is>
      </c>
      <c r="I520" s="5" t="inlineStr">
        <is>
          <t>The heroine's mother, killed in the struggle with her own daughter.</t>
        </is>
      </c>
      <c r="J520" s="5" t="inlineStr">
        <is>
          <t>Part of the family the couple is set against.</t>
        </is>
      </c>
      <c r="K520" s="19" t="inlineStr">
        <is>
          <t>Bharati's mother, who dies when the confrontation with her daughter escalates into a physical struggle.</t>
        </is>
      </c>
      <c r="L520" s="5" t="n"/>
      <c r="M520" s="5" t="inlineStr">
        <is>
          <t>SOURCE-072</t>
        </is>
      </c>
    </row>
    <row r="521" ht="109" customHeight="1">
      <c r="A521" s="15" t="inlineStr">
        <is>
          <t>CAST-513</t>
        </is>
      </c>
      <c r="B521" s="18" t="inlineStr">
        <is>
          <t>FILM-076</t>
        </is>
      </c>
      <c r="C521" s="5" t="inlineStr">
        <is>
          <t>Azaad Desh Ke Gulam</t>
        </is>
      </c>
      <c r="D521" s="17" t="n">
        <v>1990</v>
      </c>
      <c r="E521" s="5" t="inlineStr">
        <is>
          <t>Mahavir Shah</t>
        </is>
      </c>
      <c r="F521" s="5" t="inlineStr">
        <is>
          <t>Vicky</t>
        </is>
      </c>
      <c r="G521" s="5" t="inlineStr">
        <is>
          <t>Supporting</t>
        </is>
      </c>
      <c r="H521" s="5" t="inlineStr">
        <is>
          <t>Medium</t>
        </is>
      </c>
      <c r="I521" s="5" t="inlineStr">
        <is>
          <t>The rival classmate whose accusation starts the plot; note that the article's summary says Vijay was killed before the couple could act, while the cast list credits Kapoor with a second name, Chanakya, and the film's resolution has him present.</t>
        </is>
      </c>
      <c r="J521" s="5" t="inlineStr">
        <is>
          <t>The suitor whose jealousy supplies the information the romance is then built around.</t>
        </is>
      </c>
      <c r="K521" s="19" t="inlineStr">
        <is>
          <t>A fellow student, also smitten with Bharati, who tells her how her father's millions were made.</t>
        </is>
      </c>
      <c r="L521" s="5" t="n"/>
      <c r="M521" s="5" t="inlineStr">
        <is>
          <t>SOURCE-072</t>
        </is>
      </c>
    </row>
    <row r="522" ht="34" customHeight="1">
      <c r="A522" s="15" t="inlineStr">
        <is>
          <t>CAST-514</t>
        </is>
      </c>
      <c r="B522" s="18" t="inlineStr">
        <is>
          <t>FILM-076</t>
        </is>
      </c>
      <c r="C522" s="5" t="inlineStr">
        <is>
          <t>Azaad Desh Ke Gulam</t>
        </is>
      </c>
      <c r="D522" s="17" t="n">
        <v>1990</v>
      </c>
      <c r="E522" s="5" t="inlineStr">
        <is>
          <t>Ramesh Deo</t>
        </is>
      </c>
      <c r="F522" s="5" t="inlineStr">
        <is>
          <t>Kishore Bhandari</t>
        </is>
      </c>
      <c r="G522" s="5" t="inlineStr">
        <is>
          <t>Family</t>
        </is>
      </c>
      <c r="H522" s="5" t="inlineStr">
        <is>
          <t>Minor</t>
        </is>
      </c>
      <c r="I522" s="5" t="inlineStr">
        <is>
          <t>Credited within the heroine's family.</t>
        </is>
      </c>
      <c r="J522" s="5" t="inlineStr">
        <is>
          <t>Part of the household the couple exposes.</t>
        </is>
      </c>
      <c r="K522" s="19" t="inlineStr">
        <is>
          <t>Credited as Kishore Bhandari, in the family whose fortune the plot is about.</t>
        </is>
      </c>
      <c r="L522" s="5" t="n"/>
      <c r="M522" s="5" t="inlineStr">
        <is>
          <t>SOURCE-072</t>
        </is>
      </c>
    </row>
    <row r="523" ht="34" customHeight="1">
      <c r="A523" s="15" t="inlineStr">
        <is>
          <t>CAST-515</t>
        </is>
      </c>
      <c r="B523" s="18" t="inlineStr">
        <is>
          <t>FILM-076</t>
        </is>
      </c>
      <c r="C523" s="5" t="inlineStr">
        <is>
          <t>Azaad Desh Ke Gulam</t>
        </is>
      </c>
      <c r="D523" s="17" t="n">
        <v>1990</v>
      </c>
      <c r="E523" s="5" t="inlineStr">
        <is>
          <t>Rakesh Bedi</t>
        </is>
      </c>
      <c r="F523" s="5" t="inlineStr">
        <is>
          <t>Constable Kaushik Kulkarni / Daulatram</t>
        </is>
      </c>
      <c r="G523" s="5" t="inlineStr">
        <is>
          <t>Comic support</t>
        </is>
      </c>
      <c r="H523" s="5" t="inlineStr">
        <is>
          <t>Minor</t>
        </is>
      </c>
      <c r="I523" s="5" t="inlineStr">
        <is>
          <t>The comic policeman of the pursuit plot, credited under two names.</t>
        </is>
      </c>
      <c r="J523" s="5" t="inlineStr">
        <is>
          <t>Comic attendance on the chase.</t>
        </is>
      </c>
      <c r="K523" s="19" t="inlineStr">
        <is>
          <t>Credited in a double identity as a constable and as Daulatram, the comic register of the film's second half.</t>
        </is>
      </c>
      <c r="L523" s="5" t="n"/>
      <c r="M523" s="5" t="inlineStr">
        <is>
          <t>SOURCE-072</t>
        </is>
      </c>
    </row>
    <row r="524" ht="49" customHeight="1">
      <c r="A524" s="15" t="inlineStr">
        <is>
          <t>CAST-516</t>
        </is>
      </c>
      <c r="B524" s="18" t="inlineStr">
        <is>
          <t>FILM-077</t>
        </is>
      </c>
      <c r="C524" s="5" t="inlineStr">
        <is>
          <t>Sheshnaag</t>
        </is>
      </c>
      <c r="D524" s="17" t="n">
        <v>1990</v>
      </c>
      <c r="E524" s="5" t="inlineStr">
        <is>
          <t>Mandakini</t>
        </is>
      </c>
      <c r="F524" s="5" t="inlineStr">
        <is>
          <t>Kamini</t>
        </is>
      </c>
      <c r="G524" s="5" t="inlineStr">
        <is>
          <t>Co-lead</t>
        </is>
      </c>
      <c r="H524" s="5" t="inlineStr">
        <is>
          <t>Major</t>
        </is>
      </c>
      <c r="I524" s="5" t="inlineStr">
        <is>
          <t>The woman Bhola loves, promised by her father to his business partner.</t>
        </is>
      </c>
      <c r="J524" s="5" t="inlineStr">
        <is>
          <t>The whole of the pairing in Romances, pursued only after a serpent has given him wealth and courage.</t>
        </is>
      </c>
      <c r="K524" s="19" t="inlineStr">
        <is>
          <t>The daughter of the ruthless Seth Lalchand, loved by Bhola, intended for her father's business partner Vikram, and taken from her own wedding.</t>
        </is>
      </c>
      <c r="L524" s="5" t="n"/>
      <c r="M524" s="5" t="inlineStr">
        <is>
          <t>SOURCE-074</t>
        </is>
      </c>
    </row>
    <row r="525" ht="49" customHeight="1">
      <c r="A525" s="15" t="inlineStr">
        <is>
          <t>CAST-517</t>
        </is>
      </c>
      <c r="B525" s="18" t="inlineStr">
        <is>
          <t>FILM-077</t>
        </is>
      </c>
      <c r="C525" s="5" t="inlineStr">
        <is>
          <t>Sheshnaag</t>
        </is>
      </c>
      <c r="D525" s="17" t="n">
        <v>1990</v>
      </c>
      <c r="E525" s="5" t="inlineStr">
        <is>
          <t>Rekha</t>
        </is>
      </c>
      <c r="F525" s="5" t="inlineStr">
        <is>
          <t>Champa</t>
        </is>
      </c>
      <c r="G525" s="5" t="inlineStr">
        <is>
          <t>Family</t>
        </is>
      </c>
      <c r="H525" s="5" t="inlineStr">
        <is>
          <t>Major</t>
        </is>
      </c>
      <c r="I525" s="5" t="inlineStr">
        <is>
          <t>Bhola's elder sister, who takes him in and is destroyed by her husband.</t>
        </is>
      </c>
      <c r="J525" s="5" t="inlineStr">
        <is>
          <t>Her ruin is what reduces Bhola to the state the serpents then raise him from.</t>
        </is>
      </c>
      <c r="K525" s="19" t="inlineStr">
        <is>
          <t>Bhola's elder sister, married to Bansi Lal, who takes her orphaned brother in, is wagered by her husband at gambling, and jumps off a cliff when men try to molest her.</t>
        </is>
      </c>
      <c r="L525" s="5" t="n"/>
      <c r="M525" s="5" t="inlineStr">
        <is>
          <t>SOURCE-074</t>
        </is>
      </c>
    </row>
    <row r="526" ht="64" customHeight="1">
      <c r="A526" s="15" t="inlineStr">
        <is>
          <t>CAST-518</t>
        </is>
      </c>
      <c r="B526" s="18" t="inlineStr">
        <is>
          <t>FILM-077</t>
        </is>
      </c>
      <c r="C526" s="5" t="inlineStr">
        <is>
          <t>Sheshnaag</t>
        </is>
      </c>
      <c r="D526" s="17" t="n">
        <v>1990</v>
      </c>
      <c r="E526" s="5" t="inlineStr">
        <is>
          <t>Madhavi</t>
        </is>
      </c>
      <c r="F526" s="5" t="inlineStr">
        <is>
          <t>Banu</t>
        </is>
      </c>
      <c r="G526" s="5" t="inlineStr">
        <is>
          <t>Mentor</t>
        </is>
      </c>
      <c r="H526" s="5" t="inlineStr">
        <is>
          <t>Major</t>
        </is>
      </c>
      <c r="I526" s="5" t="inlineStr">
        <is>
          <t>The shape-shifting serpent he rescues, who repays him by taking his lost sister's form and making him rich.</t>
        </is>
      </c>
      <c r="J526" s="5" t="inlineStr">
        <is>
          <t>The supernatural patron who makes the courtship possible at all.</t>
        </is>
      </c>
      <c r="K526" s="19" t="inlineStr">
        <is>
          <t>An ichchhadhari naagin wounded by the wizard's witchcraft and saved by Bhola, who stops his suicide, assumes the form of his dead sister to care for him, and bestows the wealth he courts Kamini with.</t>
        </is>
      </c>
      <c r="L526" s="5" t="n"/>
      <c r="M526" s="5" t="inlineStr">
        <is>
          <t>SOURCE-074</t>
        </is>
      </c>
    </row>
    <row r="527" ht="64" customHeight="1">
      <c r="A527" s="15" t="inlineStr">
        <is>
          <t>CAST-519</t>
        </is>
      </c>
      <c r="B527" s="18" t="inlineStr">
        <is>
          <t>FILM-077</t>
        </is>
      </c>
      <c r="C527" s="5" t="inlineStr">
        <is>
          <t>Sheshnaag</t>
        </is>
      </c>
      <c r="D527" s="17" t="n">
        <v>1990</v>
      </c>
      <c r="E527" s="5" t="inlineStr">
        <is>
          <t>Jeetendra</t>
        </is>
      </c>
      <c r="F527" s="5" t="inlineStr">
        <is>
          <t>Pritam</t>
        </is>
      </c>
      <c r="G527" s="5" t="inlineStr">
        <is>
          <t>Mentor</t>
        </is>
      </c>
      <c r="H527" s="5" t="inlineStr">
        <is>
          <t>Major</t>
        </is>
      </c>
      <c r="I527" s="5" t="inlineStr">
        <is>
          <t>The male serpent, indebted to Bhola, who enters his household as a servant and trains him.</t>
        </is>
      </c>
      <c r="J527" s="5" t="inlineStr">
        <is>
          <t>Trains the hero into the courage the romance requires, and helps him seize the bride.</t>
        </is>
      </c>
      <c r="K527" s="19" t="inlineStr">
        <is>
          <t>A shape-shifting male cobra and guardian of the Sheshnaag treasure, who defeats but cannot destroy the wizard, joins Bhola's mansion as a servant, and trains him before storming the wedding with him.</t>
        </is>
      </c>
      <c r="L527" s="5" t="n"/>
      <c r="M527" s="5" t="inlineStr">
        <is>
          <t>SOURCE-074</t>
        </is>
      </c>
    </row>
    <row r="528" ht="49" customHeight="1">
      <c r="A528" s="15" t="inlineStr">
        <is>
          <t>CAST-520</t>
        </is>
      </c>
      <c r="B528" s="18" t="inlineStr">
        <is>
          <t>FILM-077</t>
        </is>
      </c>
      <c r="C528" s="5" t="inlineStr">
        <is>
          <t>Sheshnaag</t>
        </is>
      </c>
      <c r="D528" s="17" t="n">
        <v>1990</v>
      </c>
      <c r="E528" s="5" t="inlineStr">
        <is>
          <t>Anupam Kher</t>
        </is>
      </c>
      <c r="F528" s="5" t="inlineStr">
        <is>
          <t>Bansi Lal</t>
        </is>
      </c>
      <c r="G528" s="5" t="inlineStr">
        <is>
          <t>Antagonist</t>
        </is>
      </c>
      <c r="H528" s="5" t="inlineStr">
        <is>
          <t>Major</t>
        </is>
      </c>
      <c r="I528" s="5" t="inlineStr">
        <is>
          <t>The brother-in-law who ill-treats him and drives him out of the house.</t>
        </is>
      </c>
      <c r="J528" s="5" t="inlineStr">
        <is>
          <t>Destroys the household the hero starts from.</t>
        </is>
      </c>
      <c r="K528" s="19" t="inlineStr">
        <is>
          <t>Champa's husband, who ill-treats his wife's orphaned brother and drives him out, and who wagers his own wife at gambling.</t>
        </is>
      </c>
      <c r="L528" s="5" t="n"/>
      <c r="M528" s="5" t="inlineStr">
        <is>
          <t>SOURCE-074</t>
        </is>
      </c>
    </row>
    <row r="529" ht="49" customHeight="1">
      <c r="A529" s="15" t="inlineStr">
        <is>
          <t>CAST-521</t>
        </is>
      </c>
      <c r="B529" s="18" t="inlineStr">
        <is>
          <t>FILM-077</t>
        </is>
      </c>
      <c r="C529" s="5" t="inlineStr">
        <is>
          <t>Sheshnaag</t>
        </is>
      </c>
      <c r="D529" s="17" t="n">
        <v>1990</v>
      </c>
      <c r="E529" s="5" t="inlineStr">
        <is>
          <t>Danny Denzongpa</t>
        </is>
      </c>
      <c r="F529" s="5" t="inlineStr">
        <is>
          <t>Aghori</t>
        </is>
      </c>
      <c r="G529" s="5" t="inlineStr">
        <is>
          <t>Antagonist</t>
        </is>
      </c>
      <c r="H529" s="5" t="inlineStr">
        <is>
          <t>Major</t>
        </is>
      </c>
      <c r="I529" s="5" t="inlineStr">
        <is>
          <t>The wizard whose attack on the serpents begins the story Bhola is drawn into.</t>
        </is>
      </c>
      <c r="J529" s="5" t="inlineStr">
        <is>
          <t>The supernatural opposition behind the human one, as the father's mentor.</t>
        </is>
      </c>
      <c r="K529" s="19" t="inlineStr">
        <is>
          <t>A snake-charming tantric seeking the immortality the temple's eclipse-light confers, destroying snakes to get it, wounded in his duel with Pritam, and mentor to Kamini's father.</t>
        </is>
      </c>
      <c r="L529" s="5" t="n"/>
      <c r="M529" s="5" t="inlineStr">
        <is>
          <t>SOURCE-074</t>
        </is>
      </c>
    </row>
    <row r="530" ht="49" customHeight="1">
      <c r="A530" s="15" t="inlineStr">
        <is>
          <t>CAST-522</t>
        </is>
      </c>
      <c r="B530" s="18" t="inlineStr">
        <is>
          <t>FILM-077</t>
        </is>
      </c>
      <c r="C530" s="5" t="inlineStr">
        <is>
          <t>Sheshnaag</t>
        </is>
      </c>
      <c r="D530" s="17" t="n">
        <v>1990</v>
      </c>
      <c r="E530" s="5" t="inlineStr">
        <is>
          <t>Raza Murad</t>
        </is>
      </c>
      <c r="F530" s="5" t="inlineStr">
        <is>
          <t>Seth Lalchand</t>
        </is>
      </c>
      <c r="G530" s="5" t="inlineStr">
        <is>
          <t>Antagonist</t>
        </is>
      </c>
      <c r="H530" s="5" t="inlineStr">
        <is>
          <t>Major</t>
        </is>
      </c>
      <c r="I530" s="5" t="inlineStr">
        <is>
          <t>Kamini's father, an animal trafficker and the wizard's patron.</t>
        </is>
      </c>
      <c r="J530" s="5" t="inlineStr">
        <is>
          <t>The whole of the human external opposition to the pairing.</t>
        </is>
      </c>
      <c r="K530" s="19" t="inlineStr">
        <is>
          <t>A ruthless trader in animals, mentored by the Aghori, who intends his daughter for his business partner rather than for a villager.</t>
        </is>
      </c>
      <c r="L530" s="5" t="n"/>
      <c r="M530" s="5" t="inlineStr">
        <is>
          <t>SOURCE-074</t>
        </is>
      </c>
    </row>
    <row r="531" ht="34" customHeight="1">
      <c r="A531" s="15" t="inlineStr">
        <is>
          <t>CAST-523</t>
        </is>
      </c>
      <c r="B531" s="18" t="inlineStr">
        <is>
          <t>FILM-077</t>
        </is>
      </c>
      <c r="C531" s="5" t="inlineStr">
        <is>
          <t>Sheshnaag</t>
        </is>
      </c>
      <c r="D531" s="17" t="n">
        <v>1990</v>
      </c>
      <c r="E531" s="5" t="inlineStr">
        <is>
          <t>Dan Dhanoa</t>
        </is>
      </c>
      <c r="F531" s="5" t="inlineStr">
        <is>
          <t>Vikram</t>
        </is>
      </c>
      <c r="G531" s="5" t="inlineStr">
        <is>
          <t>Romantic rival</t>
        </is>
      </c>
      <c r="H531" s="5" t="inlineStr">
        <is>
          <t>Medium</t>
        </is>
      </c>
      <c r="I531" s="5" t="inlineStr">
        <is>
          <t>The fiance the heroine's father has chosen.</t>
        </is>
      </c>
      <c r="J531" s="5" t="inlineStr">
        <is>
          <t>The arranged match the hero breaks up.</t>
        </is>
      </c>
      <c r="K531" s="19" t="inlineStr">
        <is>
          <t>Seth Lalchand's business partner and Kamini's fiance, at whose wedding the hero and the serpent arrive.</t>
        </is>
      </c>
      <c r="L531" s="5" t="n"/>
      <c r="M531" s="5" t="inlineStr">
        <is>
          <t>SOURCE-074</t>
        </is>
      </c>
    </row>
    <row r="532" ht="49" customHeight="1">
      <c r="A532" s="15" t="inlineStr">
        <is>
          <t>CAST-524</t>
        </is>
      </c>
      <c r="B532" s="18" t="inlineStr">
        <is>
          <t>FILM-078</t>
        </is>
      </c>
      <c r="C532" s="5" t="inlineStr">
        <is>
          <t>Sher Dil</t>
        </is>
      </c>
      <c r="D532" s="17" t="n">
        <v>1990</v>
      </c>
      <c r="E532" s="5" t="inlineStr">
        <is>
          <t>Dharmendra</t>
        </is>
      </c>
      <c r="F532" s="5" t="inlineStr">
        <is>
          <t>Prakash Saxena / Professor Avinash Saxena / Shera</t>
        </is>
      </c>
      <c r="G532" s="5" t="inlineStr">
        <is>
          <t>Co-lead</t>
        </is>
      </c>
      <c r="H532" s="5" t="inlineStr">
        <is>
          <t>Major</t>
        </is>
      </c>
      <c r="I532" s="5" t="inlineStr">
        <is>
          <t>Top-billed opposite Kapoor's Sanjay, sharing the character surname; the article has no plot section.</t>
        </is>
      </c>
      <c r="J532" s="5" t="inlineStr">
        <is>
          <t>Undocumented.</t>
        </is>
      </c>
      <c r="K532" s="19" t="inlineStr">
        <is>
          <t>Credited in a triple role as Prakash Saxena, Professor Avinash Saxena and Shera, in an action film the article records only through its credits.</t>
        </is>
      </c>
      <c r="L532" s="5" t="n"/>
      <c r="M532" s="5" t="inlineStr">
        <is>
          <t>SOURCE-073</t>
        </is>
      </c>
    </row>
    <row r="533" ht="64" customHeight="1">
      <c r="A533" s="15" t="inlineStr">
        <is>
          <t>CAST-525</t>
        </is>
      </c>
      <c r="B533" s="18" t="inlineStr">
        <is>
          <t>FILM-078</t>
        </is>
      </c>
      <c r="C533" s="5" t="inlineStr">
        <is>
          <t>Sher Dil</t>
        </is>
      </c>
      <c r="D533" s="17" t="n">
        <v>1990</v>
      </c>
      <c r="E533" s="5" t="inlineStr">
        <is>
          <t>Anita Raj</t>
        </is>
      </c>
      <c r="F533" s="5" t="inlineStr">
        <is>
          <t>Kiran</t>
        </is>
      </c>
      <c r="G533" s="5" t="inlineStr">
        <is>
          <t>Co-lead</t>
        </is>
      </c>
      <c r="H533" s="5" t="inlineStr">
        <is>
          <t>Major</t>
        </is>
      </c>
      <c r="I533" s="5" t="inlineStr">
        <is>
          <t>Credited as the senior heroine; the relationship is undocumented.</t>
        </is>
      </c>
      <c r="J533" s="5" t="inlineStr">
        <is>
          <t>The filmography records a secondary romance for Kapoor here, but nothing about it is documented, which is why there is no Romances row.</t>
        </is>
      </c>
      <c r="K533" s="19" t="inlineStr">
        <is>
          <t>Credited as Kiran, the first of the film's two heroines, in an article with no synopsis.</t>
        </is>
      </c>
      <c r="L533" s="5" t="n"/>
      <c r="M533" s="5" t="inlineStr">
        <is>
          <t>SOURCE-073</t>
        </is>
      </c>
    </row>
    <row r="534" ht="64" customHeight="1">
      <c r="A534" s="15" t="inlineStr">
        <is>
          <t>CAST-526</t>
        </is>
      </c>
      <c r="B534" s="18" t="inlineStr">
        <is>
          <t>FILM-078</t>
        </is>
      </c>
      <c r="C534" s="5" t="inlineStr">
        <is>
          <t>Sher Dil</t>
        </is>
      </c>
      <c r="D534" s="17" t="n">
        <v>1990</v>
      </c>
      <c r="E534" s="5" t="inlineStr">
        <is>
          <t>Kimi Katkar</t>
        </is>
      </c>
      <c r="F534" s="5" t="inlineStr">
        <is>
          <t>Jyoti</t>
        </is>
      </c>
      <c r="G534" s="5" t="inlineStr">
        <is>
          <t>Co-lead</t>
        </is>
      </c>
      <c r="H534" s="5" t="inlineStr">
        <is>
          <t>Major</t>
        </is>
      </c>
      <c r="I534" s="5" t="inlineStr">
        <is>
          <t>Credited as the second heroine; the cast list records that her character is molested, but no plot section explains by whom or to what end.</t>
        </is>
      </c>
      <c r="J534" s="5" t="inlineStr">
        <is>
          <t>Undocumented.</t>
        </is>
      </c>
      <c r="K534" s="19" t="inlineStr">
        <is>
          <t>Credited as Jyoti, with the cast list separately crediting Arjun as the man who molests her, the only narrative detail the article carries.</t>
        </is>
      </c>
      <c r="L534" s="5" t="n"/>
      <c r="M534" s="5" t="inlineStr">
        <is>
          <t>SOURCE-073</t>
        </is>
      </c>
    </row>
    <row r="535" ht="34" customHeight="1">
      <c r="A535" s="15" t="inlineStr">
        <is>
          <t>CAST-527</t>
        </is>
      </c>
      <c r="B535" s="18" t="inlineStr">
        <is>
          <t>FILM-078</t>
        </is>
      </c>
      <c r="C535" s="5" t="inlineStr">
        <is>
          <t>Sher Dil</t>
        </is>
      </c>
      <c r="D535" s="17" t="n">
        <v>1990</v>
      </c>
      <c r="E535" s="5" t="inlineStr">
        <is>
          <t>Kader Khan</t>
        </is>
      </c>
      <c r="F535" s="5" t="inlineStr">
        <is>
          <t>Shobhraj / Lobhraj</t>
        </is>
      </c>
      <c r="G535" s="5" t="inlineStr">
        <is>
          <t>Antagonist</t>
        </is>
      </c>
      <c r="H535" s="5" t="inlineStr">
        <is>
          <t>Major</t>
        </is>
      </c>
      <c r="I535" s="5" t="inlineStr">
        <is>
          <t>Credited in a double role as the film's antagonist.</t>
        </is>
      </c>
      <c r="J535" s="5" t="inlineStr">
        <is>
          <t>Undocumented.</t>
        </is>
      </c>
      <c r="K535" s="19" t="inlineStr">
        <is>
          <t>Credited in a double role as Shobhraj and Lobhraj, the villain of a film whose plot the article does not give.</t>
        </is>
      </c>
      <c r="L535" s="5" t="n"/>
      <c r="M535" s="5" t="inlineStr">
        <is>
          <t>SOURCE-073</t>
        </is>
      </c>
    </row>
    <row r="536" ht="34" customHeight="1">
      <c r="A536" s="15" t="inlineStr">
        <is>
          <t>CAST-528</t>
        </is>
      </c>
      <c r="B536" s="18" t="inlineStr">
        <is>
          <t>FILM-078</t>
        </is>
      </c>
      <c r="C536" s="5" t="inlineStr">
        <is>
          <t>Sher Dil</t>
        </is>
      </c>
      <c r="D536" s="17" t="n">
        <v>1990</v>
      </c>
      <c r="E536" s="5" t="inlineStr">
        <is>
          <t>Gulshan Grover</t>
        </is>
      </c>
      <c r="F536" s="5" t="inlineStr">
        <is>
          <t>Ranjeet</t>
        </is>
      </c>
      <c r="G536" s="5" t="inlineStr">
        <is>
          <t>Antagonist</t>
        </is>
      </c>
      <c r="H536" s="5" t="inlineStr">
        <is>
          <t>Medium</t>
        </is>
      </c>
      <c r="I536" s="5" t="inlineStr">
        <is>
          <t>Credited among the opposition, with a sidekick of his own.</t>
        </is>
      </c>
      <c r="J536" s="5" t="inlineStr">
        <is>
          <t>Undocumented.</t>
        </is>
      </c>
      <c r="K536" s="19" t="inlineStr">
        <is>
          <t>Credited as Ranjeet, with Shiva Rindani as his sidekick, in the undocumented villain ranks.</t>
        </is>
      </c>
      <c r="L536" s="5" t="n"/>
      <c r="M536" s="5" t="inlineStr">
        <is>
          <t>SOURCE-073</t>
        </is>
      </c>
    </row>
    <row r="537" ht="49" customHeight="1">
      <c r="A537" s="15" t="inlineStr">
        <is>
          <t>CAST-529</t>
        </is>
      </c>
      <c r="B537" s="18" t="inlineStr">
        <is>
          <t>FILM-078</t>
        </is>
      </c>
      <c r="C537" s="5" t="inlineStr">
        <is>
          <t>Sher Dil</t>
        </is>
      </c>
      <c r="D537" s="17" t="n">
        <v>1990</v>
      </c>
      <c r="E537" s="5" t="inlineStr">
        <is>
          <t>Pradeep Kumar</t>
        </is>
      </c>
      <c r="F537" s="5" t="inlineStr">
        <is>
          <t>Ram Kumar Saxena</t>
        </is>
      </c>
      <c r="G537" s="5" t="inlineStr">
        <is>
          <t>Family</t>
        </is>
      </c>
      <c r="H537" s="5" t="inlineStr">
        <is>
          <t>Medium</t>
        </is>
      </c>
      <c r="I537" s="5" t="inlineStr">
        <is>
          <t>Credited as the senior Saxena, the family name Kapoor's character shares.</t>
        </is>
      </c>
      <c r="J537" s="5" t="inlineStr">
        <is>
          <t>Undocumented.</t>
        </is>
      </c>
      <c r="K537" s="19" t="inlineStr">
        <is>
          <t>Credited as Ram Kumar Saxena, with Rohini Hattangadi as Maya Saxena, the parental generation of the family in the title.</t>
        </is>
      </c>
      <c r="L537" s="5" t="n"/>
      <c r="M537" s="5" t="inlineStr">
        <is>
          <t>SOURCE-073</t>
        </is>
      </c>
    </row>
    <row r="538" ht="34" customHeight="1">
      <c r="A538" s="15" t="inlineStr">
        <is>
          <t>CAST-530</t>
        </is>
      </c>
      <c r="B538" s="18" t="inlineStr">
        <is>
          <t>FILM-078</t>
        </is>
      </c>
      <c r="C538" s="5" t="inlineStr">
        <is>
          <t>Sher Dil</t>
        </is>
      </c>
      <c r="D538" s="17" t="n">
        <v>1990</v>
      </c>
      <c r="E538" s="5" t="inlineStr">
        <is>
          <t>Rohini Hattangadi</t>
        </is>
      </c>
      <c r="F538" s="5" t="inlineStr">
        <is>
          <t>Maya Saxena</t>
        </is>
      </c>
      <c r="G538" s="5" t="inlineStr">
        <is>
          <t>Family</t>
        </is>
      </c>
      <c r="H538" s="5" t="inlineStr">
        <is>
          <t>Medium</t>
        </is>
      </c>
      <c r="I538" s="5" t="inlineStr">
        <is>
          <t>Credited in the Saxena family; undocumented.</t>
        </is>
      </c>
      <c r="J538" s="5" t="inlineStr">
        <is>
          <t>Undocumented.</t>
        </is>
      </c>
      <c r="K538" s="19" t="inlineStr">
        <is>
          <t>Credited as Maya Saxena, opposite Pradeep Kumar's Ram Kumar Saxena, in an article with no plot section.</t>
        </is>
      </c>
      <c r="L538" s="5" t="n"/>
      <c r="M538" s="5" t="inlineStr">
        <is>
          <t>SOURCE-073</t>
        </is>
      </c>
    </row>
    <row r="539" ht="49" customHeight="1">
      <c r="A539" s="15" t="inlineStr">
        <is>
          <t>CAST-540</t>
        </is>
      </c>
      <c r="B539" s="18" t="inlineStr">
        <is>
          <t>FILM-079</t>
        </is>
      </c>
      <c r="C539" s="5" t="inlineStr">
        <is>
          <t>Ghar Parivar</t>
        </is>
      </c>
      <c r="D539" s="17" t="n">
        <v>1991</v>
      </c>
      <c r="E539" s="5" t="inlineStr">
        <is>
          <t>Rajesh Khanna</t>
        </is>
      </c>
      <c r="F539" s="5" t="inlineStr">
        <is>
          <t>Shankar</t>
        </is>
      </c>
      <c r="G539" s="5" t="inlineStr">
        <is>
          <t>Co-lead</t>
        </is>
      </c>
      <c r="H539" s="5" t="inlineStr">
        <is>
          <t>Major</t>
        </is>
      </c>
      <c r="I539" s="5" t="inlineStr">
        <is>
          <t>Top-billed as the eldest of the three brothers, of whom Kapoor's Birju is the youngest.</t>
        </is>
      </c>
      <c r="J539" s="5" t="inlineStr">
        <is>
          <t>Undocumented; the article has a cast table but no plot section.</t>
        </is>
      </c>
      <c r="K539" s="19" t="inlineStr">
        <is>
          <t>Credited as Shankar, the elder brother, married to Moushumi Chatterjee's Parvati, in a family drama the article records only through its credits.</t>
        </is>
      </c>
      <c r="L539" s="5" t="n"/>
      <c r="M539" s="5" t="inlineStr">
        <is>
          <t>SOURCE-079</t>
        </is>
      </c>
    </row>
    <row r="540" ht="79" customHeight="1">
      <c r="A540" s="15" t="inlineStr">
        <is>
          <t>CAST-541</t>
        </is>
      </c>
      <c r="B540" s="18" t="inlineStr">
        <is>
          <t>FILM-079</t>
        </is>
      </c>
      <c r="C540" s="5" t="inlineStr">
        <is>
          <t>Ghar Parivar</t>
        </is>
      </c>
      <c r="D540" s="17" t="n">
        <v>1991</v>
      </c>
      <c r="E540" s="5" t="inlineStr">
        <is>
          <t>Meenakshi Seshadri</t>
        </is>
      </c>
      <c r="F540" s="5" t="inlineStr">
        <is>
          <t>Mala</t>
        </is>
      </c>
      <c r="G540" s="5" t="inlineStr">
        <is>
          <t>Co-lead</t>
        </is>
      </c>
      <c r="H540" s="5" t="inlineStr">
        <is>
          <t>Major</t>
        </is>
      </c>
      <c r="I540" s="5" t="inlineStr">
        <is>
          <t>The cast table names her explicitly as Birju's love interest, which is the only documented statement about Kapoor's relationships in this film.</t>
        </is>
      </c>
      <c r="J540" s="5" t="inlineStr">
        <is>
          <t>The filmography records a secondary romance here and the cast table confirms the pairing, but no synopsis describes it, which is why there is no Romances row.</t>
        </is>
      </c>
      <c r="K540" s="19" t="inlineStr">
        <is>
          <t>Credited as Mala and identified in the cast table as Birju's love interest, in a film whose article carries no plot at all.</t>
        </is>
      </c>
      <c r="L540" s="5" t="n"/>
      <c r="M540" s="5" t="inlineStr">
        <is>
          <t>SOURCE-079</t>
        </is>
      </c>
    </row>
    <row r="541" ht="34" customHeight="1">
      <c r="A541" s="15" t="inlineStr">
        <is>
          <t>CAST-542</t>
        </is>
      </c>
      <c r="B541" s="18" t="inlineStr">
        <is>
          <t>FILM-079</t>
        </is>
      </c>
      <c r="C541" s="5" t="inlineStr">
        <is>
          <t>Ghar Parivar</t>
        </is>
      </c>
      <c r="D541" s="17" t="n">
        <v>1991</v>
      </c>
      <c r="E541" s="5" t="inlineStr">
        <is>
          <t>Moushumi Chatterjee</t>
        </is>
      </c>
      <c r="F541" s="5" t="inlineStr">
        <is>
          <t>Parvati</t>
        </is>
      </c>
      <c r="G541" s="5" t="inlineStr">
        <is>
          <t>Family</t>
        </is>
      </c>
      <c r="H541" s="5" t="inlineStr">
        <is>
          <t>Major</t>
        </is>
      </c>
      <c r="I541" s="5" t="inlineStr">
        <is>
          <t>Credited as the eldest brother's wife, and so Kapoor's sister-in-law.</t>
        </is>
      </c>
      <c r="J541" s="5" t="inlineStr">
        <is>
          <t>Undocumented.</t>
        </is>
      </c>
      <c r="K541" s="19" t="inlineStr">
        <is>
          <t>Credited as Parvati, Shankar's wife, in the joint household of three brothers; the last of her four films with Kapoor.</t>
        </is>
      </c>
      <c r="L541" s="5" t="n"/>
      <c r="M541" s="5" t="inlineStr">
        <is>
          <t>SOURCE-079</t>
        </is>
      </c>
    </row>
    <row r="542" ht="34" customHeight="1">
      <c r="A542" s="15" t="inlineStr">
        <is>
          <t>CAST-543</t>
        </is>
      </c>
      <c r="B542" s="18" t="inlineStr">
        <is>
          <t>FILM-079</t>
        </is>
      </c>
      <c r="C542" s="5" t="inlineStr">
        <is>
          <t>Ghar Parivar</t>
        </is>
      </c>
      <c r="D542" s="17" t="n">
        <v>1991</v>
      </c>
      <c r="E542" s="5" t="inlineStr">
        <is>
          <t>Dina Pathak</t>
        </is>
      </c>
      <c r="F542" s="5" t="inlineStr">
        <is>
          <t>Lakshmi</t>
        </is>
      </c>
      <c r="G542" s="5" t="inlineStr">
        <is>
          <t>Family</t>
        </is>
      </c>
      <c r="H542" s="5" t="inlineStr">
        <is>
          <t>Major</t>
        </is>
      </c>
      <c r="I542" s="5" t="inlineStr">
        <is>
          <t>Credited as the mother of all three brothers.</t>
        </is>
      </c>
      <c r="J542" s="5" t="inlineStr">
        <is>
          <t>Undocumented.</t>
        </is>
      </c>
      <c r="K542" s="19" t="inlineStr">
        <is>
          <t>Credited as Lakshmi, mother of Shankar, Balwant and Birju, the centre of the family the title names.</t>
        </is>
      </c>
      <c r="L542" s="5" t="n"/>
      <c r="M542" s="5" t="inlineStr">
        <is>
          <t>SOURCE-079</t>
        </is>
      </c>
    </row>
    <row r="543" ht="34" customHeight="1">
      <c r="A543" s="15" t="inlineStr">
        <is>
          <t>CAST-544</t>
        </is>
      </c>
      <c r="B543" s="18" t="inlineStr">
        <is>
          <t>FILM-079</t>
        </is>
      </c>
      <c r="C543" s="5" t="inlineStr">
        <is>
          <t>Ghar Parivar</t>
        </is>
      </c>
      <c r="D543" s="17" t="n">
        <v>1991</v>
      </c>
      <c r="E543" s="5" t="inlineStr">
        <is>
          <t>Raj Kiran</t>
        </is>
      </c>
      <c r="F543" s="5" t="inlineStr">
        <is>
          <t>Balwant</t>
        </is>
      </c>
      <c r="G543" s="5" t="inlineStr">
        <is>
          <t>Family</t>
        </is>
      </c>
      <c r="H543" s="5" t="inlineStr">
        <is>
          <t>Major</t>
        </is>
      </c>
      <c r="I543" s="5" t="inlineStr">
        <is>
          <t>Credited as the middle brother, between Shankar and Kapoor's Birju.</t>
        </is>
      </c>
      <c r="J543" s="5" t="inlineStr">
        <is>
          <t>Undocumented.</t>
        </is>
      </c>
      <c r="K543" s="19" t="inlineStr">
        <is>
          <t>Credited as Balwant, the middle brother, married to Shoma Anand's Bimla.</t>
        </is>
      </c>
      <c r="L543" s="5" t="n"/>
      <c r="M543" s="5" t="inlineStr">
        <is>
          <t>SOURCE-079</t>
        </is>
      </c>
    </row>
    <row r="544" ht="34" customHeight="1">
      <c r="A544" s="15" t="inlineStr">
        <is>
          <t>CAST-545</t>
        </is>
      </c>
      <c r="B544" s="18" t="inlineStr">
        <is>
          <t>FILM-079</t>
        </is>
      </c>
      <c r="C544" s="5" t="inlineStr">
        <is>
          <t>Ghar Parivar</t>
        </is>
      </c>
      <c r="D544" s="17" t="n">
        <v>1991</v>
      </c>
      <c r="E544" s="5" t="inlineStr">
        <is>
          <t>Shoma Anand</t>
        </is>
      </c>
      <c r="F544" s="5" t="inlineStr">
        <is>
          <t>Bimla</t>
        </is>
      </c>
      <c r="G544" s="5" t="inlineStr">
        <is>
          <t>Family</t>
        </is>
      </c>
      <c r="H544" s="5" t="inlineStr">
        <is>
          <t>Medium</t>
        </is>
      </c>
      <c r="I544" s="5" t="inlineStr">
        <is>
          <t>Credited as the middle brother's wife.</t>
        </is>
      </c>
      <c r="J544" s="5" t="inlineStr">
        <is>
          <t>Undocumented.</t>
        </is>
      </c>
      <c r="K544" s="19" t="inlineStr">
        <is>
          <t>Credited as Bimla, Balwant's wife, one of the household's two established marriages.</t>
        </is>
      </c>
      <c r="L544" s="5" t="n"/>
      <c r="M544" s="5" t="inlineStr">
        <is>
          <t>SOURCE-079</t>
        </is>
      </c>
    </row>
    <row r="545" ht="49" customHeight="1">
      <c r="A545" s="15" t="inlineStr">
        <is>
          <t>CAST-546</t>
        </is>
      </c>
      <c r="B545" s="18" t="inlineStr">
        <is>
          <t>FILM-079</t>
        </is>
      </c>
      <c r="C545" s="5" t="inlineStr">
        <is>
          <t>Ghar Parivar</t>
        </is>
      </c>
      <c r="D545" s="17" t="n">
        <v>1991</v>
      </c>
      <c r="E545" s="5" t="inlineStr">
        <is>
          <t>Prem Chopra</t>
        </is>
      </c>
      <c r="F545" s="5" t="inlineStr">
        <is>
          <t>Seth Bansilal Agarwal</t>
        </is>
      </c>
      <c r="G545" s="5" t="inlineStr">
        <is>
          <t>Antagonist</t>
        </is>
      </c>
      <c r="H545" s="5" t="inlineStr">
        <is>
          <t>Major</t>
        </is>
      </c>
      <c r="I545" s="5" t="inlineStr">
        <is>
          <t>The cast table marks him the main antagonist of the family's story.</t>
        </is>
      </c>
      <c r="J545" s="5" t="inlineStr">
        <is>
          <t>Undocumented.</t>
        </is>
      </c>
      <c r="K545" s="19" t="inlineStr">
        <is>
          <t>Credited as Seth Bansilal Agarwal and marked in the cast table as the main antagonist, with a munshi and a henchman of his own.</t>
        </is>
      </c>
      <c r="L545" s="5" t="n"/>
      <c r="M545" s="5" t="inlineStr">
        <is>
          <t>SOURCE-079</t>
        </is>
      </c>
    </row>
    <row r="546" ht="34" customHeight="1">
      <c r="A546" s="15" t="inlineStr">
        <is>
          <t>CAST-547</t>
        </is>
      </c>
      <c r="B546" s="18" t="inlineStr">
        <is>
          <t>FILM-079</t>
        </is>
      </c>
      <c r="C546" s="5" t="inlineStr">
        <is>
          <t>Ghar Parivar</t>
        </is>
      </c>
      <c r="D546" s="17" t="n">
        <v>1991</v>
      </c>
      <c r="E546" s="5" t="inlineStr">
        <is>
          <t>Ashok Saraf</t>
        </is>
      </c>
      <c r="F546" s="5" t="inlineStr">
        <is>
          <t>Ramu Bhaiya</t>
        </is>
      </c>
      <c r="G546" s="5" t="inlineStr">
        <is>
          <t>Supporting</t>
        </is>
      </c>
      <c r="H546" s="5" t="inlineStr">
        <is>
          <t>Medium</t>
        </is>
      </c>
      <c r="I546" s="5" t="inlineStr">
        <is>
          <t>Credited as the antagonist's accountant, inside the opposing camp.</t>
        </is>
      </c>
      <c r="J546" s="5" t="inlineStr">
        <is>
          <t>Undocumented.</t>
        </is>
      </c>
      <c r="K546" s="19" t="inlineStr">
        <is>
          <t>Credited as Ramu Bhaiya, the Seth's munshi, in an article with no synopsis.</t>
        </is>
      </c>
      <c r="L546" s="5" t="n"/>
      <c r="M546" s="5" t="inlineStr">
        <is>
          <t>SOURCE-079</t>
        </is>
      </c>
    </row>
    <row r="547" ht="34" customHeight="1">
      <c r="A547" s="15" t="inlineStr">
        <is>
          <t>CAST-548</t>
        </is>
      </c>
      <c r="B547" s="18" t="inlineStr">
        <is>
          <t>FILM-079</t>
        </is>
      </c>
      <c r="C547" s="5" t="inlineStr">
        <is>
          <t>Ghar Parivar</t>
        </is>
      </c>
      <c r="D547" s="17" t="n">
        <v>1991</v>
      </c>
      <c r="E547" s="5" t="inlineStr">
        <is>
          <t>Asrani</t>
        </is>
      </c>
      <c r="F547" s="5" t="inlineStr">
        <is>
          <t>Seth's man</t>
        </is>
      </c>
      <c r="G547" s="5" t="inlineStr">
        <is>
          <t>Comic support</t>
        </is>
      </c>
      <c r="H547" s="5" t="inlineStr">
        <is>
          <t>Minor</t>
        </is>
      </c>
      <c r="I547" s="5" t="inlineStr">
        <is>
          <t>Credited only by relation to the antagonist.</t>
        </is>
      </c>
      <c r="J547" s="5" t="inlineStr">
        <is>
          <t>Undocumented.</t>
        </is>
      </c>
      <c r="K547" s="19" t="inlineStr">
        <is>
          <t>Credited simply as the Seth's man, in the comic register of an undocumented plot.</t>
        </is>
      </c>
      <c r="L547" s="5" t="n"/>
      <c r="M547" s="5" t="inlineStr">
        <is>
          <t>SOURCE-079</t>
        </is>
      </c>
    </row>
    <row r="548" ht="64" customHeight="1">
      <c r="A548" s="15" t="inlineStr">
        <is>
          <t>CAST-531</t>
        </is>
      </c>
      <c r="B548" s="18" t="inlineStr">
        <is>
          <t>FILM-080</t>
        </is>
      </c>
      <c r="C548" s="5" t="inlineStr">
        <is>
          <t>Ajooba</t>
        </is>
      </c>
      <c r="D548" s="17" t="n">
        <v>1991</v>
      </c>
      <c r="E548" s="5" t="inlineStr">
        <is>
          <t>Amitabh Bachchan</t>
        </is>
      </c>
      <c r="F548" s="5" t="inlineStr">
        <is>
          <t>Shehzada Ali / Ajooba</t>
        </is>
      </c>
      <c r="G548" s="5" t="inlineStr">
        <is>
          <t>Co-lead</t>
        </is>
      </c>
      <c r="H548" s="5" t="inlineStr">
        <is>
          <t>Major</t>
        </is>
      </c>
      <c r="I548" s="5" t="inlineStr">
        <is>
          <t>The film's protagonist, whose double life Kapoor's character shares as friend and accomplice.</t>
        </is>
      </c>
      <c r="J548" s="5" t="inlineStr">
        <is>
          <t>Holds the film's principal romance, beside which Kapoor's is minor.</t>
        </is>
      </c>
      <c r="K548" s="19" t="inlineStr">
        <is>
          <t>The son born to the Sultan after divine intervention makes him immune to the Vazir's poisons, raised as a restaurateur, and secretly the masked rider Ajooba who frustrates the usurper.</t>
        </is>
      </c>
      <c r="L548" s="5" t="n"/>
      <c r="M548" s="5" t="inlineStr">
        <is>
          <t>SOURCE-075</t>
        </is>
      </c>
    </row>
    <row r="549" ht="49" customHeight="1">
      <c r="A549" s="15" t="inlineStr">
        <is>
          <t>CAST-532</t>
        </is>
      </c>
      <c r="B549" s="18" t="inlineStr">
        <is>
          <t>FILM-080</t>
        </is>
      </c>
      <c r="C549" s="5" t="inlineStr">
        <is>
          <t>Ajooba</t>
        </is>
      </c>
      <c r="D549" s="17" t="n">
        <v>1991</v>
      </c>
      <c r="E549" s="5" t="inlineStr">
        <is>
          <t>Dimple Kapadia</t>
        </is>
      </c>
      <c r="F549" s="5" t="inlineStr">
        <is>
          <t>Rukhsana Khan</t>
        </is>
      </c>
      <c r="G549" s="5" t="inlineStr">
        <is>
          <t>Co-lead</t>
        </is>
      </c>
      <c r="H549" s="5" t="inlineStr">
        <is>
          <t>Major</t>
        </is>
      </c>
      <c r="I549" s="5" t="inlineStr">
        <is>
          <t>The protagonist's romance, in the thread beside Kapoor's companion part.</t>
        </is>
      </c>
      <c r="J549" s="5" t="inlineStr">
        <is>
          <t>The film's principal courtship.</t>
        </is>
      </c>
      <c r="K549" s="19" t="inlineStr">
        <is>
          <t>Credited as Rukhsana Khan, with Sushma Seth as Zarina Khan and Tinu Anand as Anwar Khan in her family, the heroine of the adventure.</t>
        </is>
      </c>
      <c r="L549" s="5" t="n"/>
      <c r="M549" s="5" t="inlineStr">
        <is>
          <t>SOURCE-075</t>
        </is>
      </c>
    </row>
    <row r="550" ht="79" customHeight="1">
      <c r="A550" s="15" t="inlineStr">
        <is>
          <t>CAST-533</t>
        </is>
      </c>
      <c r="B550" s="18" t="inlineStr">
        <is>
          <t>FILM-080</t>
        </is>
      </c>
      <c r="C550" s="5" t="inlineStr">
        <is>
          <t>Ajooba</t>
        </is>
      </c>
      <c r="D550" s="17" t="n">
        <v>1991</v>
      </c>
      <c r="E550" s="5" t="inlineStr">
        <is>
          <t>Sonam</t>
        </is>
      </c>
      <c r="F550" s="5" t="inlineStr">
        <is>
          <t>Shehzadi Henna</t>
        </is>
      </c>
      <c r="G550" s="5" t="inlineStr">
        <is>
          <t>Supporting</t>
        </is>
      </c>
      <c r="H550" s="5" t="inlineStr">
        <is>
          <t>Major</t>
        </is>
      </c>
      <c r="I550" s="5" t="inlineStr">
        <is>
          <t>Credited as the film's second heroine, and by billing the one opposite Kapoor's Hassan.</t>
        </is>
      </c>
      <c r="J550" s="5" t="inlineStr">
        <is>
          <t>The filmography records only a minor romance for Kapoor here and the article's summary does not describe it, which is why there is no Romances row.</t>
        </is>
      </c>
      <c r="K550" s="19" t="inlineStr">
        <is>
          <t>Credited as the princess Henna, the second heroine of the film, in the secondary romantic thread beside the masked rider's.</t>
        </is>
      </c>
      <c r="L550" s="5" t="n"/>
      <c r="M550" s="5" t="inlineStr">
        <is>
          <t>SOURCE-075</t>
        </is>
      </c>
    </row>
    <row r="551" ht="49" customHeight="1">
      <c r="A551" s="15" t="inlineStr">
        <is>
          <t>CAST-534</t>
        </is>
      </c>
      <c r="B551" s="18" t="inlineStr">
        <is>
          <t>FILM-080</t>
        </is>
      </c>
      <c r="C551" s="5" t="inlineStr">
        <is>
          <t>Ajooba</t>
        </is>
      </c>
      <c r="D551" s="17" t="n">
        <v>1991</v>
      </c>
      <c r="E551" s="5" t="inlineStr">
        <is>
          <t>Amrish Puri</t>
        </is>
      </c>
      <c r="F551" s="5" t="inlineStr">
        <is>
          <t>Vazir</t>
        </is>
      </c>
      <c r="G551" s="5" t="inlineStr">
        <is>
          <t>Antagonist</t>
        </is>
      </c>
      <c r="H551" s="5" t="inlineStr">
        <is>
          <t>Major</t>
        </is>
      </c>
      <c r="I551" s="5" t="inlineStr">
        <is>
          <t>The usurper whose strongholds Kapoor's character helps raid.</t>
        </is>
      </c>
      <c r="J551" s="5" t="inlineStr">
        <is>
          <t>The external threat the whole adventure, romance included, is set against.</t>
        </is>
      </c>
      <c r="K551" s="19" t="inlineStr">
        <is>
          <t>A devil-worshipping vizier who has every child born to the Sultan strangled, revives the stone Fauladi Shaitan, and means to take the throne and the world.</t>
        </is>
      </c>
      <c r="L551" s="5" t="n"/>
      <c r="M551" s="5" t="inlineStr">
        <is>
          <t>SOURCE-075</t>
        </is>
      </c>
    </row>
    <row r="552" ht="49" customHeight="1">
      <c r="A552" s="15" t="inlineStr">
        <is>
          <t>CAST-535</t>
        </is>
      </c>
      <c r="B552" s="18" t="inlineStr">
        <is>
          <t>FILM-080</t>
        </is>
      </c>
      <c r="C552" s="5" t="inlineStr">
        <is>
          <t>Ajooba</t>
        </is>
      </c>
      <c r="D552" s="17" t="n">
        <v>1991</v>
      </c>
      <c r="E552" s="5" t="inlineStr">
        <is>
          <t>Shammi Kapoor</t>
        </is>
      </c>
      <c r="F552" s="5" t="inlineStr">
        <is>
          <t>Sultan / Peer Baba</t>
        </is>
      </c>
      <c r="G552" s="5" t="inlineStr">
        <is>
          <t>Family</t>
        </is>
      </c>
      <c r="H552" s="5" t="inlineStr">
        <is>
          <t>Major</t>
        </is>
      </c>
      <c r="I552" s="5" t="inlineStr">
        <is>
          <t>The kind Sultan of Baharistan, and Kapoor's own uncle, credited in a second identity as well.</t>
        </is>
      </c>
      <c r="J552" s="5" t="inlineStr">
        <is>
          <t>The throne the adventure defends rather than a party to the romances.</t>
        </is>
      </c>
      <c r="K552" s="19" t="inlineStr">
        <is>
          <t>The childless, kind-hearted ruler of the Afghan kingdom of Baharistan, credited also as Peer Baba, whose heirs the Vazir has murdered one after another.</t>
        </is>
      </c>
      <c r="L552" s="5" t="n"/>
      <c r="M552" s="5" t="inlineStr">
        <is>
          <t>SOURCE-075</t>
        </is>
      </c>
    </row>
    <row r="553" ht="49" customHeight="1">
      <c r="A553" s="15" t="inlineStr">
        <is>
          <t>CAST-536</t>
        </is>
      </c>
      <c r="B553" s="18" t="inlineStr">
        <is>
          <t>FILM-080</t>
        </is>
      </c>
      <c r="C553" s="5" t="inlineStr">
        <is>
          <t>Ajooba</t>
        </is>
      </c>
      <c r="D553" s="17" t="n">
        <v>1991</v>
      </c>
      <c r="E553" s="5" t="inlineStr">
        <is>
          <t>Saeed Jaffrey</t>
        </is>
      </c>
      <c r="F553" s="5" t="inlineStr">
        <is>
          <t>Magician Ameer Khan</t>
        </is>
      </c>
      <c r="G553" s="5" t="inlineStr">
        <is>
          <t>Mentor</t>
        </is>
      </c>
      <c r="H553" s="5" t="inlineStr">
        <is>
          <t>Major</t>
        </is>
      </c>
      <c r="I553" s="5" t="inlineStr">
        <is>
          <t>The court magician whose magic sword and prophecy organise the plot the companions carry out.</t>
        </is>
      </c>
      <c r="J553" s="5" t="inlineStr">
        <is>
          <t>No direct part in the romances.</t>
        </is>
      </c>
      <c r="K553" s="19" t="inlineStr">
        <is>
          <t>The good court magician called Ameer Baba, the Sultan's close friend, returned from travels in Hind with a magic sword that only a member of the royal line can draw from stone.</t>
        </is>
      </c>
      <c r="L553" s="5" t="n"/>
      <c r="M553" s="5" t="inlineStr">
        <is>
          <t>SOURCE-075</t>
        </is>
      </c>
    </row>
    <row r="554" ht="34" customHeight="1">
      <c r="A554" s="15" t="inlineStr">
        <is>
          <t>CAST-537</t>
        </is>
      </c>
      <c r="B554" s="18" t="inlineStr">
        <is>
          <t>FILM-080</t>
        </is>
      </c>
      <c r="C554" s="5" t="inlineStr">
        <is>
          <t>Ajooba</t>
        </is>
      </c>
      <c r="D554" s="17" t="n">
        <v>1991</v>
      </c>
      <c r="E554" s="5" t="inlineStr">
        <is>
          <t>Dara Singh</t>
        </is>
      </c>
      <c r="F554" s="5" t="inlineStr">
        <is>
          <t>Maharaja Karan Singh</t>
        </is>
      </c>
      <c r="G554" s="5" t="inlineStr">
        <is>
          <t>Authority figure</t>
        </is>
      </c>
      <c r="H554" s="5" t="inlineStr">
        <is>
          <t>Medium</t>
        </is>
      </c>
      <c r="I554" s="5" t="inlineStr">
        <is>
          <t>A neighbouring ruler in the film's political geography.</t>
        </is>
      </c>
      <c r="J554" s="5" t="inlineStr">
        <is>
          <t>No documented part in the romances.</t>
        </is>
      </c>
      <c r="K554" s="19" t="inlineStr">
        <is>
          <t>Credited as Maharaja Karan Singh, with Tej Sapru as Prince Udham Singh, the Indian royal house of the story.</t>
        </is>
      </c>
      <c r="L554" s="5" t="n"/>
      <c r="M554" s="5" t="inlineStr">
        <is>
          <t>SOURCE-075</t>
        </is>
      </c>
    </row>
    <row r="555" ht="49" customHeight="1">
      <c r="A555" s="15" t="inlineStr">
        <is>
          <t>CAST-538</t>
        </is>
      </c>
      <c r="B555" s="18" t="inlineStr">
        <is>
          <t>FILM-080</t>
        </is>
      </c>
      <c r="C555" s="5" t="inlineStr">
        <is>
          <t>Ajooba</t>
        </is>
      </c>
      <c r="D555" s="17" t="n">
        <v>1991</v>
      </c>
      <c r="E555" s="5" t="inlineStr">
        <is>
          <t>Ariadna Shengelaya</t>
        </is>
      </c>
      <c r="F555" s="5" t="inlineStr">
        <is>
          <t>Malika</t>
        </is>
      </c>
      <c r="G555" s="5" t="inlineStr">
        <is>
          <t>Family</t>
        </is>
      </c>
      <c r="H555" s="5" t="inlineStr">
        <is>
          <t>Medium</t>
        </is>
      </c>
      <c r="I555" s="5" t="inlineStr">
        <is>
          <t>The Sultan's wife, mother of the protagonist.</t>
        </is>
      </c>
      <c r="J555" s="5" t="inlineStr">
        <is>
          <t>No part in the romances.</t>
        </is>
      </c>
      <c r="K555" s="19" t="inlineStr">
        <is>
          <t>Credited as the Sultan's wife, one of the Soviet performers in this Indo-Soviet co-production, alongside Georgi Darchiashvili's Altaf.</t>
        </is>
      </c>
      <c r="L555" s="5" t="n"/>
      <c r="M555" s="5" t="inlineStr">
        <is>
          <t>SOURCE-075</t>
        </is>
      </c>
    </row>
    <row r="556" ht="34" customHeight="1">
      <c r="A556" s="15" t="inlineStr">
        <is>
          <t>CAST-539</t>
        </is>
      </c>
      <c r="B556" s="18" t="inlineStr">
        <is>
          <t>FILM-080</t>
        </is>
      </c>
      <c r="C556" s="5" t="inlineStr">
        <is>
          <t>Ajooba</t>
        </is>
      </c>
      <c r="D556" s="17" t="n">
        <v>1991</v>
      </c>
      <c r="E556" s="5" t="inlineStr">
        <is>
          <t>Sushma Seth</t>
        </is>
      </c>
      <c r="F556" s="5" t="inlineStr">
        <is>
          <t>Zarina Khan</t>
        </is>
      </c>
      <c r="G556" s="5" t="inlineStr">
        <is>
          <t>Family</t>
        </is>
      </c>
      <c r="H556" s="5" t="inlineStr">
        <is>
          <t>Medium</t>
        </is>
      </c>
      <c r="I556" s="5" t="inlineStr">
        <is>
          <t>Credited in the heroine's family.</t>
        </is>
      </c>
      <c r="J556" s="5" t="inlineStr">
        <is>
          <t>Family background to the principal romance.</t>
        </is>
      </c>
      <c r="K556" s="19" t="inlineStr">
        <is>
          <t>Credited as Zarina Khan, of the family the film's heroine belongs to.</t>
        </is>
      </c>
      <c r="L556" s="5" t="n"/>
      <c r="M556" s="5" t="inlineStr">
        <is>
          <t>SOURCE-075</t>
        </is>
      </c>
    </row>
    <row r="557" ht="64" customHeight="1">
      <c r="A557" s="15" t="inlineStr">
        <is>
          <t>CAST-549</t>
        </is>
      </c>
      <c r="B557" s="18" t="inlineStr">
        <is>
          <t>FILM-081</t>
        </is>
      </c>
      <c r="C557" s="5" t="inlineStr">
        <is>
          <t>Henna</t>
        </is>
      </c>
      <c r="D557" s="17" t="n">
        <v>1991</v>
      </c>
      <c r="E557" s="5" t="inlineStr">
        <is>
          <t>Zeba Bakhtiar</t>
        </is>
      </c>
      <c r="F557" s="5" t="inlineStr">
        <is>
          <t>Henna Khan</t>
        </is>
      </c>
      <c r="G557" s="5" t="inlineStr">
        <is>
          <t>Co-lead</t>
        </is>
      </c>
      <c r="H557" s="5" t="inlineStr">
        <is>
          <t>Major</t>
        </is>
      </c>
      <c r="I557" s="5" t="inlineStr">
        <is>
          <t>The Pakistani girl who finds him washed ashore, nurses him, names him Chand and loves him.</t>
        </is>
      </c>
      <c r="J557" s="5" t="inlineStr">
        <is>
          <t>The first pairing in Romances, and the one the border destroys.</t>
        </is>
      </c>
      <c r="K557" s="19" t="inlineStr">
        <is>
          <t>A girl living a transient life by the Jhelum with her widowed father and three brothers, who takes in an unconscious stranger with no memory, calls him by the name he cries in his sleep, and is to marry him on the day his memory returns.</t>
        </is>
      </c>
      <c r="L557" s="5" t="inlineStr">
        <is>
          <t>The Pakistani actress's Indian debut, in a film built around the character.</t>
        </is>
      </c>
      <c r="M557" s="5" t="inlineStr">
        <is>
          <t>SOURCE-076</t>
        </is>
      </c>
    </row>
    <row r="558" ht="49" customHeight="1">
      <c r="A558" s="15" t="inlineStr">
        <is>
          <t>CAST-550</t>
        </is>
      </c>
      <c r="B558" s="18" t="inlineStr">
        <is>
          <t>FILM-081</t>
        </is>
      </c>
      <c r="C558" s="5" t="inlineStr">
        <is>
          <t>Henna</t>
        </is>
      </c>
      <c r="D558" s="17" t="n">
        <v>1991</v>
      </c>
      <c r="E558" s="5" t="inlineStr">
        <is>
          <t>Ashwini Bhave</t>
        </is>
      </c>
      <c r="F558" s="5" t="inlineStr">
        <is>
          <t>Chandni Kaul</t>
        </is>
      </c>
      <c r="G558" s="5" t="inlineStr">
        <is>
          <t>Co-lead</t>
        </is>
      </c>
      <c r="H558" s="5" t="inlineStr">
        <is>
          <t>Major</t>
        </is>
      </c>
      <c r="I558" s="5" t="inlineStr">
        <is>
          <t>The fiancee he is to be engaged to on the day of the accident, and the 'Chand' of the name he cries out.</t>
        </is>
      </c>
      <c r="J558" s="5" t="inlineStr">
        <is>
          <t>The second pairing in Romances, an established attachment suspended by amnesia and restored by it.</t>
        </is>
      </c>
      <c r="K558" s="19" t="inlineStr">
        <is>
          <t>A Srinagar woman engaged to Chandar, whose pet name for her is the name that follows him across the border and is given to him by the people who save him.</t>
        </is>
      </c>
      <c r="L558" s="5" t="n"/>
      <c r="M558" s="5" t="inlineStr">
        <is>
          <t>SOURCE-076</t>
        </is>
      </c>
    </row>
    <row r="559" ht="49" customHeight="1">
      <c r="A559" s="15" t="inlineStr">
        <is>
          <t>CAST-551</t>
        </is>
      </c>
      <c r="B559" s="18" t="inlineStr">
        <is>
          <t>FILM-081</t>
        </is>
      </c>
      <c r="C559" s="5" t="inlineStr">
        <is>
          <t>Henna</t>
        </is>
      </c>
      <c r="D559" s="17" t="n">
        <v>1991</v>
      </c>
      <c r="E559" s="5" t="inlineStr">
        <is>
          <t>Saeed Jaffrey</t>
        </is>
      </c>
      <c r="F559" s="5" t="inlineStr">
        <is>
          <t>Khan Baba</t>
        </is>
      </c>
      <c r="G559" s="5" t="inlineStr">
        <is>
          <t>Family</t>
        </is>
      </c>
      <c r="H559" s="5" t="inlineStr">
        <is>
          <t>Major</t>
        </is>
      </c>
      <c r="I559" s="5" t="inlineStr">
        <is>
          <t>Henna's widowed father, who takes the stranger in and nurses him.</t>
        </is>
      </c>
      <c r="J559" s="5" t="inlineStr">
        <is>
          <t>The family that shelters the first romance and would have solemnised it.</t>
        </is>
      </c>
      <c r="K559" s="19" t="inlineStr">
        <is>
          <t>A widower living near the Jhelum with a daughter and three sons, who with the village doctor takes in an unconscious man washed ashore and brings him back to health.</t>
        </is>
      </c>
      <c r="L559" s="5" t="n"/>
      <c r="M559" s="5" t="inlineStr">
        <is>
          <t>SOURCE-076</t>
        </is>
      </c>
    </row>
    <row r="560" ht="49" customHeight="1">
      <c r="A560" s="15" t="inlineStr">
        <is>
          <t>CAST-552</t>
        </is>
      </c>
      <c r="B560" s="18" t="inlineStr">
        <is>
          <t>FILM-081</t>
        </is>
      </c>
      <c r="C560" s="5" t="inlineStr">
        <is>
          <t>Henna</t>
        </is>
      </c>
      <c r="D560" s="17" t="n">
        <v>1991</v>
      </c>
      <c r="E560" s="5" t="inlineStr">
        <is>
          <t>Farida Jalal</t>
        </is>
      </c>
      <c r="F560" s="5" t="inlineStr">
        <is>
          <t>Bibi Gul</t>
        </is>
      </c>
      <c r="G560" s="5" t="inlineStr">
        <is>
          <t>Supporting</t>
        </is>
      </c>
      <c r="H560" s="5" t="inlineStr">
        <is>
          <t>Major</t>
        </is>
      </c>
      <c r="I560" s="5" t="inlineStr">
        <is>
          <t>The village doctor who treats him and then employs him making clay pots.</t>
        </is>
      </c>
      <c r="J560" s="5" t="inlineStr">
        <is>
          <t>Gives him a place in the village, which is what makes the first romance possible.</t>
        </is>
      </c>
      <c r="K560" s="19" t="inlineStr">
        <is>
          <t>The village doctor who nurses the amnesiac stranger with Khan Baba and Henna, and gives him work at her pottery once he can walk.</t>
        </is>
      </c>
      <c r="L560" s="5" t="n"/>
      <c r="M560" s="5" t="inlineStr">
        <is>
          <t>SOURCE-076</t>
        </is>
      </c>
    </row>
    <row r="561" ht="49" customHeight="1">
      <c r="A561" s="15" t="inlineStr">
        <is>
          <t>CAST-553</t>
        </is>
      </c>
      <c r="B561" s="18" t="inlineStr">
        <is>
          <t>FILM-081</t>
        </is>
      </c>
      <c r="C561" s="5" t="inlineStr">
        <is>
          <t>Henna</t>
        </is>
      </c>
      <c r="D561" s="17" t="n">
        <v>1991</v>
      </c>
      <c r="E561" s="5" t="inlineStr">
        <is>
          <t>Raza Murad</t>
        </is>
      </c>
      <c r="F561" s="5" t="inlineStr">
        <is>
          <t>Daroga Shahbaaz Khan</t>
        </is>
      </c>
      <c r="G561" s="5" t="inlineStr">
        <is>
          <t>Antagonist</t>
        </is>
      </c>
      <c r="H561" s="5" t="inlineStr">
        <is>
          <t>Major</t>
        </is>
      </c>
      <c r="I561" s="5" t="inlineStr">
        <is>
          <t>The Pakistani police officer who takes him for an Indian spy.</t>
        </is>
      </c>
      <c r="J561" s="5" t="inlineStr">
        <is>
          <t>The state suspicion that makes the first romance impossible.</t>
        </is>
      </c>
      <c r="K561" s="19" t="inlineStr">
        <is>
          <t>A Pakistani police daroga who treats the recovered stranger as an Indian spy, bringing the India-Pakistan tension in Kashmir down on a private household.</t>
        </is>
      </c>
      <c r="L561" s="5" t="n"/>
      <c r="M561" s="5" t="inlineStr">
        <is>
          <t>SOURCE-076</t>
        </is>
      </c>
    </row>
    <row r="562" ht="34" customHeight="1">
      <c r="A562" s="15" t="inlineStr">
        <is>
          <t>CAST-554</t>
        </is>
      </c>
      <c r="B562" s="18" t="inlineStr">
        <is>
          <t>FILM-081</t>
        </is>
      </c>
      <c r="C562" s="5" t="inlineStr">
        <is>
          <t>Henna</t>
        </is>
      </c>
      <c r="D562" s="17" t="n">
        <v>1991</v>
      </c>
      <c r="E562" s="5" t="inlineStr">
        <is>
          <t>Shafi Inamdar</t>
        </is>
      </c>
      <c r="F562" s="5" t="inlineStr">
        <is>
          <t>Superintendent Iqbal</t>
        </is>
      </c>
      <c r="G562" s="5" t="inlineStr">
        <is>
          <t>Authority figure</t>
        </is>
      </c>
      <c r="H562" s="5" t="inlineStr">
        <is>
          <t>Medium</t>
        </is>
      </c>
      <c r="I562" s="5" t="inlineStr">
        <is>
          <t>The senior Pakistani police officer above the daroga.</t>
        </is>
      </c>
      <c r="J562" s="5" t="inlineStr">
        <is>
          <t>Part of the official apparatus that separates the couple.</t>
        </is>
      </c>
      <c r="K562" s="19" t="inlineStr">
        <is>
          <t>Credited as a Pakistani police superintendent, in the chain of authority that turns a rescued man into a suspected spy.</t>
        </is>
      </c>
      <c r="L562" s="5" t="n"/>
      <c r="M562" s="5" t="inlineStr">
        <is>
          <t>SOURCE-076</t>
        </is>
      </c>
    </row>
    <row r="563" ht="49" customHeight="1">
      <c r="A563" s="15" t="inlineStr">
        <is>
          <t>CAST-555</t>
        </is>
      </c>
      <c r="B563" s="18" t="inlineStr">
        <is>
          <t>FILM-081</t>
        </is>
      </c>
      <c r="C563" s="5" t="inlineStr">
        <is>
          <t>Henna</t>
        </is>
      </c>
      <c r="D563" s="17" t="n">
        <v>1991</v>
      </c>
      <c r="E563" s="5" t="inlineStr">
        <is>
          <t>Kulbhushan Kharbanda</t>
        </is>
      </c>
      <c r="F563" s="5" t="inlineStr">
        <is>
          <t>Devraj Kaul</t>
        </is>
      </c>
      <c r="G563" s="5" t="inlineStr">
        <is>
          <t>Family</t>
        </is>
      </c>
      <c r="H563" s="5" t="inlineStr">
        <is>
          <t>Medium</t>
        </is>
      </c>
      <c r="I563" s="5" t="inlineStr">
        <is>
          <t>The father of the fiancee waiting on the Indian side.</t>
        </is>
      </c>
      <c r="J563" s="5" t="inlineStr">
        <is>
          <t>The family of the second pairing, left with an engagement and a missing man.</t>
        </is>
      </c>
      <c r="K563" s="19" t="inlineStr">
        <is>
          <t>Credited as Chandni's father, with Reema Lagoo as her mother, in the Srinagar household the engagement belonged to.</t>
        </is>
      </c>
      <c r="L563" s="5" t="n"/>
      <c r="M563" s="5" t="inlineStr">
        <is>
          <t>SOURCE-076</t>
        </is>
      </c>
    </row>
    <row r="564" ht="34" customHeight="1">
      <c r="A564" s="15" t="inlineStr">
        <is>
          <t>CAST-556</t>
        </is>
      </c>
      <c r="B564" s="18" t="inlineStr">
        <is>
          <t>FILM-081</t>
        </is>
      </c>
      <c r="C564" s="5" t="inlineStr">
        <is>
          <t>Henna</t>
        </is>
      </c>
      <c r="D564" s="17" t="n">
        <v>1991</v>
      </c>
      <c r="E564" s="5" t="inlineStr">
        <is>
          <t>Reema Lagoo</t>
        </is>
      </c>
      <c r="F564" s="5" t="inlineStr">
        <is>
          <t>Anuradha Kaul</t>
        </is>
      </c>
      <c r="G564" s="5" t="inlineStr">
        <is>
          <t>Family</t>
        </is>
      </c>
      <c r="H564" s="5" t="inlineStr">
        <is>
          <t>Medium</t>
        </is>
      </c>
      <c r="I564" s="5" t="inlineStr">
        <is>
          <t>The fiancee's mother, in the family that believes him lost.</t>
        </is>
      </c>
      <c r="J564" s="5" t="inlineStr">
        <is>
          <t>Family background to the suspended engagement.</t>
        </is>
      </c>
      <c r="K564" s="19" t="inlineStr">
        <is>
          <t>Credited as Chandni's mother, on the Indian side of a plot that keeps its hero across the line of control.</t>
        </is>
      </c>
      <c r="L564" s="5" t="n"/>
      <c r="M564" s="5" t="inlineStr">
        <is>
          <t>SOURCE-076</t>
        </is>
      </c>
    </row>
    <row r="565" ht="49" customHeight="1">
      <c r="A565" s="15" t="inlineStr">
        <is>
          <t>CAST-557</t>
        </is>
      </c>
      <c r="B565" s="18" t="inlineStr">
        <is>
          <t>FILM-081</t>
        </is>
      </c>
      <c r="C565" s="5" t="inlineStr">
        <is>
          <t>Henna</t>
        </is>
      </c>
      <c r="D565" s="17" t="n">
        <v>1991</v>
      </c>
      <c r="E565" s="5" t="inlineStr">
        <is>
          <t>Kiran Kumar</t>
        </is>
      </c>
      <c r="F565" s="5" t="inlineStr">
        <is>
          <t>Ashraf</t>
        </is>
      </c>
      <c r="G565" s="5" t="inlineStr">
        <is>
          <t>Family</t>
        </is>
      </c>
      <c r="H565" s="5" t="inlineStr">
        <is>
          <t>Medium</t>
        </is>
      </c>
      <c r="I565" s="5" t="inlineStr">
        <is>
          <t>The eldest of Henna's three brothers, in the household that shelters him.</t>
        </is>
      </c>
      <c r="J565" s="5" t="inlineStr">
        <is>
          <t>Part of the family whose approval the first romance needs.</t>
        </is>
      </c>
      <c r="K565" s="19" t="inlineStr">
        <is>
          <t>Credited as Ashraf, with Dilip Dhawan's Razzaq and Arun Verma's Zaman as Henna's other brothers.</t>
        </is>
      </c>
      <c r="L565" s="5" t="n"/>
      <c r="M565" s="5" t="inlineStr">
        <is>
          <t>SOURCE-076</t>
        </is>
      </c>
    </row>
    <row r="566" ht="64" customHeight="1">
      <c r="A566" s="15" t="inlineStr">
        <is>
          <t>CAST-558</t>
        </is>
      </c>
      <c r="B566" s="18" t="inlineStr">
        <is>
          <t>FILM-082</t>
        </is>
      </c>
      <c r="C566" s="5" t="inlineStr">
        <is>
          <t>Ranbhoomi</t>
        </is>
      </c>
      <c r="D566" s="17" t="n">
        <v>1991</v>
      </c>
      <c r="E566" s="5" t="inlineStr">
        <is>
          <t>Shatrughan Sinha</t>
        </is>
      </c>
      <c r="F566" s="5" t="inlineStr">
        <is>
          <t>Roopa Singh</t>
        </is>
      </c>
      <c r="G566" s="5" t="inlineStr">
        <is>
          <t>Friend</t>
        </is>
      </c>
      <c r="H566" s="5" t="inlineStr">
        <is>
          <t>Major</t>
        </is>
      </c>
      <c r="I566" s="5" t="inlineStr">
        <is>
          <t>The dreaded gangster Bhola attaches himself to and keeps house for, and for whom he offers himself as a hostage.</t>
        </is>
      </c>
      <c r="J566" s="5" t="inlineStr">
        <is>
          <t>Outside the romances; the attachment the film's question is about.</t>
        </is>
      </c>
      <c r="K566" s="19" t="inlineStr">
        <is>
          <t>A feared gangster who takes in a simple-minded villager as a housekeeper, and whom the film leaves with the question of whether he will compromise with his rival to save him.</t>
        </is>
      </c>
      <c r="L566" s="5" t="n"/>
      <c r="M566" s="5" t="inlineStr">
        <is>
          <t>SOURCE-077</t>
        </is>
      </c>
    </row>
    <row r="567" ht="49" customHeight="1">
      <c r="A567" s="15" t="inlineStr">
        <is>
          <t>CAST-559</t>
        </is>
      </c>
      <c r="B567" s="18" t="inlineStr">
        <is>
          <t>FILM-082</t>
        </is>
      </c>
      <c r="C567" s="5" t="inlineStr">
        <is>
          <t>Ranbhoomi</t>
        </is>
      </c>
      <c r="D567" s="17" t="n">
        <v>1991</v>
      </c>
      <c r="E567" s="5" t="inlineStr">
        <is>
          <t>Jeetendra</t>
        </is>
      </c>
      <c r="F567" s="5" t="inlineStr">
        <is>
          <t>Chandan Singh</t>
        </is>
      </c>
      <c r="G567" s="5" t="inlineStr">
        <is>
          <t>Antagonist</t>
        </is>
      </c>
      <c r="H567" s="5" t="inlineStr">
        <is>
          <t>Major</t>
        </is>
      </c>
      <c r="I567" s="5" t="inlineStr">
        <is>
          <t>The rival gangster to whom Bhola gives himself as a hostage.</t>
        </is>
      </c>
      <c r="J567" s="5" t="inlineStr">
        <is>
          <t>The threat the plot's second question rests on.</t>
        </is>
      </c>
      <c r="K567" s="19" t="inlineStr">
        <is>
          <t>Top-billed as the rival gangster, with a henchman of his own, and the man who must decide whether to let the hostage live.</t>
        </is>
      </c>
      <c r="L567" s="5" t="n"/>
      <c r="M567" s="5" t="inlineStr">
        <is>
          <t>SOURCE-077</t>
        </is>
      </c>
    </row>
    <row r="568" ht="64" customHeight="1">
      <c r="A568" s="15" t="inlineStr">
        <is>
          <t>CAST-560</t>
        </is>
      </c>
      <c r="B568" s="18" t="inlineStr">
        <is>
          <t>FILM-082</t>
        </is>
      </c>
      <c r="C568" s="5" t="inlineStr">
        <is>
          <t>Ranbhoomi</t>
        </is>
      </c>
      <c r="D568" s="17" t="n">
        <v>1991</v>
      </c>
      <c r="E568" s="5" t="inlineStr">
        <is>
          <t>Dimple Kapadia</t>
        </is>
      </c>
      <c r="F568" s="5" t="inlineStr">
        <is>
          <t>Radha</t>
        </is>
      </c>
      <c r="G568" s="5" t="inlineStr">
        <is>
          <t>Co-lead</t>
        </is>
      </c>
      <c r="H568" s="5" t="inlineStr">
        <is>
          <t>Major</t>
        </is>
      </c>
      <c r="I568" s="5" t="inlineStr">
        <is>
          <t>Credited as the film's senior heroine; the synopsis's prostitute, with whom Bhola leaves his five hundred rupees, is not matched to a performer.</t>
        </is>
      </c>
      <c r="J568" s="5" t="inlineStr">
        <is>
          <t>The filmography records only a minor romance for Kapoor here and the summary names no partner, which is why there is no Romances row.</t>
        </is>
      </c>
      <c r="K568" s="19" t="inlineStr">
        <is>
          <t>Credited as Radha, the first of the film's two heroines, in a plot summarised only as far as the hostage offer.</t>
        </is>
      </c>
      <c r="L568" s="5" t="n"/>
      <c r="M568" s="5" t="inlineStr">
        <is>
          <t>SOURCE-077</t>
        </is>
      </c>
    </row>
    <row r="569" ht="49" customHeight="1">
      <c r="A569" s="15" t="inlineStr">
        <is>
          <t>CAST-561</t>
        </is>
      </c>
      <c r="B569" s="18" t="inlineStr">
        <is>
          <t>FILM-082</t>
        </is>
      </c>
      <c r="C569" s="5" t="inlineStr">
        <is>
          <t>Ranbhoomi</t>
        </is>
      </c>
      <c r="D569" s="17" t="n">
        <v>1991</v>
      </c>
      <c r="E569" s="5" t="inlineStr">
        <is>
          <t>Neelam</t>
        </is>
      </c>
      <c r="F569" s="5" t="inlineStr">
        <is>
          <t>Rani</t>
        </is>
      </c>
      <c r="G569" s="5" t="inlineStr">
        <is>
          <t>Supporting</t>
        </is>
      </c>
      <c r="H569" s="5" t="inlineStr">
        <is>
          <t>Medium</t>
        </is>
      </c>
      <c r="I569" s="5" t="inlineStr">
        <is>
          <t>Credited as the second heroine, and by billing a likely partner for Kapoor's Bhola.</t>
        </is>
      </c>
      <c r="J569" s="5" t="inlineStr">
        <is>
          <t>Undocumented; the article's summary does not reach the romances at all.</t>
        </is>
      </c>
      <c r="K569" s="19" t="inlineStr">
        <is>
          <t>Credited as Rani, the second female part, in the third of her four films with Kapoor.</t>
        </is>
      </c>
      <c r="L569" s="5" t="n"/>
      <c r="M569" s="5" t="inlineStr">
        <is>
          <t>SOURCE-077</t>
        </is>
      </c>
    </row>
    <row r="570" ht="34" customHeight="1">
      <c r="A570" s="15" t="inlineStr">
        <is>
          <t>CAST-562</t>
        </is>
      </c>
      <c r="B570" s="18" t="inlineStr">
        <is>
          <t>FILM-082</t>
        </is>
      </c>
      <c r="C570" s="5" t="inlineStr">
        <is>
          <t>Ranbhoomi</t>
        </is>
      </c>
      <c r="D570" s="17" t="n">
        <v>1991</v>
      </c>
      <c r="E570" s="5" t="inlineStr">
        <is>
          <t>Raza Murad</t>
        </is>
      </c>
      <c r="F570" s="5" t="inlineStr">
        <is>
          <t>Sanket Singh</t>
        </is>
      </c>
      <c r="G570" s="5" t="inlineStr">
        <is>
          <t>Antagonist</t>
        </is>
      </c>
      <c r="H570" s="5" t="inlineStr">
        <is>
          <t>Medium</t>
        </is>
      </c>
      <c r="I570" s="5" t="inlineStr">
        <is>
          <t>Credited among the film's criminal opposition.</t>
        </is>
      </c>
      <c r="J570" s="5" t="inlineStr">
        <is>
          <t>No documented part in the romances.</t>
        </is>
      </c>
      <c r="K570" s="19" t="inlineStr">
        <is>
          <t>Credited as Sanket Singh, in the gangland ranks of a plot the article summarises in five sentences.</t>
        </is>
      </c>
      <c r="L570" s="5" t="n"/>
      <c r="M570" s="5" t="inlineStr">
        <is>
          <t>SOURCE-077</t>
        </is>
      </c>
    </row>
    <row r="571" ht="34" customHeight="1">
      <c r="A571" s="15" t="inlineStr">
        <is>
          <t>CAST-563</t>
        </is>
      </c>
      <c r="B571" s="18" t="inlineStr">
        <is>
          <t>FILM-082</t>
        </is>
      </c>
      <c r="C571" s="5" t="inlineStr">
        <is>
          <t>Ranbhoomi</t>
        </is>
      </c>
      <c r="D571" s="17" t="n">
        <v>1991</v>
      </c>
      <c r="E571" s="5" t="inlineStr">
        <is>
          <t>Gulshan Grover</t>
        </is>
      </c>
      <c r="F571" s="5" t="inlineStr">
        <is>
          <t>Bhangadh</t>
        </is>
      </c>
      <c r="G571" s="5" t="inlineStr">
        <is>
          <t>Antagonist</t>
        </is>
      </c>
      <c r="H571" s="5" t="inlineStr">
        <is>
          <t>Medium</t>
        </is>
      </c>
      <c r="I571" s="5" t="inlineStr">
        <is>
          <t>Credited among the opposition in the gang war.</t>
        </is>
      </c>
      <c r="J571" s="5" t="inlineStr">
        <is>
          <t>No documented part in the romances.</t>
        </is>
      </c>
      <c r="K571" s="19" t="inlineStr">
        <is>
          <t>Credited as Bhangadh, in the criminal apparatus around the two rival gangsters.</t>
        </is>
      </c>
      <c r="L571" s="5" t="n"/>
      <c r="M571" s="5" t="inlineStr">
        <is>
          <t>SOURCE-077</t>
        </is>
      </c>
    </row>
    <row r="572" ht="34" customHeight="1">
      <c r="A572" s="15" t="inlineStr">
        <is>
          <t>CAST-564</t>
        </is>
      </c>
      <c r="B572" s="18" t="inlineStr">
        <is>
          <t>FILM-082</t>
        </is>
      </c>
      <c r="C572" s="5" t="inlineStr">
        <is>
          <t>Ranbhoomi</t>
        </is>
      </c>
      <c r="D572" s="17" t="n">
        <v>1991</v>
      </c>
      <c r="E572" s="5" t="inlineStr">
        <is>
          <t>Shekhar Suman</t>
        </is>
      </c>
      <c r="F572" s="5" t="inlineStr">
        <is>
          <t>Dr. Paresh</t>
        </is>
      </c>
      <c r="G572" s="5" t="inlineStr">
        <is>
          <t>Supporting</t>
        </is>
      </c>
      <c r="H572" s="5" t="inlineStr">
        <is>
          <t>Medium</t>
        </is>
      </c>
      <c r="I572" s="5" t="inlineStr">
        <is>
          <t>A credited supporting figure with a wife in the cast list.</t>
        </is>
      </c>
      <c r="J572" s="5" t="inlineStr">
        <is>
          <t>No documented part in the romances.</t>
        </is>
      </c>
      <c r="K572" s="19" t="inlineStr">
        <is>
          <t>Credited as Dr. Paresh, with Parijat as his wife Rajni, in the film's supporting ranks.</t>
        </is>
      </c>
      <c r="L572" s="5" t="n"/>
      <c r="M572" s="5" t="inlineStr">
        <is>
          <t>SOURCE-077</t>
        </is>
      </c>
    </row>
    <row r="573" ht="34" customHeight="1">
      <c r="A573" s="15" t="inlineStr">
        <is>
          <t>CAST-565</t>
        </is>
      </c>
      <c r="B573" s="18" t="inlineStr">
        <is>
          <t>FILM-082</t>
        </is>
      </c>
      <c r="C573" s="5" t="inlineStr">
        <is>
          <t>Ranbhoomi</t>
        </is>
      </c>
      <c r="D573" s="17" t="n">
        <v>1991</v>
      </c>
      <c r="E573" s="5" t="inlineStr">
        <is>
          <t>Annu Kapoor</t>
        </is>
      </c>
      <c r="F573" s="5" t="inlineStr">
        <is>
          <t>Stationmaster</t>
        </is>
      </c>
      <c r="G573" s="5" t="inlineStr">
        <is>
          <t>Comic support</t>
        </is>
      </c>
      <c r="H573" s="5" t="inlineStr">
        <is>
          <t>Minor</t>
        </is>
      </c>
      <c r="I573" s="5" t="inlineStr">
        <is>
          <t>A comic functionary in the city the villager arrives in.</t>
        </is>
      </c>
      <c r="J573" s="5" t="inlineStr">
        <is>
          <t>No part in the romances.</t>
        </is>
      </c>
      <c r="K573" s="19" t="inlineStr">
        <is>
          <t>Credited as the stationmaster, with Anjan Srivastav's havaldar, in the comic register around the newcomer.</t>
        </is>
      </c>
      <c r="L573" s="5" t="n"/>
      <c r="M573" s="5" t="inlineStr">
        <is>
          <t>SOURCE-077</t>
        </is>
      </c>
    </row>
    <row r="574" ht="79" customHeight="1">
      <c r="A574" s="15" t="inlineStr">
        <is>
          <t>CAST-566</t>
        </is>
      </c>
      <c r="B574" s="18" t="inlineStr">
        <is>
          <t>FILM-083</t>
        </is>
      </c>
      <c r="C574" s="5" t="inlineStr">
        <is>
          <t>Banjaran</t>
        </is>
      </c>
      <c r="D574" s="17" t="n">
        <v>1991</v>
      </c>
      <c r="E574" s="5" t="inlineStr">
        <is>
          <t>Sridevi</t>
        </is>
      </c>
      <c r="F574" s="5" t="inlineStr">
        <is>
          <t>Reshma, and Devi</t>
        </is>
      </c>
      <c r="G574" s="5" t="inlineStr">
        <is>
          <t>Co-lead</t>
        </is>
      </c>
      <c r="H574" s="5" t="inlineStr">
        <is>
          <t>Major</t>
        </is>
      </c>
      <c r="I574" s="5" t="inlineStr">
        <is>
          <t>The Banjara girl he is drawn to without explanation, and whose recurring death-dream stops when he arrives; the reincarnation of the woman he once was killed with.</t>
        </is>
      </c>
      <c r="J574" s="5" t="inlineStr">
        <is>
          <t>The whole of the pairing in Romances, a forbidden love across settled and nomadic life, explained by a previous one.</t>
        </is>
      </c>
      <c r="K574" s="19" t="inlineStr">
        <is>
          <t>The daughter of a Banjara tribal leader, tormented every new moon by a dream of being hunted to death, engaged to Shakti Singh, and revealed by the haveli's caretaker to be the reborn Devi, killed for loving a boy of lower rank.</t>
        </is>
      </c>
      <c r="L574" s="5" t="n"/>
      <c r="M574" s="5" t="inlineStr">
        <is>
          <t>SOURCE-078</t>
        </is>
      </c>
    </row>
    <row r="575" ht="64" customHeight="1">
      <c r="A575" s="15" t="inlineStr">
        <is>
          <t>CAST-567</t>
        </is>
      </c>
      <c r="B575" s="18" t="inlineStr">
        <is>
          <t>FILM-083</t>
        </is>
      </c>
      <c r="C575" s="5" t="inlineStr">
        <is>
          <t>Banjaran</t>
        </is>
      </c>
      <c r="D575" s="17" t="n">
        <v>1991</v>
      </c>
      <c r="E575" s="5" t="inlineStr">
        <is>
          <t>Pran</t>
        </is>
      </c>
      <c r="F575" s="5" t="inlineStr">
        <is>
          <t>Thakur Baba</t>
        </is>
      </c>
      <c r="G575" s="5" t="inlineStr">
        <is>
          <t>Mentor</t>
        </is>
      </c>
      <c r="H575" s="5" t="inlineStr">
        <is>
          <t>Major</t>
        </is>
      </c>
      <c r="I575" s="5" t="inlineStr">
        <is>
          <t>The old caretaker of the haveli the lovers flee to, who stops the fight between the two families and explains who they are.</t>
        </is>
      </c>
      <c r="J575" s="5" t="inlineStr">
        <is>
          <t>The agent of the romance's resolution, and the source of the reincarnation story.</t>
        </is>
      </c>
      <c r="K575" s="19" t="inlineStr">
        <is>
          <t>The caretaker of an old haveli, who halts the armed confrontation between the two fathers and shows them the portrait of his own daughter Devi, whose face is Reshma's.</t>
        </is>
      </c>
      <c r="L575" s="5" t="n"/>
      <c r="M575" s="5" t="inlineStr">
        <is>
          <t>SOURCE-078</t>
        </is>
      </c>
    </row>
    <row r="576" ht="49" customHeight="1">
      <c r="A576" s="15" t="inlineStr">
        <is>
          <t>CAST-568</t>
        </is>
      </c>
      <c r="B576" s="18" t="inlineStr">
        <is>
          <t>FILM-083</t>
        </is>
      </c>
      <c r="C576" s="5" t="inlineStr">
        <is>
          <t>Banjaran</t>
        </is>
      </c>
      <c r="D576" s="17" t="n">
        <v>1991</v>
      </c>
      <c r="E576" s="5" t="inlineStr">
        <is>
          <t>Kulbhushan Kharbanda</t>
        </is>
      </c>
      <c r="F576" s="5" t="inlineStr">
        <is>
          <t>Rana Udaybhan Singh Sesodia</t>
        </is>
      </c>
      <c r="G576" s="5" t="inlineStr">
        <is>
          <t>Family</t>
        </is>
      </c>
      <c r="H576" s="5" t="inlineStr">
        <is>
          <t>Major</t>
        </is>
      </c>
      <c r="I576" s="5" t="inlineStr">
        <is>
          <t>Kumar's father, the landowner on whose land the tribe camps.</t>
        </is>
      </c>
      <c r="J576" s="5" t="inlineStr">
        <is>
          <t>Half of the external opposition, on grounds of rank.</t>
        </is>
      </c>
      <c r="K576" s="19" t="inlineStr">
        <is>
          <t>The owner of the land the Banjaras camp on, unwilling to see his only son pursue a nomad girl, and one of the two fathers who arrive at the haveli with goons.</t>
        </is>
      </c>
      <c r="L576" s="5" t="n"/>
      <c r="M576" s="5" t="inlineStr">
        <is>
          <t>SOURCE-078</t>
        </is>
      </c>
    </row>
    <row r="577" ht="49" customHeight="1">
      <c r="A577" s="15" t="inlineStr">
        <is>
          <t>CAST-569</t>
        </is>
      </c>
      <c r="B577" s="18" t="inlineStr">
        <is>
          <t>FILM-083</t>
        </is>
      </c>
      <c r="C577" s="5" t="inlineStr">
        <is>
          <t>Banjaran</t>
        </is>
      </c>
      <c r="D577" s="17" t="n">
        <v>1991</v>
      </c>
      <c r="E577" s="5" t="inlineStr">
        <is>
          <t>Sudhir Pandey</t>
        </is>
      </c>
      <c r="F577" s="5" t="inlineStr">
        <is>
          <t>Sardar Malik</t>
        </is>
      </c>
      <c r="G577" s="5" t="inlineStr">
        <is>
          <t>Family</t>
        </is>
      </c>
      <c r="H577" s="5" t="inlineStr">
        <is>
          <t>Major</t>
        </is>
      </c>
      <c r="I577" s="5" t="inlineStr">
        <is>
          <t>Reshma's father and the tribe's leader, angry despite his daughter's nightmares having stopped.</t>
        </is>
      </c>
      <c r="J577" s="5" t="inlineStr">
        <is>
          <t>The other half of the external opposition, with a prior engagement to enforce.</t>
        </is>
      </c>
      <c r="K577" s="19" t="inlineStr">
        <is>
          <t>The leader of the nomadic Banjara tribe, who acknowledges that the landowner's son ended his daughter's nightmares and is angry all the same, having promised her to Shakti Singh.</t>
        </is>
      </c>
      <c r="L577" s="5" t="n"/>
      <c r="M577" s="5" t="inlineStr">
        <is>
          <t>SOURCE-078</t>
        </is>
      </c>
    </row>
    <row r="578" ht="34" customHeight="1">
      <c r="A578" s="15" t="inlineStr">
        <is>
          <t>CAST-570</t>
        </is>
      </c>
      <c r="B578" s="18" t="inlineStr">
        <is>
          <t>FILM-083</t>
        </is>
      </c>
      <c r="C578" s="5" t="inlineStr">
        <is>
          <t>Banjaran</t>
        </is>
      </c>
      <c r="D578" s="17" t="n">
        <v>1991</v>
      </c>
      <c r="E578" s="5" t="inlineStr">
        <is>
          <t>Gulshan Grover</t>
        </is>
      </c>
      <c r="F578" s="5" t="inlineStr">
        <is>
          <t>Shakti Singh</t>
        </is>
      </c>
      <c r="G578" s="5" t="inlineStr">
        <is>
          <t>Romantic rival</t>
        </is>
      </c>
      <c r="H578" s="5" t="inlineStr">
        <is>
          <t>Major</t>
        </is>
      </c>
      <c r="I578" s="5" t="inlineStr">
        <is>
          <t>The man Reshma is engaged to within her own community.</t>
        </is>
      </c>
      <c r="J578" s="5" t="inlineStr">
        <is>
          <t>The prior claim the elopement breaks.</t>
        </is>
      </c>
      <c r="K578" s="19" t="inlineStr">
        <is>
          <t>Credited as the man Reshma was engaged to before Kumar's arrival, the rival inside the tribe.</t>
        </is>
      </c>
      <c r="L578" s="5" t="n"/>
      <c r="M578" s="5" t="inlineStr">
        <is>
          <t>SOURCE-078</t>
        </is>
      </c>
    </row>
    <row r="579" ht="49" customHeight="1">
      <c r="A579" s="15" t="inlineStr">
        <is>
          <t>CAST-571</t>
        </is>
      </c>
      <c r="B579" s="18" t="inlineStr">
        <is>
          <t>FILM-083</t>
        </is>
      </c>
      <c r="C579" s="5" t="inlineStr">
        <is>
          <t>Banjaran</t>
        </is>
      </c>
      <c r="D579" s="17" t="n">
        <v>1991</v>
      </c>
      <c r="E579" s="5" t="inlineStr">
        <is>
          <t>Raza Murad</t>
        </is>
      </c>
      <c r="F579" s="5" t="inlineStr">
        <is>
          <t>Thakur Ranjit Singh</t>
        </is>
      </c>
      <c r="G579" s="5" t="inlineStr">
        <is>
          <t>Antagonist</t>
        </is>
      </c>
      <c r="H579" s="5" t="inlineStr">
        <is>
          <t>Medium</t>
        </is>
      </c>
      <c r="I579" s="5" t="inlineStr">
        <is>
          <t>A credited Thakur of the landowning side, with a daughter of his own in the cast list.</t>
        </is>
      </c>
      <c r="J579" s="5" t="inlineStr">
        <is>
          <t>Part of the settled world's pressure on the match.</t>
        </is>
      </c>
      <c r="K579" s="19" t="inlineStr">
        <is>
          <t>Credited as Thakur Ranjit Singh, father of Renu Arya's Neha Singh, among the landowners around Kumar's family.</t>
        </is>
      </c>
      <c r="L579" s="5" t="n"/>
      <c r="M579" s="5" t="inlineStr">
        <is>
          <t>SOURCE-078</t>
        </is>
      </c>
    </row>
    <row r="580" ht="34" customHeight="1">
      <c r="A580" s="15" t="inlineStr">
        <is>
          <t>CAST-572</t>
        </is>
      </c>
      <c r="B580" s="18" t="inlineStr">
        <is>
          <t>FILM-083</t>
        </is>
      </c>
      <c r="C580" s="5" t="inlineStr">
        <is>
          <t>Banjaran</t>
        </is>
      </c>
      <c r="D580" s="17" t="n">
        <v>1991</v>
      </c>
      <c r="E580" s="5" t="inlineStr">
        <is>
          <t>Anjana Mumtaz</t>
        </is>
      </c>
      <c r="F580" s="5" t="inlineStr">
        <is>
          <t>Mrs. Singh Sesodia</t>
        </is>
      </c>
      <c r="G580" s="5" t="inlineStr">
        <is>
          <t>Family</t>
        </is>
      </c>
      <c r="H580" s="5" t="inlineStr">
        <is>
          <t>Medium</t>
        </is>
      </c>
      <c r="I580" s="5" t="inlineStr">
        <is>
          <t>Kumar's mother, in the household that objects to the match.</t>
        </is>
      </c>
      <c r="J580" s="5" t="inlineStr">
        <is>
          <t>Family background to the opposition.</t>
        </is>
      </c>
      <c r="K580" s="19" t="inlineStr">
        <is>
          <t>Credited as the Rana's wife, in the landowning family whose only son attaches himself to a nomad.</t>
        </is>
      </c>
      <c r="L580" s="5" t="n"/>
      <c r="M580" s="5" t="inlineStr">
        <is>
          <t>SOURCE-078</t>
        </is>
      </c>
    </row>
    <row r="581" ht="34" customHeight="1">
      <c r="A581" s="15" t="inlineStr">
        <is>
          <t>CAST-573</t>
        </is>
      </c>
      <c r="B581" s="18" t="inlineStr">
        <is>
          <t>FILM-083</t>
        </is>
      </c>
      <c r="C581" s="5" t="inlineStr">
        <is>
          <t>Banjaran</t>
        </is>
      </c>
      <c r="D581" s="17" t="n">
        <v>1991</v>
      </c>
      <c r="E581" s="5" t="inlineStr">
        <is>
          <t>Rakesh Bedi</t>
        </is>
      </c>
      <c r="F581" s="5" t="inlineStr">
        <is>
          <t>Sarju</t>
        </is>
      </c>
      <c r="G581" s="5" t="inlineStr">
        <is>
          <t>Comic support</t>
        </is>
      </c>
      <c r="H581" s="5" t="inlineStr">
        <is>
          <t>Minor</t>
        </is>
      </c>
      <c r="I581" s="5" t="inlineStr">
        <is>
          <t>Kumar's driver, in the comic register around him.</t>
        </is>
      </c>
      <c r="J581" s="5" t="inlineStr">
        <is>
          <t>Comic attendance on the courtship.</t>
        </is>
      </c>
      <c r="K581" s="19" t="inlineStr">
        <is>
          <t>Credited as Sarju the driver, in the comic support of a reincarnation romance.</t>
        </is>
      </c>
      <c r="L581" s="5" t="n"/>
      <c r="M581" s="5" t="inlineStr">
        <is>
          <t>SOURCE-078</t>
        </is>
      </c>
    </row>
    <row r="582" ht="79" customHeight="1">
      <c r="A582" s="15" t="inlineStr">
        <is>
          <t>CAST-574</t>
        </is>
      </c>
      <c r="B582" s="18" t="inlineStr">
        <is>
          <t>FILM-084</t>
        </is>
      </c>
      <c r="C582" s="5" t="inlineStr">
        <is>
          <t>Kasak</t>
        </is>
      </c>
      <c r="D582" s="17" t="n">
        <v>1992</v>
      </c>
      <c r="E582" s="5" t="inlineStr">
        <is>
          <t>Neelam</t>
        </is>
      </c>
      <c r="F582" s="5" t="inlineStr">
        <is>
          <t>Divya</t>
        </is>
      </c>
      <c r="G582" s="5" t="inlineStr">
        <is>
          <t>Co-lead</t>
        </is>
      </c>
      <c r="H582" s="5" t="inlineStr">
        <is>
          <t>Major</t>
        </is>
      </c>
      <c r="I582" s="5" t="inlineStr">
        <is>
          <t>The woman he is matched with, who does not want him and asks for a divorce as her wedding gift.</t>
        </is>
      </c>
      <c r="J582" s="5" t="inlineStr">
        <is>
          <t>The whole of the pairing in Romances, a marriage made by other people and refused from inside.</t>
        </is>
      </c>
      <c r="K582" s="19" t="inlineStr">
        <is>
          <t>A free-spirited student who lost her love for life when Suraj died, deliberately late to meet her prospective groom and rude to him afterwards, married under her mother's plea when her father has a heart attack, and asking for divorce rather than anklets.</t>
        </is>
      </c>
      <c r="L582" s="5" t="n"/>
      <c r="M582" s="5" t="inlineStr">
        <is>
          <t>SOURCE-080</t>
        </is>
      </c>
    </row>
    <row r="583" ht="49" customHeight="1">
      <c r="A583" s="15" t="inlineStr">
        <is>
          <t>CAST-575</t>
        </is>
      </c>
      <c r="B583" s="18" t="inlineStr">
        <is>
          <t>FILM-084</t>
        </is>
      </c>
      <c r="C583" s="5" t="inlineStr">
        <is>
          <t>Kasak</t>
        </is>
      </c>
      <c r="D583" s="17" t="n">
        <v>1992</v>
      </c>
      <c r="E583" s="5" t="inlineStr">
        <is>
          <t>Chunky Pandey</t>
        </is>
      </c>
      <c r="F583" s="5" t="inlineStr">
        <is>
          <t>Suraj</t>
        </is>
      </c>
      <c r="G583" s="5" t="inlineStr">
        <is>
          <t>Romantic rival</t>
        </is>
      </c>
      <c r="H583" s="5" t="inlineStr">
        <is>
          <t>Major</t>
        </is>
      </c>
      <c r="I583" s="5" t="inlineStr">
        <is>
          <t>The dead lover whose place in Divya's life Kapoor's character cannot take.</t>
        </is>
      </c>
      <c r="J583" s="5" t="inlineStr">
        <is>
          <t>The absent claim the marriage is conducted against.</t>
        </is>
      </c>
      <c r="K583" s="19" t="inlineStr">
        <is>
          <t>The man Divya loved and had arrested after witnessing him rob a politician's son, and whose death emptied her life before the arranged marriage begins.</t>
        </is>
      </c>
      <c r="L583" s="5" t="n"/>
      <c r="M583" s="5" t="inlineStr">
        <is>
          <t>SOURCE-080</t>
        </is>
      </c>
    </row>
    <row r="584" ht="49" customHeight="1">
      <c r="A584" s="15" t="inlineStr">
        <is>
          <t>CAST-576</t>
        </is>
      </c>
      <c r="B584" s="18" t="inlineStr">
        <is>
          <t>FILM-084</t>
        </is>
      </c>
      <c r="C584" s="5" t="inlineStr">
        <is>
          <t>Kasak</t>
        </is>
      </c>
      <c r="D584" s="17" t="n">
        <v>1992</v>
      </c>
      <c r="E584" s="5" t="inlineStr">
        <is>
          <t>Satyen Kappu</t>
        </is>
      </c>
      <c r="F584" s="5" t="inlineStr">
        <is>
          <t>Divya's father</t>
        </is>
      </c>
      <c r="G584" s="5" t="inlineStr">
        <is>
          <t>Family</t>
        </is>
      </c>
      <c r="H584" s="5" t="inlineStr">
        <is>
          <t>Major</t>
        </is>
      </c>
      <c r="I584" s="5" t="inlineStr">
        <is>
          <t>The father who arranges the marriage, and whose heart attack forces his daughter's consent.</t>
        </is>
      </c>
      <c r="J584" s="5" t="inlineStr">
        <is>
          <t>The whole of the pressure that makes the marriage happen.</t>
        </is>
      </c>
      <c r="K584" s="19" t="inlineStr">
        <is>
          <t>Divya's father, who plans the match and tells her to come home early to meet the groom, and whose heart attack converts her refusal into acceptance.</t>
        </is>
      </c>
      <c r="L584" s="5" t="n"/>
      <c r="M584" s="5" t="inlineStr">
        <is>
          <t>SOURCE-080</t>
        </is>
      </c>
    </row>
    <row r="585" ht="49" customHeight="1">
      <c r="A585" s="15" t="inlineStr">
        <is>
          <t>CAST-577</t>
        </is>
      </c>
      <c r="B585" s="18" t="inlineStr">
        <is>
          <t>FILM-084</t>
        </is>
      </c>
      <c r="C585" s="5" t="inlineStr">
        <is>
          <t>Kasak</t>
        </is>
      </c>
      <c r="D585" s="17" t="n">
        <v>1992</v>
      </c>
      <c r="E585" s="5" t="inlineStr">
        <is>
          <t>Gita Siddharth</t>
        </is>
      </c>
      <c r="F585" s="5" t="inlineStr">
        <is>
          <t>Divya's mother</t>
        </is>
      </c>
      <c r="G585" s="5" t="inlineStr">
        <is>
          <t>Family</t>
        </is>
      </c>
      <c r="H585" s="5" t="inlineStr">
        <is>
          <t>Medium</t>
        </is>
      </c>
      <c r="I585" s="5" t="inlineStr">
        <is>
          <t>The mother who begs her daughter to accept the proposal for her father's sake.</t>
        </is>
      </c>
      <c r="J585" s="5" t="inlineStr">
        <is>
          <t>The voice that closes the marriage.</t>
        </is>
      </c>
      <c r="K585" s="19" t="inlineStr">
        <is>
          <t>Divya's mother, who pleads with her to accept the proposal to aid her father's recovery.</t>
        </is>
      </c>
      <c r="L585" s="5" t="n"/>
      <c r="M585" s="5" t="inlineStr">
        <is>
          <t>SOURCE-080</t>
        </is>
      </c>
    </row>
    <row r="586" ht="34" customHeight="1">
      <c r="A586" s="15" t="inlineStr">
        <is>
          <t>CAST-578</t>
        </is>
      </c>
      <c r="B586" s="18" t="inlineStr">
        <is>
          <t>FILM-084</t>
        </is>
      </c>
      <c r="C586" s="5" t="inlineStr">
        <is>
          <t>Kasak</t>
        </is>
      </c>
      <c r="D586" s="17" t="n">
        <v>1992</v>
      </c>
      <c r="E586" s="5" t="inlineStr">
        <is>
          <t>Kader Khan</t>
        </is>
      </c>
      <c r="F586" s="5" t="inlineStr">
        <is>
          <t>Hasmukh Sharma</t>
        </is>
      </c>
      <c r="G586" s="5" t="inlineStr">
        <is>
          <t>Supporting</t>
        </is>
      </c>
      <c r="H586" s="5" t="inlineStr">
        <is>
          <t>Medium</t>
        </is>
      </c>
      <c r="I586" s="5" t="inlineStr">
        <is>
          <t>A credited senior figure around the arranged marriage.</t>
        </is>
      </c>
      <c r="J586" s="5" t="inlineStr">
        <is>
          <t>Part of the social machinery of the match.</t>
        </is>
      </c>
      <c r="K586" s="19" t="inlineStr">
        <is>
          <t>Credited as Hasmukh Sharma, in the supporting ranks of a film about a marriage nobody in it wants equally.</t>
        </is>
      </c>
      <c r="L586" s="5" t="n"/>
      <c r="M586" s="5" t="inlineStr">
        <is>
          <t>SOURCE-080</t>
        </is>
      </c>
    </row>
    <row r="587" ht="34" customHeight="1">
      <c r="A587" s="15" t="inlineStr">
        <is>
          <t>CAST-579</t>
        </is>
      </c>
      <c r="B587" s="18" t="inlineStr">
        <is>
          <t>FILM-084</t>
        </is>
      </c>
      <c r="C587" s="5" t="inlineStr">
        <is>
          <t>Kasak</t>
        </is>
      </c>
      <c r="D587" s="17" t="n">
        <v>1992</v>
      </c>
      <c r="E587" s="5" t="inlineStr">
        <is>
          <t>Aruna Irani</t>
        </is>
      </c>
      <c r="F587" s="5" t="inlineStr">
        <is>
          <t>Lajwanti</t>
        </is>
      </c>
      <c r="G587" s="5" t="inlineStr">
        <is>
          <t>Supporting</t>
        </is>
      </c>
      <c r="H587" s="5" t="inlineStr">
        <is>
          <t>Medium</t>
        </is>
      </c>
      <c r="I587" s="5" t="inlineStr">
        <is>
          <t>A credited supporting presence in the household world of the film.</t>
        </is>
      </c>
      <c r="J587" s="5" t="inlineStr">
        <is>
          <t>No documented part in the pairing.</t>
        </is>
      </c>
      <c r="K587" s="19" t="inlineStr">
        <is>
          <t>Credited as Lajwanti, among the film's supporting parts.</t>
        </is>
      </c>
      <c r="L587" s="5" t="n"/>
      <c r="M587" s="5" t="inlineStr">
        <is>
          <t>SOURCE-080</t>
        </is>
      </c>
    </row>
    <row r="588" ht="34" customHeight="1">
      <c r="A588" s="15" t="inlineStr">
        <is>
          <t>CAST-580</t>
        </is>
      </c>
      <c r="B588" s="18" t="inlineStr">
        <is>
          <t>FILM-084</t>
        </is>
      </c>
      <c r="C588" s="5" t="inlineStr">
        <is>
          <t>Kasak</t>
        </is>
      </c>
      <c r="D588" s="17" t="n">
        <v>1992</v>
      </c>
      <c r="E588" s="5" t="inlineStr">
        <is>
          <t>Laxmikant Berde</t>
        </is>
      </c>
      <c r="F588" s="5" t="inlineStr">
        <is>
          <t>Shayar</t>
        </is>
      </c>
      <c r="G588" s="5" t="inlineStr">
        <is>
          <t>Comic support</t>
        </is>
      </c>
      <c r="H588" s="5" t="inlineStr">
        <is>
          <t>Minor</t>
        </is>
      </c>
      <c r="I588" s="5" t="inlineStr">
        <is>
          <t>The comic figure around a marriage conducted in near silence.</t>
        </is>
      </c>
      <c r="J588" s="5" t="inlineStr">
        <is>
          <t>Comic relief against the central estrangement.</t>
        </is>
      </c>
      <c r="K588" s="19" t="inlineStr">
        <is>
          <t>Credited as Shayar, the comic part, in the Marathi comedian's Hindi-film period.</t>
        </is>
      </c>
      <c r="L588" s="5" t="n"/>
      <c r="M588" s="5" t="inlineStr">
        <is>
          <t>SOURCE-080</t>
        </is>
      </c>
    </row>
    <row r="589" ht="49" customHeight="1">
      <c r="A589" s="15" t="inlineStr">
        <is>
          <t>CAST-581</t>
        </is>
      </c>
      <c r="B589" s="18" t="inlineStr">
        <is>
          <t>FILM-086</t>
        </is>
      </c>
      <c r="C589" s="5" t="inlineStr">
        <is>
          <t>Rishta To Ho Aisa</t>
        </is>
      </c>
      <c r="D589" s="17" t="n">
        <v>1992</v>
      </c>
      <c r="E589" s="5" t="inlineStr">
        <is>
          <t>Juhi Chawla</t>
        </is>
      </c>
      <c r="F589" s="5" t="inlineStr">
        <is>
          <t>Seema</t>
        </is>
      </c>
      <c r="G589" s="5" t="inlineStr">
        <is>
          <t>Co-lead</t>
        </is>
      </c>
      <c r="H589" s="5" t="inlineStr">
        <is>
          <t>Major</t>
        </is>
      </c>
      <c r="I589" s="5" t="inlineStr">
        <is>
          <t>The stage dancer Vijay courts, and whom he presents with a stolen necklace.</t>
        </is>
      </c>
      <c r="J589" s="5" t="inlineStr">
        <is>
          <t>The whole of the pairing in Romances, and the courtship that produces the theft the plot turns on.</t>
        </is>
      </c>
      <c r="K589" s="19" t="inlineStr">
        <is>
          <t>A stage dancer courted by a pickpocket, given a necklace stolen from his own brother's house, and caught with it on stage when he confesses.</t>
        </is>
      </c>
      <c r="L589" s="5" t="n"/>
      <c r="M589" s="5" t="inlineStr">
        <is>
          <t>SOURCE-084</t>
        </is>
      </c>
    </row>
    <row r="590" ht="49" customHeight="1">
      <c r="A590" s="15" t="inlineStr">
        <is>
          <t>CAST-582</t>
        </is>
      </c>
      <c r="B590" s="18" t="inlineStr">
        <is>
          <t>FILM-086</t>
        </is>
      </c>
      <c r="C590" s="5" t="inlineStr">
        <is>
          <t>Rishta To Ho Aisa</t>
        </is>
      </c>
      <c r="D590" s="17" t="n">
        <v>1992</v>
      </c>
      <c r="E590" s="5" t="inlineStr">
        <is>
          <t>Jeetendra</t>
        </is>
      </c>
      <c r="F590" s="5" t="inlineStr">
        <is>
          <t>Rajesh</t>
        </is>
      </c>
      <c r="G590" s="5" t="inlineStr">
        <is>
          <t>Family</t>
        </is>
      </c>
      <c r="H590" s="5" t="inlineStr">
        <is>
          <t>Major</t>
        </is>
      </c>
      <c r="I590" s="5" t="inlineStr">
        <is>
          <t>Vijay's elder brother, whose house he robs without knowing whose it is.</t>
        </is>
      </c>
      <c r="J590" s="5" t="inlineStr">
        <is>
          <t>The household the theft and the false wife belong to.</t>
        </is>
      </c>
      <c r="K590" s="19" t="inlineStr">
        <is>
          <t>An honourable villager who loses his memory in an accident engineered by his rival, and in whose house a manager installs a planted woman while his own wife works as a servant.</t>
        </is>
      </c>
      <c r="L590" s="5" t="n"/>
      <c r="M590" s="5" t="inlineStr">
        <is>
          <t>SOURCE-084</t>
        </is>
      </c>
    </row>
    <row r="591" ht="64" customHeight="1">
      <c r="A591" s="15" t="inlineStr">
        <is>
          <t>CAST-583</t>
        </is>
      </c>
      <c r="B591" s="18" t="inlineStr">
        <is>
          <t>FILM-086</t>
        </is>
      </c>
      <c r="C591" s="5" t="inlineStr">
        <is>
          <t>Rishta To Ho Aisa</t>
        </is>
      </c>
      <c r="D591" s="17" t="n">
        <v>1992</v>
      </c>
      <c r="E591" s="5" t="inlineStr">
        <is>
          <t>Sujata Mehta</t>
        </is>
      </c>
      <c r="F591" s="5" t="inlineStr">
        <is>
          <t>Sharda</t>
        </is>
      </c>
      <c r="G591" s="5" t="inlineStr">
        <is>
          <t>Family</t>
        </is>
      </c>
      <c r="H591" s="5" t="inlineStr">
        <is>
          <t>Major</t>
        </is>
      </c>
      <c r="I591" s="5" t="inlineStr">
        <is>
          <t>His brother's wife, jailed for the theft Kapoor's character committed and taken home by him afterwards.</t>
        </is>
      </c>
      <c r="J591" s="5" t="inlineStr">
        <is>
          <t>The wronged marriage the film restores, at the cost of the courtship.</t>
        </is>
      </c>
      <c r="K591" s="19" t="inlineStr">
        <is>
          <t>Rajesh's wife, reduced with her daughter to working as servants in her amnesiac husband's house, blamed and imprisoned for the stolen necklace, and taken back to the village pregnant and denounced.</t>
        </is>
      </c>
      <c r="L591" s="5" t="n"/>
      <c r="M591" s="5" t="inlineStr">
        <is>
          <t>SOURCE-084</t>
        </is>
      </c>
    </row>
    <row r="592" ht="49" customHeight="1">
      <c r="A592" s="15" t="inlineStr">
        <is>
          <t>CAST-584</t>
        </is>
      </c>
      <c r="B592" s="18" t="inlineStr">
        <is>
          <t>FILM-086</t>
        </is>
      </c>
      <c r="C592" s="5" t="inlineStr">
        <is>
          <t>Rishta To Ho Aisa</t>
        </is>
      </c>
      <c r="D592" s="17" t="n">
        <v>1992</v>
      </c>
      <c r="E592" s="5" t="inlineStr">
        <is>
          <t>Kader Khan</t>
        </is>
      </c>
      <c r="F592" s="5" t="inlineStr">
        <is>
          <t>Girdharilal</t>
        </is>
      </c>
      <c r="G592" s="5" t="inlineStr">
        <is>
          <t>Antagonist</t>
        </is>
      </c>
      <c r="H592" s="5" t="inlineStr">
        <is>
          <t>Major</t>
        </is>
      </c>
      <c r="I592" s="5" t="inlineStr">
        <is>
          <t>The manager who exploits the amnesia and plants a false wife in his brother's house.</t>
        </is>
      </c>
      <c r="J592" s="5" t="inlineStr">
        <is>
          <t>The author of the substitution the whole plot runs on.</t>
        </is>
      </c>
      <c r="K592" s="19" t="inlineStr">
        <is>
          <t>Rajesh's manager, who exploits his employer's memory loss by installing the beautiful Mohini in his house to lure him.</t>
        </is>
      </c>
      <c r="L592" s="5" t="n"/>
      <c r="M592" s="5" t="inlineStr">
        <is>
          <t>SOURCE-084</t>
        </is>
      </c>
    </row>
    <row r="593" ht="34" customHeight="1">
      <c r="A593" s="15" t="inlineStr">
        <is>
          <t>CAST-585</t>
        </is>
      </c>
      <c r="B593" s="18" t="inlineStr">
        <is>
          <t>FILM-086</t>
        </is>
      </c>
      <c r="C593" s="5" t="inlineStr">
        <is>
          <t>Rishta To Ho Aisa</t>
        </is>
      </c>
      <c r="D593" s="17" t="n">
        <v>1992</v>
      </c>
      <c r="E593" s="5" t="inlineStr">
        <is>
          <t>Paresh Rawal</t>
        </is>
      </c>
      <c r="F593" s="5" t="inlineStr">
        <is>
          <t>Kalicharan</t>
        </is>
      </c>
      <c r="G593" s="5" t="inlineStr">
        <is>
          <t>Antagonist</t>
        </is>
      </c>
      <c r="H593" s="5" t="inlineStr">
        <is>
          <t>Major</t>
        </is>
      </c>
      <c r="I593" s="5" t="inlineStr">
        <is>
          <t>The rival whose engineered accident causes the amnesia.</t>
        </is>
      </c>
      <c r="J593" s="5" t="inlineStr">
        <is>
          <t>The external cause of the family's dispersal.</t>
        </is>
      </c>
      <c r="K593" s="19" t="inlineStr">
        <is>
          <t>Rajesh's rival, who arranges the Bombay accident in which he loses his memory.</t>
        </is>
      </c>
      <c r="L593" s="5" t="n"/>
      <c r="M593" s="5" t="inlineStr">
        <is>
          <t>SOURCE-084</t>
        </is>
      </c>
    </row>
    <row r="594" ht="49" customHeight="1">
      <c r="A594" s="15" t="inlineStr">
        <is>
          <t>CAST-586</t>
        </is>
      </c>
      <c r="B594" s="18" t="inlineStr">
        <is>
          <t>FILM-086</t>
        </is>
      </c>
      <c r="C594" s="5" t="inlineStr">
        <is>
          <t>Rishta To Ho Aisa</t>
        </is>
      </c>
      <c r="D594" s="17" t="n">
        <v>1992</v>
      </c>
      <c r="E594" s="5" t="inlineStr">
        <is>
          <t>Swapna</t>
        </is>
      </c>
      <c r="F594" s="5" t="inlineStr">
        <is>
          <t>Mohini</t>
        </is>
      </c>
      <c r="G594" s="5" t="inlineStr">
        <is>
          <t>Antagonist</t>
        </is>
      </c>
      <c r="H594" s="5" t="inlineStr">
        <is>
          <t>Medium</t>
        </is>
      </c>
      <c r="I594" s="5" t="inlineStr">
        <is>
          <t>The woman planted as his brother's companion.</t>
        </is>
      </c>
      <c r="J594" s="5" t="inlineStr">
        <is>
          <t>The false attachment set against the real marriage.</t>
        </is>
      </c>
      <c r="K594" s="19" t="inlineStr">
        <is>
          <t>Credited as Mohini, the beautiful woman placed in the amnesiac man's house to lure him, and present when the necklace is traced on stage.</t>
        </is>
      </c>
      <c r="L594" s="5" t="n"/>
      <c r="M594" s="5" t="inlineStr">
        <is>
          <t>SOURCE-084</t>
        </is>
      </c>
    </row>
    <row r="595" ht="34" customHeight="1">
      <c r="A595" s="15" t="inlineStr">
        <is>
          <t>CAST-587</t>
        </is>
      </c>
      <c r="B595" s="18" t="inlineStr">
        <is>
          <t>FILM-086</t>
        </is>
      </c>
      <c r="C595" s="5" t="inlineStr">
        <is>
          <t>Rishta To Ho Aisa</t>
        </is>
      </c>
      <c r="D595" s="17" t="n">
        <v>1992</v>
      </c>
      <c r="E595" s="5" t="inlineStr">
        <is>
          <t>Ashok Saraf</t>
        </is>
      </c>
      <c r="F595" s="5" t="inlineStr">
        <is>
          <t>Balram</t>
        </is>
      </c>
      <c r="G595" s="5" t="inlineStr">
        <is>
          <t>Comic support</t>
        </is>
      </c>
      <c r="H595" s="5" t="inlineStr">
        <is>
          <t>Minor</t>
        </is>
      </c>
      <c r="I595" s="5" t="inlineStr">
        <is>
          <t>The comic companion in the pickpocket's city world.</t>
        </is>
      </c>
      <c r="J595" s="5" t="inlineStr">
        <is>
          <t>Comic attendance on the courtship.</t>
        </is>
      </c>
      <c r="K595" s="19" t="inlineStr">
        <is>
          <t>Credited as Balram, the comic part in a plot of amnesia and substitution.</t>
        </is>
      </c>
      <c r="L595" s="5" t="n"/>
      <c r="M595" s="5" t="inlineStr">
        <is>
          <t>SOURCE-084</t>
        </is>
      </c>
    </row>
    <row r="596" ht="79" customHeight="1">
      <c r="A596" s="15" t="inlineStr">
        <is>
          <t>CAST-588</t>
        </is>
      </c>
      <c r="B596" s="18" t="inlineStr">
        <is>
          <t>FILM-087</t>
        </is>
      </c>
      <c r="C596" s="5" t="inlineStr">
        <is>
          <t>Deewana</t>
        </is>
      </c>
      <c r="D596" s="17" t="n">
        <v>1992</v>
      </c>
      <c r="E596" s="5" t="inlineStr">
        <is>
          <t>Divya Bharti</t>
        </is>
      </c>
      <c r="F596" s="5" t="inlineStr">
        <is>
          <t>Kajal</t>
        </is>
      </c>
      <c r="G596" s="5" t="inlineStr">
        <is>
          <t>Co-lead</t>
        </is>
      </c>
      <c r="H596" s="5" t="inlineStr">
        <is>
          <t>Major</t>
        </is>
      </c>
      <c r="I596" s="5" t="inlineStr">
        <is>
          <t>Ravi's wife, widowed by the attempt on his life and remarried before he reappears.</t>
        </is>
      </c>
      <c r="J596" s="5" t="inlineStr">
        <is>
          <t>The whole of the pairing in Romances, and the apex of a triangle created by a presumed death.</t>
        </is>
      </c>
      <c r="K596" s="19" t="inlineStr">
        <is>
          <t>A young woman who marries Ravi with his mother's blessing, is widowed when he is thrown off a cliff, moves cities with her mother-in-law, resists a second suitor and then marries him, and stays with him when the first husband proves to be alive.</t>
        </is>
      </c>
      <c r="L596" s="5" t="n"/>
      <c r="M596" s="5" t="inlineStr">
        <is>
          <t>SOURCE-081</t>
        </is>
      </c>
    </row>
    <row r="597" ht="64" customHeight="1">
      <c r="A597" s="15" t="inlineStr">
        <is>
          <t>CAST-589</t>
        </is>
      </c>
      <c r="B597" s="18" t="inlineStr">
        <is>
          <t>FILM-087</t>
        </is>
      </c>
      <c r="C597" s="5" t="inlineStr">
        <is>
          <t>Deewana</t>
        </is>
      </c>
      <c r="D597" s="17" t="n">
        <v>1992</v>
      </c>
      <c r="E597" s="5" t="inlineStr">
        <is>
          <t>Shah Rukh Khan</t>
        </is>
      </c>
      <c r="F597" s="5" t="inlineStr">
        <is>
          <t>Raja Sahai</t>
        </is>
      </c>
      <c r="G597" s="5" t="inlineStr">
        <is>
          <t>Co-lead</t>
        </is>
      </c>
      <c r="H597" s="5" t="inlineStr">
        <is>
          <t>Major</t>
        </is>
      </c>
      <c r="I597" s="5" t="inlineStr">
        <is>
          <t>The second husband, who takes the widow Kapoor's character left behind and becomes the obstacle to his return.</t>
        </is>
      </c>
      <c r="J597" s="5" t="inlineStr">
        <is>
          <t>The second claim in the triangle, and the one the film finally favours.</t>
        </is>
      </c>
      <c r="K597" s="19" t="inlineStr">
        <is>
          <t>A rich, good-hearted motorcyclist who knocks down Ravi's mother, meets Kajal, is told she is a widow, persists against his own father's objection, and marries her.</t>
        </is>
      </c>
      <c r="L597" s="5" t="inlineStr">
        <is>
          <t>Shah Rukh Khan's debut in a released Hindi feature, and the role that launched his career.</t>
        </is>
      </c>
      <c r="M597" s="5" t="inlineStr">
        <is>
          <t>SOURCE-081</t>
        </is>
      </c>
    </row>
    <row r="598" ht="49" customHeight="1">
      <c r="A598" s="15" t="inlineStr">
        <is>
          <t>CAST-590</t>
        </is>
      </c>
      <c r="B598" s="18" t="inlineStr">
        <is>
          <t>FILM-087</t>
        </is>
      </c>
      <c r="C598" s="5" t="inlineStr">
        <is>
          <t>Deewana</t>
        </is>
      </c>
      <c r="D598" s="17" t="n">
        <v>1992</v>
      </c>
      <c r="E598" s="5" t="inlineStr">
        <is>
          <t>Amrish Puri</t>
        </is>
      </c>
      <c r="F598" s="5" t="inlineStr">
        <is>
          <t>Dhirendra Pratap Singh</t>
        </is>
      </c>
      <c r="G598" s="5" t="inlineStr">
        <is>
          <t>Antagonist</t>
        </is>
      </c>
      <c r="H598" s="5" t="inlineStr">
        <is>
          <t>Major</t>
        </is>
      </c>
      <c r="I598" s="5" t="inlineStr">
        <is>
          <t>The uncle who has him thrown off a cliff to secure the inheritance.</t>
        </is>
      </c>
      <c r="J598" s="5" t="inlineStr">
        <is>
          <t>The external violence that creates the triangle and later kidnaps the second couple.</t>
        </is>
      </c>
      <c r="K598" s="19" t="inlineStr">
        <is>
          <t>Ravi's greedy uncle, next in line to the family wealth, who hires hoodlums to murder his nephew and later abducts Kajal and Raja to extort the property.</t>
        </is>
      </c>
      <c r="L598" s="5" t="n"/>
      <c r="M598" s="5" t="inlineStr">
        <is>
          <t>SOURCE-081</t>
        </is>
      </c>
    </row>
    <row r="599" ht="49" customHeight="1">
      <c r="A599" s="15" t="inlineStr">
        <is>
          <t>CAST-591</t>
        </is>
      </c>
      <c r="B599" s="18" t="inlineStr">
        <is>
          <t>FILM-087</t>
        </is>
      </c>
      <c r="C599" s="5" t="inlineStr">
        <is>
          <t>Deewana</t>
        </is>
      </c>
      <c r="D599" s="17" t="n">
        <v>1992</v>
      </c>
      <c r="E599" s="5" t="inlineStr">
        <is>
          <t>Sushma Seth</t>
        </is>
      </c>
      <c r="F599" s="5" t="inlineStr">
        <is>
          <t>Laxmi Devi</t>
        </is>
      </c>
      <c r="G599" s="5" t="inlineStr">
        <is>
          <t>Family</t>
        </is>
      </c>
      <c r="H599" s="5" t="inlineStr">
        <is>
          <t>Major</t>
        </is>
      </c>
      <c r="I599" s="5" t="inlineStr">
        <is>
          <t>Ravi's mother, who blesses the first marriage and leaves the city with his widow.</t>
        </is>
      </c>
      <c r="J599" s="5" t="inlineStr">
        <is>
          <t>The link between the two marriages: her accident is how the second suitor meets the widow.</t>
        </is>
      </c>
      <c r="K599" s="19" t="inlineStr">
        <is>
          <t>Ravi's mother, who approves his marriage, moves cities with her widowed daughter-in-law, and is knocked down in the street by the man who becomes the second husband.</t>
        </is>
      </c>
      <c r="L599" s="5" t="n"/>
      <c r="M599" s="5" t="inlineStr">
        <is>
          <t>SOURCE-081</t>
        </is>
      </c>
    </row>
    <row r="600" ht="49" customHeight="1">
      <c r="A600" s="15" t="inlineStr">
        <is>
          <t>CAST-592</t>
        </is>
      </c>
      <c r="B600" s="18" t="inlineStr">
        <is>
          <t>FILM-087</t>
        </is>
      </c>
      <c r="C600" s="5" t="inlineStr">
        <is>
          <t>Deewana</t>
        </is>
      </c>
      <c r="D600" s="17" t="n">
        <v>1992</v>
      </c>
      <c r="E600" s="5" t="inlineStr">
        <is>
          <t>Mohnish Bahl</t>
        </is>
      </c>
      <c r="F600" s="5" t="inlineStr">
        <is>
          <t>Narendra Pratap Singh</t>
        </is>
      </c>
      <c r="G600" s="5" t="inlineStr">
        <is>
          <t>Antagonist</t>
        </is>
      </c>
      <c r="H600" s="5" t="inlineStr">
        <is>
          <t>Medium</t>
        </is>
      </c>
      <c r="I600" s="5" t="inlineStr">
        <is>
          <t>The cousin who joins the murder attempt and dies in the struggle.</t>
        </is>
      </c>
      <c r="J600" s="5" t="inlineStr">
        <is>
          <t>No direct part in the triangle.</t>
        </is>
      </c>
      <c r="K600" s="19" t="inlineStr">
        <is>
          <t>In a special appearance as Ravi's cousin, second in line to the inheritance, killed by Ravi as the two of them topple over the cliff.</t>
        </is>
      </c>
      <c r="L600" s="5" t="n"/>
      <c r="M600" s="5" t="inlineStr">
        <is>
          <t>SOURCE-081</t>
        </is>
      </c>
    </row>
    <row r="601" ht="34" customHeight="1">
      <c r="A601" s="15" t="inlineStr">
        <is>
          <t>CAST-593</t>
        </is>
      </c>
      <c r="B601" s="18" t="inlineStr">
        <is>
          <t>FILM-087</t>
        </is>
      </c>
      <c r="C601" s="5" t="inlineStr">
        <is>
          <t>Deewana</t>
        </is>
      </c>
      <c r="D601" s="17" t="n">
        <v>1992</v>
      </c>
      <c r="E601" s="5" t="inlineStr">
        <is>
          <t>Dalip Tahil</t>
        </is>
      </c>
      <c r="F601" s="5" t="inlineStr">
        <is>
          <t>Ramakant Sahai</t>
        </is>
      </c>
      <c r="G601" s="5" t="inlineStr">
        <is>
          <t>Family</t>
        </is>
      </c>
      <c r="H601" s="5" t="inlineStr">
        <is>
          <t>Medium</t>
        </is>
      </c>
      <c r="I601" s="5" t="inlineStr">
        <is>
          <t>The second husband's father, who objects to his son marrying a widow.</t>
        </is>
      </c>
      <c r="J601" s="5" t="inlineStr">
        <is>
          <t>The external opposition to the second marriage.</t>
        </is>
      </c>
      <c r="K601" s="19" t="inlineStr">
        <is>
          <t>Raja's rich father, who dislikes the idea of his son pursuing a widow.</t>
        </is>
      </c>
      <c r="L601" s="5" t="n"/>
      <c r="M601" s="5" t="inlineStr">
        <is>
          <t>SOURCE-081</t>
        </is>
      </c>
    </row>
    <row r="602" ht="34" customHeight="1">
      <c r="A602" s="15" t="inlineStr">
        <is>
          <t>CAST-594</t>
        </is>
      </c>
      <c r="B602" s="18" t="inlineStr">
        <is>
          <t>FILM-087</t>
        </is>
      </c>
      <c r="C602" s="5" t="inlineStr">
        <is>
          <t>Deewana</t>
        </is>
      </c>
      <c r="D602" s="17" t="n">
        <v>1992</v>
      </c>
      <c r="E602" s="5" t="inlineStr">
        <is>
          <t>Alok Nath</t>
        </is>
      </c>
      <c r="F602" s="5" t="inlineStr">
        <is>
          <t>Mr. Sharma</t>
        </is>
      </c>
      <c r="G602" s="5" t="inlineStr">
        <is>
          <t>Family</t>
        </is>
      </c>
      <c r="H602" s="5" t="inlineStr">
        <is>
          <t>Medium</t>
        </is>
      </c>
      <c r="I602" s="5" t="inlineStr">
        <is>
          <t>A credited senior figure in the families around the two marriages.</t>
        </is>
      </c>
      <c r="J602" s="5" t="inlineStr">
        <is>
          <t>Part of the social world the remarriage is judged in.</t>
        </is>
      </c>
      <c r="K602" s="19" t="inlineStr">
        <is>
          <t>Credited as Mr. Sharma, in the parental generation of a film about a widow's second marriage.</t>
        </is>
      </c>
      <c r="L602" s="5" t="n"/>
      <c r="M602" s="5" t="inlineStr">
        <is>
          <t>SOURCE-081</t>
        </is>
      </c>
    </row>
    <row r="603" ht="34" customHeight="1">
      <c r="A603" s="15" t="inlineStr">
        <is>
          <t>CAST-595</t>
        </is>
      </c>
      <c r="B603" s="18" t="inlineStr">
        <is>
          <t>FILM-087</t>
        </is>
      </c>
      <c r="C603" s="5" t="inlineStr">
        <is>
          <t>Deewana</t>
        </is>
      </c>
      <c r="D603" s="17" t="n">
        <v>1992</v>
      </c>
      <c r="E603" s="5" t="inlineStr">
        <is>
          <t>Deven Verma</t>
        </is>
      </c>
      <c r="F603" s="5" t="inlineStr">
        <is>
          <t>Devdas Sabrangi</t>
        </is>
      </c>
      <c r="G603" s="5" t="inlineStr">
        <is>
          <t>Comic support</t>
        </is>
      </c>
      <c r="H603" s="5" t="inlineStr">
        <is>
          <t>Minor</t>
        </is>
      </c>
      <c r="I603" s="5" t="inlineStr">
        <is>
          <t>The comic figure around the second household.</t>
        </is>
      </c>
      <c r="J603" s="5" t="inlineStr">
        <is>
          <t>Comic attendance on the remarriage.</t>
        </is>
      </c>
      <c r="K603" s="19" t="inlineStr">
        <is>
          <t>Credited as Devdas Sabrangi, with Asha Sachdev's Chandramukh, a comic pair named after Devdas and Chandramukhi.</t>
        </is>
      </c>
      <c r="L603" s="5" t="n"/>
      <c r="M603" s="5" t="inlineStr">
        <is>
          <t>SOURCE-081</t>
        </is>
      </c>
    </row>
    <row r="604" ht="64" customHeight="1">
      <c r="A604" s="15" t="inlineStr">
        <is>
          <t>CAST-596</t>
        </is>
      </c>
      <c r="B604" s="18" t="inlineStr">
        <is>
          <t>FILM-088</t>
        </is>
      </c>
      <c r="C604" s="5" t="inlineStr">
        <is>
          <t>Honeymoon</t>
        </is>
      </c>
      <c r="D604" s="17" t="n">
        <v>1992</v>
      </c>
      <c r="E604" s="5" t="inlineStr">
        <is>
          <t>Ashwini Bhave</t>
        </is>
      </c>
      <c r="F604" s="5" t="inlineStr">
        <is>
          <t>Lata</t>
        </is>
      </c>
      <c r="G604" s="5" t="inlineStr">
        <is>
          <t>Co-lead</t>
        </is>
      </c>
      <c r="H604" s="5" t="inlineStr">
        <is>
          <t>Major</t>
        </is>
      </c>
      <c r="I604" s="5" t="inlineStr">
        <is>
          <t>Credited as the senior heroine; both the plot and cast headings of the article are empty, so the relationship is undocumented.</t>
        </is>
      </c>
      <c r="J604" s="5" t="inlineStr">
        <is>
          <t>The filmography records a major romance for this film, but nothing about it is documented, which is why there is no Romances row.</t>
        </is>
      </c>
      <c r="K604" s="19" t="inlineStr">
        <is>
          <t>Credited as Lata, the first of the film's two heroines, in the second of her three films with Kapoor.</t>
        </is>
      </c>
      <c r="L604" s="5" t="n"/>
      <c r="M604" s="5" t="inlineStr">
        <is>
          <t>SOURCE-083</t>
        </is>
      </c>
    </row>
    <row r="605" ht="64" customHeight="1">
      <c r="A605" s="15" t="inlineStr">
        <is>
          <t>CAST-597</t>
        </is>
      </c>
      <c r="B605" s="18" t="inlineStr">
        <is>
          <t>FILM-088</t>
        </is>
      </c>
      <c r="C605" s="5" t="inlineStr">
        <is>
          <t>Honeymoon</t>
        </is>
      </c>
      <c r="D605" s="17" t="n">
        <v>1992</v>
      </c>
      <c r="E605" s="5" t="inlineStr">
        <is>
          <t>Varsha Usgaonkar</t>
        </is>
      </c>
      <c r="F605" s="5" t="inlineStr">
        <is>
          <t>Asha S. Verma</t>
        </is>
      </c>
      <c r="G605" s="5" t="inlineStr">
        <is>
          <t>Co-lead</t>
        </is>
      </c>
      <c r="H605" s="5" t="inlineStr">
        <is>
          <t>Major</t>
        </is>
      </c>
      <c r="I605" s="5" t="inlineStr">
        <is>
          <t>Credited with the surname and initial of Kapoor's Suraj Verma, which implies a marriage; no synopsis confirms it.</t>
        </is>
      </c>
      <c r="J605" s="5" t="inlineStr">
        <is>
          <t>Undocumented, though the credited name is the one piece of evidence about the film's central relationship.</t>
        </is>
      </c>
      <c r="K605" s="19" t="inlineStr">
        <is>
          <t>Credited as Asha S. Verma, the name itself suggesting she is married to Kapoor's character, in an article with no plot text.</t>
        </is>
      </c>
      <c r="L605" s="5" t="n"/>
      <c r="M605" s="5" t="inlineStr">
        <is>
          <t>SOURCE-083</t>
        </is>
      </c>
    </row>
    <row r="606" ht="34" customHeight="1">
      <c r="A606" s="15" t="inlineStr">
        <is>
          <t>CAST-598</t>
        </is>
      </c>
      <c r="B606" s="18" t="inlineStr">
        <is>
          <t>FILM-088</t>
        </is>
      </c>
      <c r="C606" s="5" t="inlineStr">
        <is>
          <t>Honeymoon</t>
        </is>
      </c>
      <c r="D606" s="17" t="n">
        <v>1992</v>
      </c>
      <c r="E606" s="5" t="inlineStr">
        <is>
          <t>Mohnish Bahl</t>
        </is>
      </c>
      <c r="F606" s="5" t="inlineStr">
        <is>
          <t>Vijay</t>
        </is>
      </c>
      <c r="G606" s="5" t="inlineStr">
        <is>
          <t>Supporting</t>
        </is>
      </c>
      <c r="H606" s="5" t="inlineStr">
        <is>
          <t>Major</t>
        </is>
      </c>
      <c r="I606" s="5" t="inlineStr">
        <is>
          <t>Credited third; the relationship is undocumented.</t>
        </is>
      </c>
      <c r="J606" s="5" t="inlineStr">
        <is>
          <t>Undocumented.</t>
        </is>
      </c>
      <c r="K606" s="19" t="inlineStr">
        <is>
          <t>Credited as Vijay, high in the cast of a film whose article carries no plot.</t>
        </is>
      </c>
      <c r="L606" s="5" t="n"/>
      <c r="M606" s="5" t="inlineStr">
        <is>
          <t>SOURCE-083</t>
        </is>
      </c>
    </row>
    <row r="607" ht="34" customHeight="1">
      <c r="A607" s="15" t="inlineStr">
        <is>
          <t>CAST-599</t>
        </is>
      </c>
      <c r="B607" s="18" t="inlineStr">
        <is>
          <t>FILM-088</t>
        </is>
      </c>
      <c r="C607" s="5" t="inlineStr">
        <is>
          <t>Honeymoon</t>
        </is>
      </c>
      <c r="D607" s="17" t="n">
        <v>1992</v>
      </c>
      <c r="E607" s="5" t="inlineStr">
        <is>
          <t>Kader Khan</t>
        </is>
      </c>
      <c r="F607" s="5" t="inlineStr">
        <is>
          <t>Dhaniram</t>
        </is>
      </c>
      <c r="G607" s="5" t="inlineStr">
        <is>
          <t>Supporting</t>
        </is>
      </c>
      <c r="H607" s="5" t="inlineStr">
        <is>
          <t>Medium</t>
        </is>
      </c>
      <c r="I607" s="5" t="inlineStr">
        <is>
          <t>Credited with a wife of his own in the cast list; undocumented.</t>
        </is>
      </c>
      <c r="J607" s="5" t="inlineStr">
        <is>
          <t>Undocumented.</t>
        </is>
      </c>
      <c r="K607" s="19" t="inlineStr">
        <is>
          <t>Credited as Dhaniram, opposite Bindu's Mrs. Dhaniram, in an undocumented plot.</t>
        </is>
      </c>
      <c r="L607" s="5" t="n"/>
      <c r="M607" s="5" t="inlineStr">
        <is>
          <t>SOURCE-083</t>
        </is>
      </c>
    </row>
    <row r="608" ht="34" customHeight="1">
      <c r="A608" s="15" t="inlineStr">
        <is>
          <t>CAST-600</t>
        </is>
      </c>
      <c r="B608" s="18" t="inlineStr">
        <is>
          <t>FILM-088</t>
        </is>
      </c>
      <c r="C608" s="5" t="inlineStr">
        <is>
          <t>Honeymoon</t>
        </is>
      </c>
      <c r="D608" s="17" t="n">
        <v>1992</v>
      </c>
      <c r="E608" s="5" t="inlineStr">
        <is>
          <t>Bindu</t>
        </is>
      </c>
      <c r="F608" s="5" t="inlineStr">
        <is>
          <t>Mrs. Dhaniram</t>
        </is>
      </c>
      <c r="G608" s="5" t="inlineStr">
        <is>
          <t>Supporting</t>
        </is>
      </c>
      <c r="H608" s="5" t="inlineStr">
        <is>
          <t>Medium</t>
        </is>
      </c>
      <c r="I608" s="5" t="inlineStr">
        <is>
          <t>Credited as Dhaniram's wife; undocumented.</t>
        </is>
      </c>
      <c r="J608" s="5" t="inlineStr">
        <is>
          <t>Undocumented.</t>
        </is>
      </c>
      <c r="K608" s="19" t="inlineStr">
        <is>
          <t>Credited as Mrs. Dhaniram, in a cast list the article gives without any synopsis.</t>
        </is>
      </c>
      <c r="L608" s="5" t="n"/>
      <c r="M608" s="5" t="inlineStr">
        <is>
          <t>SOURCE-083</t>
        </is>
      </c>
    </row>
    <row r="609" ht="34" customHeight="1">
      <c r="A609" s="15" t="inlineStr">
        <is>
          <t>CAST-601</t>
        </is>
      </c>
      <c r="B609" s="18" t="inlineStr">
        <is>
          <t>FILM-088</t>
        </is>
      </c>
      <c r="C609" s="5" t="inlineStr">
        <is>
          <t>Honeymoon</t>
        </is>
      </c>
      <c r="D609" s="17" t="n">
        <v>1992</v>
      </c>
      <c r="E609" s="5" t="inlineStr">
        <is>
          <t>Shakti Kapoor</t>
        </is>
      </c>
      <c r="F609" s="5" t="inlineStr">
        <is>
          <t>Dr. Nainsukh</t>
        </is>
      </c>
      <c r="G609" s="5" t="inlineStr">
        <is>
          <t>Antagonist</t>
        </is>
      </c>
      <c r="H609" s="5" t="inlineStr">
        <is>
          <t>Medium</t>
        </is>
      </c>
      <c r="I609" s="5" t="inlineStr">
        <is>
          <t>Credited in the villain register; undocumented.</t>
        </is>
      </c>
      <c r="J609" s="5" t="inlineStr">
        <is>
          <t>Undocumented.</t>
        </is>
      </c>
      <c r="K609" s="19" t="inlineStr">
        <is>
          <t>Credited as Dr. Nainsukh, the film's likely antagonist by the actor's register, with no plot to confirm it.</t>
        </is>
      </c>
      <c r="L609" s="5" t="n"/>
      <c r="M609" s="5" t="inlineStr">
        <is>
          <t>SOURCE-083</t>
        </is>
      </c>
    </row>
    <row r="610" ht="34" customHeight="1">
      <c r="A610" s="15" t="inlineStr">
        <is>
          <t>CAST-602</t>
        </is>
      </c>
      <c r="B610" s="18" t="inlineStr">
        <is>
          <t>FILM-088</t>
        </is>
      </c>
      <c r="C610" s="5" t="inlineStr">
        <is>
          <t>Honeymoon</t>
        </is>
      </c>
      <c r="D610" s="17" t="n">
        <v>1992</v>
      </c>
      <c r="E610" s="5" t="inlineStr">
        <is>
          <t>Girija Shankar</t>
        </is>
      </c>
      <c r="F610" s="5" t="inlineStr">
        <is>
          <t>Kuldeep Kaushal</t>
        </is>
      </c>
      <c r="G610" s="5" t="inlineStr">
        <is>
          <t>Supporting</t>
        </is>
      </c>
      <c r="H610" s="5" t="inlineStr">
        <is>
          <t>Minor</t>
        </is>
      </c>
      <c r="I610" s="5" t="inlineStr">
        <is>
          <t>Credited in support; undocumented.</t>
        </is>
      </c>
      <c r="J610" s="5" t="inlineStr">
        <is>
          <t>Undocumented.</t>
        </is>
      </c>
      <c r="K610" s="19" t="inlineStr">
        <is>
          <t>Credited as Kuldeep Kaushal, last of a short cast list in an article with no narrative text.</t>
        </is>
      </c>
      <c r="L610" s="5" t="n"/>
      <c r="M610" s="5" t="inlineStr">
        <is>
          <t>SOURCE-083</t>
        </is>
      </c>
    </row>
    <row r="611" ht="64" customHeight="1">
      <c r="A611" s="15" t="inlineStr">
        <is>
          <t>CAST-603</t>
        </is>
      </c>
      <c r="B611" s="18" t="inlineStr">
        <is>
          <t>FILM-089</t>
        </is>
      </c>
      <c r="C611" s="5" t="inlineStr">
        <is>
          <t>Bol Radha Bol</t>
        </is>
      </c>
      <c r="D611" s="17" t="n">
        <v>1992</v>
      </c>
      <c r="E611" s="5" t="inlineStr">
        <is>
          <t>Juhi Chawla</t>
        </is>
      </c>
      <c r="F611" s="5" t="inlineStr">
        <is>
          <t>Radha / Rita</t>
        </is>
      </c>
      <c r="G611" s="5" t="inlineStr">
        <is>
          <t>Co-lead</t>
        </is>
      </c>
      <c r="H611" s="5" t="inlineStr">
        <is>
          <t>Major</t>
        </is>
      </c>
      <c r="I611" s="5" t="inlineStr">
        <is>
          <t>The village woman he teaches English and promises to return to, and the one person whose belief he needs once his identity is taken.</t>
        </is>
      </c>
      <c r="J611" s="5" t="inlineStr">
        <is>
          <t>The whole of the pairing in Romances, interrupted by the substitution and resumed when he explains it.</t>
        </is>
      </c>
      <c r="K611" s="19" t="inlineStr">
        <is>
          <t>A village belle taught English by a visiting industrialist and left with his promise to come back, credited in a second identity as Rita, and stopped from leaving when he returns to explain who has taken his place.</t>
        </is>
      </c>
      <c r="L611" s="5" t="n"/>
      <c r="M611" s="5" t="inlineStr">
        <is>
          <t>SOURCE-082</t>
        </is>
      </c>
    </row>
    <row r="612" ht="49" customHeight="1">
      <c r="A612" s="15" t="inlineStr">
        <is>
          <t>CAST-604</t>
        </is>
      </c>
      <c r="B612" s="18" t="inlineStr">
        <is>
          <t>FILM-089</t>
        </is>
      </c>
      <c r="C612" s="5" t="inlineStr">
        <is>
          <t>Bol Radha Bol</t>
        </is>
      </c>
      <c r="D612" s="17" t="n">
        <v>1992</v>
      </c>
      <c r="E612" s="5" t="inlineStr">
        <is>
          <t>Mohnish Behl</t>
        </is>
      </c>
      <c r="F612" s="5" t="inlineStr">
        <is>
          <t>Bhanu Prasad</t>
        </is>
      </c>
      <c r="G612" s="5" t="inlineStr">
        <is>
          <t>Antagonist</t>
        </is>
      </c>
      <c r="H612" s="5" t="inlineStr">
        <is>
          <t>Major</t>
        </is>
      </c>
      <c r="I612" s="5" t="inlineStr">
        <is>
          <t>The cousin he banishes for defrauding the company, and the author of the substitution that follows.</t>
        </is>
      </c>
      <c r="J612" s="5" t="inlineStr">
        <is>
          <t>Creates the obstacle the romance has to survive.</t>
        </is>
      </c>
      <c r="K612" s="19" t="inlineStr">
        <is>
          <t>Kishan's cousin, found defrauding the Malhotra company and thrown out of the house, in the family that benefits from an impostor taking his place.</t>
        </is>
      </c>
      <c r="L612" s="5" t="n"/>
      <c r="M612" s="5" t="inlineStr">
        <is>
          <t>SOURCE-082</t>
        </is>
      </c>
    </row>
    <row r="613" ht="49" customHeight="1">
      <c r="A613" s="15" t="inlineStr">
        <is>
          <t>CAST-605</t>
        </is>
      </c>
      <c r="B613" s="18" t="inlineStr">
        <is>
          <t>FILM-089</t>
        </is>
      </c>
      <c r="C613" s="5" t="inlineStr">
        <is>
          <t>Bol Radha Bol</t>
        </is>
      </c>
      <c r="D613" s="17" t="n">
        <v>1992</v>
      </c>
      <c r="E613" s="5" t="inlineStr">
        <is>
          <t>Alok Nath</t>
        </is>
      </c>
      <c r="F613" s="5" t="inlineStr">
        <is>
          <t>Shanti Prasad</t>
        </is>
      </c>
      <c r="G613" s="5" t="inlineStr">
        <is>
          <t>Family</t>
        </is>
      </c>
      <c r="H613" s="5" t="inlineStr">
        <is>
          <t>Major</t>
        </is>
      </c>
      <c r="I613" s="5" t="inlineStr">
        <is>
          <t>His uncle, one of the relatives who accept the double as the real Kishan.</t>
        </is>
      </c>
      <c r="J613" s="5" t="inlineStr">
        <is>
          <t>Part of the household that locks him out of his own life.</t>
        </is>
      </c>
      <c r="K613" s="19" t="inlineStr">
        <is>
          <t>Kishan's uncle, among the three relatives in the Malhotra house when the industrialist returns to find his own funeral and his own double.</t>
        </is>
      </c>
      <c r="L613" s="5" t="n"/>
      <c r="M613" s="5" t="inlineStr">
        <is>
          <t>SOURCE-082</t>
        </is>
      </c>
    </row>
    <row r="614" ht="49" customHeight="1">
      <c r="A614" s="15" t="inlineStr">
        <is>
          <t>CAST-606</t>
        </is>
      </c>
      <c r="B614" s="18" t="inlineStr">
        <is>
          <t>FILM-089</t>
        </is>
      </c>
      <c r="C614" s="5" t="inlineStr">
        <is>
          <t>Bol Radha Bol</t>
        </is>
      </c>
      <c r="D614" s="17" t="n">
        <v>1992</v>
      </c>
      <c r="E614" s="5" t="inlineStr">
        <is>
          <t>Sushma Seth</t>
        </is>
      </c>
      <c r="F614" s="5" t="inlineStr">
        <is>
          <t>Sumitra Malhotra</t>
        </is>
      </c>
      <c r="G614" s="5" t="inlineStr">
        <is>
          <t>Family</t>
        </is>
      </c>
      <c r="H614" s="5" t="inlineStr">
        <is>
          <t>Major</t>
        </is>
      </c>
      <c r="I614" s="5" t="inlineStr">
        <is>
          <t>His mother, dead by the time he gets home.</t>
        </is>
      </c>
      <c r="J614" s="5" t="inlineStr">
        <is>
          <t>Her death is the shock the substitution is staged under.</t>
        </is>
      </c>
      <c r="K614" s="19" t="inlineStr">
        <is>
          <t>Kishan's mother, whose mourning and portrait greet him when he comes back from the village, and whose death leaves nobody to identify her son.</t>
        </is>
      </c>
      <c r="L614" s="5" t="n"/>
      <c r="M614" s="5" t="inlineStr">
        <is>
          <t>SOURCE-082</t>
        </is>
      </c>
    </row>
    <row r="615" ht="49" customHeight="1">
      <c r="A615" s="15" t="inlineStr">
        <is>
          <t>CAST-607</t>
        </is>
      </c>
      <c r="B615" s="18" t="inlineStr">
        <is>
          <t>FILM-089</t>
        </is>
      </c>
      <c r="C615" s="5" t="inlineStr">
        <is>
          <t>Bol Radha Bol</t>
        </is>
      </c>
      <c r="D615" s="17" t="n">
        <v>1992</v>
      </c>
      <c r="E615" s="5" t="inlineStr">
        <is>
          <t>Shakti Kapoor</t>
        </is>
      </c>
      <c r="F615" s="5" t="inlineStr">
        <is>
          <t>Inspector Bhende / Goonga</t>
        </is>
      </c>
      <c r="G615" s="5" t="inlineStr">
        <is>
          <t>Comic support</t>
        </is>
      </c>
      <c r="H615" s="5" t="inlineStr">
        <is>
          <t>Medium</t>
        </is>
      </c>
      <c r="I615" s="5" t="inlineStr">
        <is>
          <t>Credited in a double identity, and the escaped convict who goes with him to Goa.</t>
        </is>
      </c>
      <c r="J615" s="5" t="inlineStr">
        <is>
          <t>An ally in the recovery of the identity the romance depends on.</t>
        </is>
      </c>
      <c r="K615" s="19" t="inlineStr">
        <is>
          <t>Credited as both an inspector and the convict Goonga, who joins Kishan and Radha in going to Goa to expose the double.</t>
        </is>
      </c>
      <c r="L615" s="5" t="n"/>
      <c r="M615" s="5" t="inlineStr">
        <is>
          <t>SOURCE-082</t>
        </is>
      </c>
    </row>
    <row r="616" ht="49" customHeight="1">
      <c r="A616" s="15" t="inlineStr">
        <is>
          <t>CAST-608</t>
        </is>
      </c>
      <c r="B616" s="18" t="inlineStr">
        <is>
          <t>FILM-089</t>
        </is>
      </c>
      <c r="C616" s="5" t="inlineStr">
        <is>
          <t>Bol Radha Bol</t>
        </is>
      </c>
      <c r="D616" s="17" t="n">
        <v>1992</v>
      </c>
      <c r="E616" s="5" t="inlineStr">
        <is>
          <t>Kader Khan</t>
        </is>
      </c>
      <c r="F616" s="5" t="inlineStr">
        <is>
          <t>Jugnu</t>
        </is>
      </c>
      <c r="G616" s="5" t="inlineStr">
        <is>
          <t>Comic support</t>
        </is>
      </c>
      <c r="H616" s="5" t="inlineStr">
        <is>
          <t>Medium</t>
        </is>
      </c>
      <c r="I616" s="5" t="inlineStr">
        <is>
          <t>A comic ally in the village half of the film.</t>
        </is>
      </c>
      <c r="J616" s="5" t="inlineStr">
        <is>
          <t>Comic attendance on the village courtship.</t>
        </is>
      </c>
      <c r="K616" s="19" t="inlineStr">
        <is>
          <t>Credited as Jugnu, with a man credited only as the one who writes his letters, in the village world where the romance begins.</t>
        </is>
      </c>
      <c r="L616" s="5" t="n"/>
      <c r="M616" s="5" t="inlineStr">
        <is>
          <t>SOURCE-082</t>
        </is>
      </c>
    </row>
    <row r="617" ht="34" customHeight="1">
      <c r="A617" s="15" t="inlineStr">
        <is>
          <t>CAST-609</t>
        </is>
      </c>
      <c r="B617" s="18" t="inlineStr">
        <is>
          <t>FILM-089</t>
        </is>
      </c>
      <c r="C617" s="5" t="inlineStr">
        <is>
          <t>Bol Radha Bol</t>
        </is>
      </c>
      <c r="D617" s="17" t="n">
        <v>1992</v>
      </c>
      <c r="E617" s="5" t="inlineStr">
        <is>
          <t>Kiran Kumar</t>
        </is>
      </c>
      <c r="F617" s="5" t="inlineStr">
        <is>
          <t>Inspector T. T. Dholak</t>
        </is>
      </c>
      <c r="G617" s="5" t="inlineStr">
        <is>
          <t>Authority figure</t>
        </is>
      </c>
      <c r="H617" s="5" t="inlineStr">
        <is>
          <t>Medium</t>
        </is>
      </c>
      <c r="I617" s="5" t="inlineStr">
        <is>
          <t>The policeman who arrests him at his own office.</t>
        </is>
      </c>
      <c r="J617" s="5" t="inlineStr">
        <is>
          <t>Part of the apparatus that makes him a stranger to his own life.</t>
        </is>
      </c>
      <c r="K617" s="19" t="inlineStr">
        <is>
          <t>Credited as Inspector T. T. Dholak, the law that sides with the impostor against the man whose name he has taken.</t>
        </is>
      </c>
      <c r="L617" s="5" t="n"/>
      <c r="M617" s="5" t="inlineStr">
        <is>
          <t>SOURCE-082</t>
        </is>
      </c>
    </row>
    <row r="618" ht="49" customHeight="1">
      <c r="A618" s="15" t="inlineStr">
        <is>
          <t>CAST-610</t>
        </is>
      </c>
      <c r="B618" s="18" t="inlineStr">
        <is>
          <t>FILM-090</t>
        </is>
      </c>
      <c r="C618" s="5" t="inlineStr">
        <is>
          <t>Dhartiputra</t>
        </is>
      </c>
      <c r="D618" s="17" t="n">
        <v>1993</v>
      </c>
      <c r="E618" s="5" t="inlineStr">
        <is>
          <t>Mammootty</t>
        </is>
      </c>
      <c r="F618" s="5" t="inlineStr">
        <is>
          <t>Kapil Dev Singh</t>
        </is>
      </c>
      <c r="G618" s="5" t="inlineStr">
        <is>
          <t>Co-lead</t>
        </is>
      </c>
      <c r="H618" s="5" t="inlineStr">
        <is>
          <t>Major</t>
        </is>
      </c>
      <c r="I618" s="5" t="inlineStr">
        <is>
          <t>The film's protagonist; Kapoor's Shiva is a cameo whose part the article does not describe.</t>
        </is>
      </c>
      <c r="J618" s="5" t="inlineStr">
        <is>
          <t>Undocumented; the article's whole plot is one sentence.</t>
        </is>
      </c>
      <c r="K618" s="19" t="inlineStr">
        <is>
          <t>Credited as a jailor and police officer whose fight with corrupt bureaucrats and politicians is the single sentence of plot the article gives.</t>
        </is>
      </c>
      <c r="L618" s="5" t="n"/>
      <c r="M618" s="5" t="inlineStr">
        <is>
          <t>SOURCE-088</t>
        </is>
      </c>
    </row>
    <row r="619" ht="49" customHeight="1">
      <c r="A619" s="15" t="inlineStr">
        <is>
          <t>CAST-611</t>
        </is>
      </c>
      <c r="B619" s="18" t="inlineStr">
        <is>
          <t>FILM-090</t>
        </is>
      </c>
      <c r="C619" s="5" t="inlineStr">
        <is>
          <t>Dhartiputra</t>
        </is>
      </c>
      <c r="D619" s="17" t="n">
        <v>1993</v>
      </c>
      <c r="E619" s="5" t="inlineStr">
        <is>
          <t>Jaya Prada</t>
        </is>
      </c>
      <c r="F619" s="5" t="inlineStr">
        <is>
          <t>Jeeva</t>
        </is>
      </c>
      <c r="G619" s="5" t="inlineStr">
        <is>
          <t>Co-lead</t>
        </is>
      </c>
      <c r="H619" s="5" t="inlineStr">
        <is>
          <t>Major</t>
        </is>
      </c>
      <c r="I619" s="5" t="inlineStr">
        <is>
          <t>Credited as the film's senior heroine, above Kapoor's cameo in narrative weight.</t>
        </is>
      </c>
      <c r="J619" s="5" t="inlineStr">
        <is>
          <t>Undocumented.</t>
        </is>
      </c>
      <c r="K619" s="19" t="inlineStr">
        <is>
          <t>Credited as Jeeva, the first of the film's four credited women, in the last of her six films with Kapoor.</t>
        </is>
      </c>
      <c r="L619" s="5" t="n"/>
      <c r="M619" s="5" t="inlineStr">
        <is>
          <t>SOURCE-088</t>
        </is>
      </c>
    </row>
    <row r="620" ht="34" customHeight="1">
      <c r="A620" s="15" t="inlineStr">
        <is>
          <t>CAST-612</t>
        </is>
      </c>
      <c r="B620" s="18" t="inlineStr">
        <is>
          <t>FILM-090</t>
        </is>
      </c>
      <c r="C620" s="5" t="inlineStr">
        <is>
          <t>Dhartiputra</t>
        </is>
      </c>
      <c r="D620" s="17" t="n">
        <v>1993</v>
      </c>
      <c r="E620" s="5" t="inlineStr">
        <is>
          <t>Danny Denzongpa</t>
        </is>
      </c>
      <c r="F620" s="5" t="inlineStr">
        <is>
          <t>Kripal Singh</t>
        </is>
      </c>
      <c r="G620" s="5" t="inlineStr">
        <is>
          <t>Antagonist</t>
        </is>
      </c>
      <c r="H620" s="5" t="inlineStr">
        <is>
          <t>Major</t>
        </is>
      </c>
      <c r="I620" s="5" t="inlineStr">
        <is>
          <t>Credited as the film's principal antagonist, with a henchman of his own.</t>
        </is>
      </c>
      <c r="J620" s="5" t="inlineStr">
        <is>
          <t>Undocumented.</t>
        </is>
      </c>
      <c r="K620" s="19" t="inlineStr">
        <is>
          <t>Credited as Kripal Singh, with Mac Mohan's Rafiq as his henchman, in the corruption plot the police officer fights.</t>
        </is>
      </c>
      <c r="L620" s="5" t="n"/>
      <c r="M620" s="5" t="inlineStr">
        <is>
          <t>SOURCE-088</t>
        </is>
      </c>
    </row>
    <row r="621" ht="34" customHeight="1">
      <c r="A621" s="15" t="inlineStr">
        <is>
          <t>CAST-613</t>
        </is>
      </c>
      <c r="B621" s="18" t="inlineStr">
        <is>
          <t>FILM-090</t>
        </is>
      </c>
      <c r="C621" s="5" t="inlineStr">
        <is>
          <t>Dhartiputra</t>
        </is>
      </c>
      <c r="D621" s="17" t="n">
        <v>1993</v>
      </c>
      <c r="E621" s="5" t="inlineStr">
        <is>
          <t>Sujata Mehta</t>
        </is>
      </c>
      <c r="F621" s="5" t="inlineStr">
        <is>
          <t>Gulab bai</t>
        </is>
      </c>
      <c r="G621" s="5" t="inlineStr">
        <is>
          <t>Supporting</t>
        </is>
      </c>
      <c r="H621" s="5" t="inlineStr">
        <is>
          <t>Medium</t>
        </is>
      </c>
      <c r="I621" s="5" t="inlineStr">
        <is>
          <t>Credited in support; the one-sentence plot does not place her.</t>
        </is>
      </c>
      <c r="J621" s="5" t="inlineStr">
        <is>
          <t>Undocumented.</t>
        </is>
      </c>
      <c r="K621" s="19" t="inlineStr">
        <is>
          <t>Credited as Gulab bai, among the film's several women, in an article with almost no narrative text.</t>
        </is>
      </c>
      <c r="L621" s="5" t="n"/>
      <c r="M621" s="5" t="inlineStr">
        <is>
          <t>SOURCE-088</t>
        </is>
      </c>
    </row>
    <row r="622" ht="34" customHeight="1">
      <c r="A622" s="15" t="inlineStr">
        <is>
          <t>CAST-614</t>
        </is>
      </c>
      <c r="B622" s="18" t="inlineStr">
        <is>
          <t>FILM-090</t>
        </is>
      </c>
      <c r="C622" s="5" t="inlineStr">
        <is>
          <t>Dhartiputra</t>
        </is>
      </c>
      <c r="D622" s="17" t="n">
        <v>1993</v>
      </c>
      <c r="E622" s="5" t="inlineStr">
        <is>
          <t>Nagma</t>
        </is>
      </c>
      <c r="F622" s="5" t="inlineStr">
        <is>
          <t>Lisa</t>
        </is>
      </c>
      <c r="G622" s="5" t="inlineStr">
        <is>
          <t>Supporting</t>
        </is>
      </c>
      <c r="H622" s="5" t="inlineStr">
        <is>
          <t>Medium</t>
        </is>
      </c>
      <c r="I622" s="5" t="inlineStr">
        <is>
          <t>Credited in support; undocumented.</t>
        </is>
      </c>
      <c r="J622" s="5" t="inlineStr">
        <is>
          <t>Undocumented.</t>
        </is>
      </c>
      <c r="K622" s="19" t="inlineStr">
        <is>
          <t>Credited as Lisa, an early Hindi credit for the actress, in an undocumented plot.</t>
        </is>
      </c>
      <c r="L622" s="5" t="n"/>
      <c r="M622" s="5" t="inlineStr">
        <is>
          <t>SOURCE-088</t>
        </is>
      </c>
    </row>
    <row r="623" ht="49" customHeight="1">
      <c r="A623" s="15" t="inlineStr">
        <is>
          <t>CAST-615</t>
        </is>
      </c>
      <c r="B623" s="18" t="inlineStr">
        <is>
          <t>FILM-090</t>
        </is>
      </c>
      <c r="C623" s="5" t="inlineStr">
        <is>
          <t>Dhartiputra</t>
        </is>
      </c>
      <c r="D623" s="17" t="n">
        <v>1993</v>
      </c>
      <c r="E623" s="5" t="inlineStr">
        <is>
          <t>Farah</t>
        </is>
      </c>
      <c r="F623" s="5" t="inlineStr">
        <is>
          <t>Karma</t>
        </is>
      </c>
      <c r="G623" s="5" t="inlineStr">
        <is>
          <t>Supporting</t>
        </is>
      </c>
      <c r="H623" s="5" t="inlineStr">
        <is>
          <t>Medium</t>
        </is>
      </c>
      <c r="I623" s="5" t="inlineStr">
        <is>
          <t>Credited in support, and by billing a possible partner for Kapoor's cameo.</t>
        </is>
      </c>
      <c r="J623" s="5" t="inlineStr">
        <is>
          <t>Undocumented; Kapoor's role is recorded as having no romance.</t>
        </is>
      </c>
      <c r="K623" s="19" t="inlineStr">
        <is>
          <t>Credited as Karma, in her third film with Kapoor, in a cast list the article gives without a synopsis.</t>
        </is>
      </c>
      <c r="L623" s="5" t="n"/>
      <c r="M623" s="5" t="inlineStr">
        <is>
          <t>SOURCE-088</t>
        </is>
      </c>
    </row>
    <row r="624" ht="34" customHeight="1">
      <c r="A624" s="15" t="inlineStr">
        <is>
          <t>CAST-616</t>
        </is>
      </c>
      <c r="B624" s="18" t="inlineStr">
        <is>
          <t>FILM-090</t>
        </is>
      </c>
      <c r="C624" s="5" t="inlineStr">
        <is>
          <t>Dhartiputra</t>
        </is>
      </c>
      <c r="D624" s="17" t="n">
        <v>1993</v>
      </c>
      <c r="E624" s="5" t="inlineStr">
        <is>
          <t>Suresh Oberoi</t>
        </is>
      </c>
      <c r="F624" s="5" t="inlineStr">
        <is>
          <t>Governor Pratap</t>
        </is>
      </c>
      <c r="G624" s="5" t="inlineStr">
        <is>
          <t>Cameo</t>
        </is>
      </c>
      <c r="H624" s="5" t="inlineStr">
        <is>
          <t>Minor</t>
        </is>
      </c>
      <c r="I624" s="5" t="inlineStr">
        <is>
          <t>A guest appearance in the same register as Kapoor's credit.</t>
        </is>
      </c>
      <c r="J624" s="5" t="inlineStr">
        <is>
          <t>Undocumented.</t>
        </is>
      </c>
      <c r="K624" s="19" t="inlineStr">
        <is>
          <t>Credited as a guest appearance playing a governor, with Raza Murad's Yashpal Singh in the same register.</t>
        </is>
      </c>
      <c r="L624" s="5" t="n"/>
      <c r="M624" s="5" t="inlineStr">
        <is>
          <t>SOURCE-088</t>
        </is>
      </c>
    </row>
    <row r="625" ht="64" customHeight="1">
      <c r="A625" s="15" t="inlineStr">
        <is>
          <t>CAST-617</t>
        </is>
      </c>
      <c r="B625" s="18" t="inlineStr">
        <is>
          <t>FILM-092</t>
        </is>
      </c>
      <c r="C625" s="5" t="inlineStr">
        <is>
          <t>Shreemaan Aashique</t>
        </is>
      </c>
      <c r="D625" s="17" t="n">
        <v>1993</v>
      </c>
      <c r="E625" s="5" t="inlineStr">
        <is>
          <t>Urmila Matondkar</t>
        </is>
      </c>
      <c r="F625" s="5" t="inlineStr">
        <is>
          <t>Shakuntala, called Shaku</t>
        </is>
      </c>
      <c r="G625" s="5" t="inlineStr">
        <is>
          <t>Co-lead</t>
        </is>
      </c>
      <c r="H625" s="5" t="inlineStr">
        <is>
          <t>Major</t>
        </is>
      </c>
      <c r="I625" s="5" t="inlineStr">
        <is>
          <t>The woman who falls in love with him on holiday, is rebuffed, persists until he returns it, and is then loved by his uncle too.</t>
        </is>
      </c>
      <c r="J625" s="5" t="inlineStr">
        <is>
          <t>The whole of the pairing in Romances, and the apex of the film's triangle.</t>
        </is>
      </c>
      <c r="K625" s="19" t="inlineStr">
        <is>
          <t>A young woman who falls in love with a sworn bachelor at a hill station, refuses to be rebuffed, wins him, and becomes the object of his uncle's affection as well; the article records that the two end up together.</t>
        </is>
      </c>
      <c r="L625" s="5" t="n"/>
      <c r="M625" s="5" t="inlineStr">
        <is>
          <t>SOURCE-085</t>
        </is>
      </c>
    </row>
    <row r="626" ht="64" customHeight="1">
      <c r="A626" s="15" t="inlineStr">
        <is>
          <t>CAST-618</t>
        </is>
      </c>
      <c r="B626" s="18" t="inlineStr">
        <is>
          <t>FILM-092</t>
        </is>
      </c>
      <c r="C626" s="5" t="inlineStr">
        <is>
          <t>Shreemaan Aashique</t>
        </is>
      </c>
      <c r="D626" s="17" t="n">
        <v>1993</v>
      </c>
      <c r="E626" s="5" t="inlineStr">
        <is>
          <t>Anupam Kher</t>
        </is>
      </c>
      <c r="F626" s="5" t="inlineStr">
        <is>
          <t>Professor Vishwamitra</t>
        </is>
      </c>
      <c r="G626" s="5" t="inlineStr">
        <is>
          <t>Antagonist</t>
        </is>
      </c>
      <c r="H626" s="5" t="inlineStr">
        <is>
          <t>Major</t>
        </is>
      </c>
      <c r="I626" s="5" t="inlineStr">
        <is>
          <t>The uncle who extracts his vow of lifelong bachelorhood, and then becomes his rival for the same woman.</t>
        </is>
      </c>
      <c r="J626" s="5" t="inlineStr">
        <is>
          <t>Both the external opposition and the second claim in the triangle.</t>
        </is>
      </c>
      <c r="K626" s="19" t="inlineStr">
        <is>
          <t>The uncle who runs an association of confirmed single men and holds his nephew to a promise never to marry, upset when the promise breaks and then in love with the woman who broke it.</t>
        </is>
      </c>
      <c r="L626" s="5" t="n"/>
      <c r="M626" s="5" t="inlineStr">
        <is>
          <t>SOURCE-085</t>
        </is>
      </c>
    </row>
    <row r="627" ht="49" customHeight="1">
      <c r="A627" s="15" t="inlineStr">
        <is>
          <t>CAST-619</t>
        </is>
      </c>
      <c r="B627" s="18" t="inlineStr">
        <is>
          <t>FILM-092</t>
        </is>
      </c>
      <c r="C627" s="5" t="inlineStr">
        <is>
          <t>Shreemaan Aashique</t>
        </is>
      </c>
      <c r="D627" s="17" t="n">
        <v>1993</v>
      </c>
      <c r="E627" s="5" t="inlineStr">
        <is>
          <t>Bindu</t>
        </is>
      </c>
      <c r="F627" s="5" t="inlineStr">
        <is>
          <t>Menka</t>
        </is>
      </c>
      <c r="G627" s="5" t="inlineStr">
        <is>
          <t>Supporting</t>
        </is>
      </c>
      <c r="H627" s="5" t="inlineStr">
        <is>
          <t>Medium</t>
        </is>
      </c>
      <c r="I627" s="5" t="inlineStr">
        <is>
          <t>A credited supporting presence, named for the apsara who broke the mythological Vishwamitra's austerities.</t>
        </is>
      </c>
      <c r="J627" s="5" t="inlineStr">
        <is>
          <t>Part of the film's mythological naming scheme rather than the triangle proper.</t>
        </is>
      </c>
      <c r="K627" s="19" t="inlineStr">
        <is>
          <t>Credited as Menka, completing a cast whose names, with Vishwamitra, Shakuntala and Kalidas, are drawn from the Shakuntala legend and the poet who wrote it.</t>
        </is>
      </c>
      <c r="L627" s="5" t="n"/>
      <c r="M627" s="5" t="inlineStr">
        <is>
          <t>SOURCE-085</t>
        </is>
      </c>
    </row>
    <row r="628" ht="49" customHeight="1">
      <c r="A628" s="15" t="inlineStr">
        <is>
          <t>CAST-620</t>
        </is>
      </c>
      <c r="B628" s="18" t="inlineStr">
        <is>
          <t>FILM-092</t>
        </is>
      </c>
      <c r="C628" s="5" t="inlineStr">
        <is>
          <t>Shreemaan Aashique</t>
        </is>
      </c>
      <c r="D628" s="17" t="n">
        <v>1993</v>
      </c>
      <c r="E628" s="5" t="inlineStr">
        <is>
          <t>Tiku Talsania</t>
        </is>
      </c>
      <c r="F628" s="5" t="inlineStr">
        <is>
          <t>Kalidas Mehra</t>
        </is>
      </c>
      <c r="G628" s="5" t="inlineStr">
        <is>
          <t>Family</t>
        </is>
      </c>
      <c r="H628" s="5" t="inlineStr">
        <is>
          <t>Medium</t>
        </is>
      </c>
      <c r="I628" s="5" t="inlineStr">
        <is>
          <t>His father, concerned by the vow of bachelorhood.</t>
        </is>
      </c>
      <c r="J628" s="5" t="inlineStr">
        <is>
          <t>On the side of the romance, against the uncle's creed.</t>
        </is>
      </c>
      <c r="K628" s="19" t="inlineStr">
        <is>
          <t>Credited as Kalidas Mehra, named for the poet of Shakuntala, one of the two parents worried by their son's promise never to marry.</t>
        </is>
      </c>
      <c r="L628" s="5" t="n"/>
      <c r="M628" s="5" t="inlineStr">
        <is>
          <t>SOURCE-085</t>
        </is>
      </c>
    </row>
    <row r="629" ht="34" customHeight="1">
      <c r="A629" s="15" t="inlineStr">
        <is>
          <t>CAST-621</t>
        </is>
      </c>
      <c r="B629" s="18" t="inlineStr">
        <is>
          <t>FILM-092</t>
        </is>
      </c>
      <c r="C629" s="5" t="inlineStr">
        <is>
          <t>Shreemaan Aashique</t>
        </is>
      </c>
      <c r="D629" s="17" t="n">
        <v>1993</v>
      </c>
      <c r="E629" s="5" t="inlineStr">
        <is>
          <t>Reema Lagoo</t>
        </is>
      </c>
      <c r="F629" s="5" t="inlineStr">
        <is>
          <t>Suman Mehra</t>
        </is>
      </c>
      <c r="G629" s="5" t="inlineStr">
        <is>
          <t>Family</t>
        </is>
      </c>
      <c r="H629" s="5" t="inlineStr">
        <is>
          <t>Medium</t>
        </is>
      </c>
      <c r="I629" s="5" t="inlineStr">
        <is>
          <t>His mother, equally concerned by the vow.</t>
        </is>
      </c>
      <c r="J629" s="5" t="inlineStr">
        <is>
          <t>Family pressure in favour of the marriage.</t>
        </is>
      </c>
      <c r="K629" s="19" t="inlineStr">
        <is>
          <t>Credited as Suman Mehra, Dushyant's mother, for whom her son's bachelorhood is a cause for concern.</t>
        </is>
      </c>
      <c r="L629" s="5" t="n"/>
      <c r="M629" s="5" t="inlineStr">
        <is>
          <t>SOURCE-085</t>
        </is>
      </c>
    </row>
    <row r="630" ht="49" customHeight="1">
      <c r="A630" s="15" t="inlineStr">
        <is>
          <t>CAST-622</t>
        </is>
      </c>
      <c r="B630" s="18" t="inlineStr">
        <is>
          <t>FILM-092</t>
        </is>
      </c>
      <c r="C630" s="5" t="inlineStr">
        <is>
          <t>Shreemaan Aashique</t>
        </is>
      </c>
      <c r="D630" s="17" t="n">
        <v>1993</v>
      </c>
      <c r="E630" s="5" t="inlineStr">
        <is>
          <t>Mehmood</t>
        </is>
      </c>
      <c r="F630" s="5" t="inlineStr">
        <is>
          <t>Mahesh</t>
        </is>
      </c>
      <c r="G630" s="5" t="inlineStr">
        <is>
          <t>Comic support</t>
        </is>
      </c>
      <c r="H630" s="5" t="inlineStr">
        <is>
          <t>Medium</t>
        </is>
      </c>
      <c r="I630" s="5" t="inlineStr">
        <is>
          <t>A credited comic presence, by the veteran comedian in one of his last appearances.</t>
        </is>
      </c>
      <c r="J630" s="5" t="inlineStr">
        <is>
          <t>Comic attendance on the courtship.</t>
        </is>
      </c>
      <c r="K630" s="19" t="inlineStr">
        <is>
          <t>Credited as Mahesh, a late screen appearance by the comedian in whose own 1976 film Kapoor had made a guest appearance.</t>
        </is>
      </c>
      <c r="L630" s="5" t="n"/>
      <c r="M630" s="5" t="inlineStr">
        <is>
          <t>SOURCE-085</t>
        </is>
      </c>
    </row>
    <row r="631" ht="34" customHeight="1">
      <c r="A631" s="15" t="inlineStr">
        <is>
          <t>CAST-623</t>
        </is>
      </c>
      <c r="B631" s="18" t="inlineStr">
        <is>
          <t>FILM-092</t>
        </is>
      </c>
      <c r="C631" s="5" t="inlineStr">
        <is>
          <t>Shreemaan Aashique</t>
        </is>
      </c>
      <c r="D631" s="17" t="n">
        <v>1993</v>
      </c>
      <c r="E631" s="5" t="inlineStr">
        <is>
          <t>Annu Kapoor</t>
        </is>
      </c>
      <c r="F631" s="5" t="inlineStr">
        <is>
          <t>Masterji</t>
        </is>
      </c>
      <c r="G631" s="5" t="inlineStr">
        <is>
          <t>Comic support</t>
        </is>
      </c>
      <c r="H631" s="5" t="inlineStr">
        <is>
          <t>Minor</t>
        </is>
      </c>
      <c r="I631" s="5" t="inlineStr">
        <is>
          <t>A comic functionary in the film's world.</t>
        </is>
      </c>
      <c r="J631" s="5" t="inlineStr">
        <is>
          <t>Comic attendance on the courtship.</t>
        </is>
      </c>
      <c r="K631" s="19" t="inlineStr">
        <is>
          <t>Credited as Masterji, with Dinesh Hingoo's Anand, in the comic ranks of a romantic comedy.</t>
        </is>
      </c>
      <c r="L631" s="5" t="n"/>
      <c r="M631" s="5" t="inlineStr">
        <is>
          <t>SOURCE-085</t>
        </is>
      </c>
    </row>
    <row r="632" ht="64" customHeight="1">
      <c r="A632" s="15" t="inlineStr">
        <is>
          <t>CAST-624</t>
        </is>
      </c>
      <c r="B632" s="18" t="inlineStr">
        <is>
          <t>FILM-093</t>
        </is>
      </c>
      <c r="C632" s="5" t="inlineStr">
        <is>
          <t>Damini</t>
        </is>
      </c>
      <c r="D632" s="17" t="n">
        <v>1993</v>
      </c>
      <c r="E632" s="5" t="inlineStr">
        <is>
          <t>Meenakshi Seshadri</t>
        </is>
      </c>
      <c r="F632" s="5" t="inlineStr">
        <is>
          <t>Damini</t>
        </is>
      </c>
      <c r="G632" s="5" t="inlineStr">
        <is>
          <t>Co-lead</t>
        </is>
      </c>
      <c r="H632" s="5" t="inlineStr">
        <is>
          <t>Major</t>
        </is>
      </c>
      <c r="I632" s="5" t="inlineStr">
        <is>
          <t>His wife, the witness whose testimony his family sets itself to destroying.</t>
        </is>
      </c>
      <c r="J632" s="5" t="inlineStr">
        <is>
          <t>The whole of the pairing in Romances, a marriage that holds while the husband fails to act.</t>
        </is>
      </c>
      <c r="K632" s="19" t="inlineStr">
        <is>
          <t>A lower-middle-class woman who raises her voice against injustice, married into the Gupta house, who witnesses her brother-in-law and his friends gang-raping the maid, refuses to be silenced, and is worked against by the whole family.</t>
        </is>
      </c>
      <c r="L632" s="5" t="inlineStr">
        <is>
          <t>The title role and the most celebrated performance of her career.</t>
        </is>
      </c>
      <c r="M632" s="5" t="inlineStr">
        <is>
          <t>SOURCE-086</t>
        </is>
      </c>
    </row>
    <row r="633" ht="64" customHeight="1">
      <c r="A633" s="15" t="inlineStr">
        <is>
          <t>CAST-625</t>
        </is>
      </c>
      <c r="B633" s="18" t="inlineStr">
        <is>
          <t>FILM-093</t>
        </is>
      </c>
      <c r="C633" s="5" t="inlineStr">
        <is>
          <t>Damini</t>
        </is>
      </c>
      <c r="D633" s="17" t="n">
        <v>1993</v>
      </c>
      <c r="E633" s="5" t="inlineStr">
        <is>
          <t>Sunny Deol</t>
        </is>
      </c>
      <c r="F633" s="5" t="inlineStr">
        <is>
          <t>Govind Srivastav</t>
        </is>
      </c>
      <c r="G633" s="5" t="inlineStr">
        <is>
          <t>Supporting</t>
        </is>
      </c>
      <c r="H633" s="5" t="inlineStr">
        <is>
          <t>Major</t>
        </is>
      </c>
      <c r="I633" s="5" t="inlineStr">
        <is>
          <t>The lawyer who takes up his wife's case when the family's own lawyer is against her.</t>
        </is>
      </c>
      <c r="J633" s="5" t="inlineStr">
        <is>
          <t>The ally the wife finds outside the marriage that fails to protect her.</t>
        </is>
      </c>
      <c r="K633" s="19" t="inlineStr">
        <is>
          <t>A dishevelled, discredited lawyer who becomes Damini's advocate against the Guptas' counsel, and whose courtroom tirades became the film's most quoted lines.</t>
        </is>
      </c>
      <c r="L633" s="5" t="inlineStr">
        <is>
          <t>Won Sunny Deol the Filmfare Award for Best Supporting Actor and the National Film Award for Best Supporting Actor.</t>
        </is>
      </c>
      <c r="M633" s="5" t="inlineStr">
        <is>
          <t>SOURCE-086</t>
        </is>
      </c>
    </row>
    <row r="634" ht="49" customHeight="1">
      <c r="A634" s="15" t="inlineStr">
        <is>
          <t>CAST-626</t>
        </is>
      </c>
      <c r="B634" s="18" t="inlineStr">
        <is>
          <t>FILM-093</t>
        </is>
      </c>
      <c r="C634" s="5" t="inlineStr">
        <is>
          <t>Damini</t>
        </is>
      </c>
      <c r="D634" s="17" t="n">
        <v>1993</v>
      </c>
      <c r="E634" s="5" t="inlineStr">
        <is>
          <t>Amrish Puri</t>
        </is>
      </c>
      <c r="F634" s="5" t="inlineStr">
        <is>
          <t>Inderjit Chaddha</t>
        </is>
      </c>
      <c r="G634" s="5" t="inlineStr">
        <is>
          <t>Antagonist</t>
        </is>
      </c>
      <c r="H634" s="5" t="inlineStr">
        <is>
          <t>Major</t>
        </is>
      </c>
      <c r="I634" s="5" t="inlineStr">
        <is>
          <t>The family's lawyer, retained to discredit his own client's wife.</t>
        </is>
      </c>
      <c r="J634" s="5" t="inlineStr">
        <is>
          <t>The instrument by which the family turns on the marriage.</t>
        </is>
      </c>
      <c r="K634" s="19" t="inlineStr">
        <is>
          <t>The Gupta family's lawyer, who conducts the legal campaign against Damini's testimony, including the attempt to have her declared insane.</t>
        </is>
      </c>
      <c r="L634" s="5" t="n"/>
      <c r="M634" s="5" t="inlineStr">
        <is>
          <t>SOURCE-086</t>
        </is>
      </c>
    </row>
    <row r="635" ht="49" customHeight="1">
      <c r="A635" s="15" t="inlineStr">
        <is>
          <t>CAST-627</t>
        </is>
      </c>
      <c r="B635" s="18" t="inlineStr">
        <is>
          <t>FILM-093</t>
        </is>
      </c>
      <c r="C635" s="5" t="inlineStr">
        <is>
          <t>Damini</t>
        </is>
      </c>
      <c r="D635" s="17" t="n">
        <v>1993</v>
      </c>
      <c r="E635" s="5" t="inlineStr">
        <is>
          <t>Ashwin Kaushal</t>
        </is>
      </c>
      <c r="F635" s="5" t="inlineStr">
        <is>
          <t>Rakesh Gupta</t>
        </is>
      </c>
      <c r="G635" s="5" t="inlineStr">
        <is>
          <t>Antagonist</t>
        </is>
      </c>
      <c r="H635" s="5" t="inlineStr">
        <is>
          <t>Major</t>
        </is>
      </c>
      <c r="I635" s="5" t="inlineStr">
        <is>
          <t>His younger brother, whose crime the family closes ranks to conceal.</t>
        </is>
      </c>
      <c r="J635" s="5" t="inlineStr">
        <is>
          <t>The act that splits the marriage between conscience and family.</t>
        </is>
      </c>
      <c r="K635" s="19" t="inlineStr">
        <is>
          <t>The younger Gupta son, who with his friends gang-rapes the household's maidservant during Holi and is protected by the family's wealth and lawyers.</t>
        </is>
      </c>
      <c r="L635" s="5" t="n"/>
      <c r="M635" s="5" t="inlineStr">
        <is>
          <t>SOURCE-086</t>
        </is>
      </c>
    </row>
    <row r="636" ht="49" customHeight="1">
      <c r="A636" s="15" t="inlineStr">
        <is>
          <t>CAST-628</t>
        </is>
      </c>
      <c r="B636" s="18" t="inlineStr">
        <is>
          <t>FILM-093</t>
        </is>
      </c>
      <c r="C636" s="5" t="inlineStr">
        <is>
          <t>Damini</t>
        </is>
      </c>
      <c r="D636" s="17" t="n">
        <v>1993</v>
      </c>
      <c r="E636" s="5" t="inlineStr">
        <is>
          <t>Prajakta Kulkarni</t>
        </is>
      </c>
      <c r="F636" s="5" t="inlineStr">
        <is>
          <t>Urmi</t>
        </is>
      </c>
      <c r="G636" s="5" t="inlineStr">
        <is>
          <t>Supporting</t>
        </is>
      </c>
      <c r="H636" s="5" t="inlineStr">
        <is>
          <t>Major</t>
        </is>
      </c>
      <c r="I636" s="5" t="inlineStr">
        <is>
          <t>The maidservant raised in his family's house, and his wife's friend.</t>
        </is>
      </c>
      <c r="J636" s="5" t="inlineStr">
        <is>
          <t>The victim whose treatment measures the marriage and the household.</t>
        </is>
      </c>
      <c r="K636" s="19" t="inlineStr">
        <is>
          <t>A young maidservant brought up in the Guptas' house, befriended by Damini, gang-raped on Holi and thrown by the roadside afterwards.</t>
        </is>
      </c>
      <c r="L636" s="5" t="n"/>
      <c r="M636" s="5" t="inlineStr">
        <is>
          <t>SOURCE-086</t>
        </is>
      </c>
    </row>
    <row r="637" ht="49" customHeight="1">
      <c r="A637" s="15" t="inlineStr">
        <is>
          <t>CAST-629</t>
        </is>
      </c>
      <c r="B637" s="18" t="inlineStr">
        <is>
          <t>FILM-093</t>
        </is>
      </c>
      <c r="C637" s="5" t="inlineStr">
        <is>
          <t>Damini</t>
        </is>
      </c>
      <c r="D637" s="17" t="n">
        <v>1993</v>
      </c>
      <c r="E637" s="5" t="inlineStr">
        <is>
          <t>Kulbhushan Kharbanda</t>
        </is>
      </c>
      <c r="F637" s="5" t="inlineStr">
        <is>
          <t>Kedarnath Gupta</t>
        </is>
      </c>
      <c r="G637" s="5" t="inlineStr">
        <is>
          <t>Family</t>
        </is>
      </c>
      <c r="H637" s="5" t="inlineStr">
        <is>
          <t>Major</t>
        </is>
      </c>
      <c r="I637" s="5" t="inlineStr">
        <is>
          <t>His father, the industrialist who directs the family's defence.</t>
        </is>
      </c>
      <c r="J637" s="5" t="inlineStr">
        <is>
          <t>The paternal authority Kapoor's character never defies.</t>
        </is>
      </c>
      <c r="K637" s="19" t="inlineStr">
        <is>
          <t>The wealthy industrialist head of the Gupta family, who conspires with his relatives and lawyers to bury his younger son's crime.</t>
        </is>
      </c>
      <c r="L637" s="5" t="n"/>
      <c r="M637" s="5" t="inlineStr">
        <is>
          <t>SOURCE-086</t>
        </is>
      </c>
    </row>
    <row r="638" ht="34" customHeight="1">
      <c r="A638" s="15" t="inlineStr">
        <is>
          <t>CAST-630</t>
        </is>
      </c>
      <c r="B638" s="18" t="inlineStr">
        <is>
          <t>FILM-093</t>
        </is>
      </c>
      <c r="C638" s="5" t="inlineStr">
        <is>
          <t>Damini</t>
        </is>
      </c>
      <c r="D638" s="17" t="n">
        <v>1993</v>
      </c>
      <c r="E638" s="5" t="inlineStr">
        <is>
          <t>Rohini Hattangadi</t>
        </is>
      </c>
      <c r="F638" s="5" t="inlineStr">
        <is>
          <t>Sumitra Gupta</t>
        </is>
      </c>
      <c r="G638" s="5" t="inlineStr">
        <is>
          <t>Family</t>
        </is>
      </c>
      <c r="H638" s="5" t="inlineStr">
        <is>
          <t>Major</t>
        </is>
      </c>
      <c r="I638" s="5" t="inlineStr">
        <is>
          <t>His mother, part of the household front against his wife.</t>
        </is>
      </c>
      <c r="J638" s="5" t="inlineStr">
        <is>
          <t>Family pressure on the marriage from inside.</t>
        </is>
      </c>
      <c r="K638" s="19" t="inlineStr">
        <is>
          <t>Shekhar's mother, among the Guptas who turn on the daughter-in-law for refusing to keep the family's secret.</t>
        </is>
      </c>
      <c r="L638" s="5" t="n"/>
      <c r="M638" s="5" t="inlineStr">
        <is>
          <t>SOURCE-086</t>
        </is>
      </c>
    </row>
    <row r="639" ht="64" customHeight="1">
      <c r="A639" s="15" t="inlineStr">
        <is>
          <t>CAST-631</t>
        </is>
      </c>
      <c r="B639" s="18" t="inlineStr">
        <is>
          <t>FILM-093</t>
        </is>
      </c>
      <c r="C639" s="5" t="inlineStr">
        <is>
          <t>Damini</t>
        </is>
      </c>
      <c r="D639" s="17" t="n">
        <v>1993</v>
      </c>
      <c r="E639" s="5" t="inlineStr">
        <is>
          <t>Paresh Rawal</t>
        </is>
      </c>
      <c r="F639" s="5" t="inlineStr">
        <is>
          <t>Tolu Bajaj</t>
        </is>
      </c>
      <c r="G639" s="5" t="inlineStr">
        <is>
          <t>Antagonist</t>
        </is>
      </c>
      <c r="H639" s="5" t="inlineStr">
        <is>
          <t>Medium</t>
        </is>
      </c>
      <c r="I639" s="5" t="inlineStr">
        <is>
          <t>The business partner who had meant his daughter for Shekhar, and who turns on the family after the marriage.</t>
        </is>
      </c>
      <c r="J639" s="5" t="inlineStr">
        <is>
          <t>The commercial consequence of the marriage, and a conspirator against the household.</t>
        </is>
      </c>
      <c r="K639" s="19" t="inlineStr">
        <is>
          <t>The Guptas' business partner, who had planned to marry his daughter to Shekhar, breaks the partnership when Damini arrives, and conspires against the family before reconciling with them.</t>
        </is>
      </c>
      <c r="L639" s="5" t="n"/>
      <c r="M639" s="5" t="inlineStr">
        <is>
          <t>SOURCE-086</t>
        </is>
      </c>
    </row>
    <row r="640" ht="34" customHeight="1">
      <c r="A640" s="15" t="inlineStr">
        <is>
          <t>CAST-632</t>
        </is>
      </c>
      <c r="B640" s="18" t="inlineStr">
        <is>
          <t>FILM-093</t>
        </is>
      </c>
      <c r="C640" s="5" t="inlineStr">
        <is>
          <t>Damini</t>
        </is>
      </c>
      <c r="D640" s="17" t="n">
        <v>1993</v>
      </c>
      <c r="E640" s="5" t="inlineStr">
        <is>
          <t>Tinnu Anand</t>
        </is>
      </c>
      <c r="F640" s="5" t="inlineStr">
        <is>
          <t>Shekhar's uncle</t>
        </is>
      </c>
      <c r="G640" s="5" t="inlineStr">
        <is>
          <t>Family</t>
        </is>
      </c>
      <c r="H640" s="5" t="inlineStr">
        <is>
          <t>Medium</t>
        </is>
      </c>
      <c r="I640" s="5" t="inlineStr">
        <is>
          <t>His uncle, in the family council that decides to suppress the crime.</t>
        </is>
      </c>
      <c r="J640" s="5" t="inlineStr">
        <is>
          <t>Part of the household pressure on the wife.</t>
        </is>
      </c>
      <c r="K640" s="19" t="inlineStr">
        <is>
          <t>Credited as Shekhar's uncle, with Sulabha Arya as his aunt, in the family that closes around the rape.</t>
        </is>
      </c>
      <c r="L640" s="5" t="n"/>
      <c r="M640" s="5" t="inlineStr">
        <is>
          <t>SOURCE-086</t>
        </is>
      </c>
    </row>
    <row r="641" ht="64" customHeight="1">
      <c r="A641" s="15" t="inlineStr">
        <is>
          <t>CAST-633</t>
        </is>
      </c>
      <c r="B641" s="18" t="inlineStr">
        <is>
          <t>FILM-094</t>
        </is>
      </c>
      <c r="C641" s="5" t="inlineStr">
        <is>
          <t>Sahibaan</t>
        </is>
      </c>
      <c r="D641" s="17" t="n">
        <v>1993</v>
      </c>
      <c r="E641" s="5" t="inlineStr">
        <is>
          <t>Madhuri Dixit</t>
        </is>
      </c>
      <c r="F641" s="5" t="inlineStr">
        <is>
          <t>Sahibaan</t>
        </is>
      </c>
      <c r="G641" s="5" t="inlineStr">
        <is>
          <t>Co-lead</t>
        </is>
      </c>
      <c r="H641" s="5" t="inlineStr">
        <is>
          <t>Major</t>
        </is>
      </c>
      <c r="I641" s="5" t="inlineStr">
        <is>
          <t>Credited in the title role; the article has no plot section at all, so her relationship to Kapoor's Gopi is undocumented.</t>
        </is>
      </c>
      <c r="J641" s="5" t="inlineStr">
        <is>
          <t>The filmography records a secondary romance for Kapoor here, but no synopsis exists to describe it, which is why there is no Romances row.</t>
        </is>
      </c>
      <c r="K641" s="19" t="inlineStr">
        <is>
          <t>Credited in the title role of Sahibaan, in a romantic drama whose article carries an infobox, a cast list and a soundtrack but no narrative text.</t>
        </is>
      </c>
      <c r="L641" s="5" t="n"/>
      <c r="M641" s="5" t="inlineStr">
        <is>
          <t>SOURCE-091</t>
        </is>
      </c>
    </row>
    <row r="642" ht="49" customHeight="1">
      <c r="A642" s="15" t="inlineStr">
        <is>
          <t>CAST-634</t>
        </is>
      </c>
      <c r="B642" s="18" t="inlineStr">
        <is>
          <t>FILM-094</t>
        </is>
      </c>
      <c r="C642" s="5" t="inlineStr">
        <is>
          <t>Sahibaan</t>
        </is>
      </c>
      <c r="D642" s="17" t="n">
        <v>1993</v>
      </c>
      <c r="E642" s="5" t="inlineStr">
        <is>
          <t>Sanjay Dutt</t>
        </is>
      </c>
      <c r="F642" s="5" t="inlineStr">
        <is>
          <t>Kunwar Vijay Pal Singh</t>
        </is>
      </c>
      <c r="G642" s="5" t="inlineStr">
        <is>
          <t>Co-lead</t>
        </is>
      </c>
      <c r="H642" s="5" t="inlineStr">
        <is>
          <t>Major</t>
        </is>
      </c>
      <c r="I642" s="5" t="inlineStr">
        <is>
          <t>Second-billed, immediately above Kapoor; the relationship is undocumented.</t>
        </is>
      </c>
      <c r="J642" s="5" t="inlineStr">
        <is>
          <t>Undocumented.</t>
        </is>
      </c>
      <c r="K642" s="19" t="inlineStr">
        <is>
          <t>Credited as Kunwar Vijay Pal Singh, the titled male lead opposite the title character, in an article with no plot.</t>
        </is>
      </c>
      <c r="L642" s="5" t="n"/>
      <c r="M642" s="5" t="inlineStr">
        <is>
          <t>SOURCE-091</t>
        </is>
      </c>
    </row>
    <row r="643" ht="49" customHeight="1">
      <c r="A643" s="15" t="inlineStr">
        <is>
          <t>CAST-635</t>
        </is>
      </c>
      <c r="B643" s="18" t="inlineStr">
        <is>
          <t>FILM-094</t>
        </is>
      </c>
      <c r="C643" s="5" t="inlineStr">
        <is>
          <t>Sahibaan</t>
        </is>
      </c>
      <c r="D643" s="17" t="n">
        <v>1993</v>
      </c>
      <c r="E643" s="5" t="inlineStr">
        <is>
          <t>Sonu Walia</t>
        </is>
      </c>
      <c r="F643" s="5" t="inlineStr">
        <is>
          <t>Rajkumari Razee</t>
        </is>
      </c>
      <c r="G643" s="5" t="inlineStr">
        <is>
          <t>Supporting</t>
        </is>
      </c>
      <c r="H643" s="5" t="inlineStr">
        <is>
          <t>Major</t>
        </is>
      </c>
      <c r="I643" s="5" t="inlineStr">
        <is>
          <t>Credited as the second woman, a princess; undocumented.</t>
        </is>
      </c>
      <c r="J643" s="5" t="inlineStr">
        <is>
          <t>Undocumented, though a titled second heroine in such a plot usually marks the arranged alternative.</t>
        </is>
      </c>
      <c r="K643" s="19" t="inlineStr">
        <is>
          <t>Credited as the princess Razee, the film's second female part, with no synopsis to place her.</t>
        </is>
      </c>
      <c r="L643" s="5" t="n"/>
      <c r="M643" s="5" t="inlineStr">
        <is>
          <t>SOURCE-091</t>
        </is>
      </c>
    </row>
    <row r="644" ht="34" customHeight="1">
      <c r="A644" s="15" t="inlineStr">
        <is>
          <t>CAST-636</t>
        </is>
      </c>
      <c r="B644" s="18" t="inlineStr">
        <is>
          <t>FILM-094</t>
        </is>
      </c>
      <c r="C644" s="5" t="inlineStr">
        <is>
          <t>Sahibaan</t>
        </is>
      </c>
      <c r="D644" s="17" t="n">
        <v>1993</v>
      </c>
      <c r="E644" s="5" t="inlineStr">
        <is>
          <t>Bharat Kapoor</t>
        </is>
      </c>
      <c r="F644" s="5" t="inlineStr">
        <is>
          <t>Diwan Durga Singh</t>
        </is>
      </c>
      <c r="G644" s="5" t="inlineStr">
        <is>
          <t>Antagonist</t>
        </is>
      </c>
      <c r="H644" s="5" t="inlineStr">
        <is>
          <t>Medium</t>
        </is>
      </c>
      <c r="I644" s="5" t="inlineStr">
        <is>
          <t>Credited in the courtly opposition; undocumented.</t>
        </is>
      </c>
      <c r="J644" s="5" t="inlineStr">
        <is>
          <t>Undocumented.</t>
        </is>
      </c>
      <c r="K644" s="19" t="inlineStr">
        <is>
          <t>Credited as Diwan Durga Singh, in the princely apparatus of an undocumented plot.</t>
        </is>
      </c>
      <c r="L644" s="5" t="n"/>
      <c r="M644" s="5" t="inlineStr">
        <is>
          <t>SOURCE-091</t>
        </is>
      </c>
    </row>
    <row r="645" ht="34" customHeight="1">
      <c r="A645" s="15" t="inlineStr">
        <is>
          <t>CAST-637</t>
        </is>
      </c>
      <c r="B645" s="18" t="inlineStr">
        <is>
          <t>FILM-094</t>
        </is>
      </c>
      <c r="C645" s="5" t="inlineStr">
        <is>
          <t>Sahibaan</t>
        </is>
      </c>
      <c r="D645" s="17" t="n">
        <v>1993</v>
      </c>
      <c r="E645" s="5" t="inlineStr">
        <is>
          <t>Kiran Kumar</t>
        </is>
      </c>
      <c r="F645" s="5" t="inlineStr">
        <is>
          <t>Tikka</t>
        </is>
      </c>
      <c r="G645" s="5" t="inlineStr">
        <is>
          <t>Antagonist</t>
        </is>
      </c>
      <c r="H645" s="5" t="inlineStr">
        <is>
          <t>Medium</t>
        </is>
      </c>
      <c r="I645" s="5" t="inlineStr">
        <is>
          <t>Credited with a wife of his own in the cast list; undocumented.</t>
        </is>
      </c>
      <c r="J645" s="5" t="inlineStr">
        <is>
          <t>Undocumented.</t>
        </is>
      </c>
      <c r="K645" s="19" t="inlineStr">
        <is>
          <t>Credited as Tikka, opposite Beena Banerjee's Mrs. Tikka, in a cast list given without a plot.</t>
        </is>
      </c>
      <c r="L645" s="5" t="n"/>
      <c r="M645" s="5" t="inlineStr">
        <is>
          <t>SOURCE-091</t>
        </is>
      </c>
    </row>
    <row r="646" ht="49" customHeight="1">
      <c r="A646" s="15" t="inlineStr">
        <is>
          <t>CAST-638</t>
        </is>
      </c>
      <c r="B646" s="18" t="inlineStr">
        <is>
          <t>FILM-094</t>
        </is>
      </c>
      <c r="C646" s="5" t="inlineStr">
        <is>
          <t>Sahibaan</t>
        </is>
      </c>
      <c r="D646" s="17" t="n">
        <v>1993</v>
      </c>
      <c r="E646" s="5" t="inlineStr">
        <is>
          <t>Satyendra Kapoor</t>
        </is>
      </c>
      <c r="F646" s="5" t="inlineStr">
        <is>
          <t>Balakram</t>
        </is>
      </c>
      <c r="G646" s="5" t="inlineStr">
        <is>
          <t>Family</t>
        </is>
      </c>
      <c r="H646" s="5" t="inlineStr">
        <is>
          <t>Medium</t>
        </is>
      </c>
      <c r="I646" s="5" t="inlineStr">
        <is>
          <t>Credited with a wife in the cast list, in the film's parental generation.</t>
        </is>
      </c>
      <c r="J646" s="5" t="inlineStr">
        <is>
          <t>Undocumented.</t>
        </is>
      </c>
      <c r="K646" s="19" t="inlineStr">
        <is>
          <t>Credited as Balakram, opposite Anjana Mumtaz's Mrs. Balakram, in an undocumented family plot.</t>
        </is>
      </c>
      <c r="L646" s="5" t="n"/>
      <c r="M646" s="5" t="inlineStr">
        <is>
          <t>SOURCE-091</t>
        </is>
      </c>
    </row>
    <row r="647" ht="49" customHeight="1">
      <c r="A647" s="15" t="inlineStr">
        <is>
          <t>CAST-639</t>
        </is>
      </c>
      <c r="B647" s="18" t="inlineStr">
        <is>
          <t>FILM-094</t>
        </is>
      </c>
      <c r="C647" s="5" t="inlineStr">
        <is>
          <t>Sahibaan</t>
        </is>
      </c>
      <c r="D647" s="17" t="n">
        <v>1993</v>
      </c>
      <c r="E647" s="5" t="inlineStr">
        <is>
          <t>Tinnu Anand</t>
        </is>
      </c>
      <c r="F647" s="5" t="inlineStr">
        <is>
          <t>Inder</t>
        </is>
      </c>
      <c r="G647" s="5" t="inlineStr">
        <is>
          <t>Supporting</t>
        </is>
      </c>
      <c r="H647" s="5" t="inlineStr">
        <is>
          <t>Minor</t>
        </is>
      </c>
      <c r="I647" s="5" t="inlineStr">
        <is>
          <t>Credited as a film director inside the story, with a guide of his own.</t>
        </is>
      </c>
      <c r="J647" s="5" t="inlineStr">
        <is>
          <t>Undocumented.</t>
        </is>
      </c>
      <c r="K647" s="19" t="inlineStr">
        <is>
          <t>Credited as Inder, a film director, with Sudhir Pandey as his guide, the only hint the cast list gives of a story within the story.</t>
        </is>
      </c>
      <c r="L647" s="5" t="n"/>
      <c r="M647" s="5" t="inlineStr">
        <is>
          <t>SOURCE-091</t>
        </is>
      </c>
    </row>
    <row r="648" ht="49" customHeight="1">
      <c r="A648" s="15" t="inlineStr">
        <is>
          <t>CAST-640</t>
        </is>
      </c>
      <c r="B648" s="18" t="inlineStr">
        <is>
          <t>FILM-095</t>
        </is>
      </c>
      <c r="C648" s="5" t="inlineStr">
        <is>
          <t>Izzat Ki Roti</t>
        </is>
      </c>
      <c r="D648" s="17" t="n">
        <v>1993</v>
      </c>
      <c r="E648" s="5" t="inlineStr">
        <is>
          <t>Farah</t>
        </is>
      </c>
      <c r="F648" s="5" t="inlineStr">
        <is>
          <t>Pinky</t>
        </is>
      </c>
      <c r="G648" s="5" t="inlineStr">
        <is>
          <t>Co-lead</t>
        </is>
      </c>
      <c r="H648" s="5" t="inlineStr">
        <is>
          <t>Major</t>
        </is>
      </c>
      <c r="I648" s="5" t="inlineStr">
        <is>
          <t>Krishna's wife, in the established marriage the film opens with.</t>
        </is>
      </c>
      <c r="J648" s="5" t="inlineStr">
        <is>
          <t>The whole of the pairing in Romances, a settled marriage rather than a courtship.</t>
        </is>
      </c>
      <c r="K648" s="19" t="inlineStr">
        <is>
          <t>Krishna's wife, niece of Girdharilal Chakradhari, in a plot whose business is the two brothers' inheritance rather than either marriage.</t>
        </is>
      </c>
      <c r="L648" s="5" t="n"/>
      <c r="M648" s="5" t="inlineStr">
        <is>
          <t>SOURCE-087</t>
        </is>
      </c>
    </row>
    <row r="649" ht="49" customHeight="1">
      <c r="A649" s="15" t="inlineStr">
        <is>
          <t>CAST-641</t>
        </is>
      </c>
      <c r="B649" s="18" t="inlineStr">
        <is>
          <t>FILM-095</t>
        </is>
      </c>
      <c r="C649" s="5" t="inlineStr">
        <is>
          <t>Izzat Ki Roti</t>
        </is>
      </c>
      <c r="D649" s="17" t="n">
        <v>1993</v>
      </c>
      <c r="E649" s="5" t="inlineStr">
        <is>
          <t>Sunny Deol</t>
        </is>
      </c>
      <c r="F649" s="5" t="inlineStr">
        <is>
          <t>Jeet</t>
        </is>
      </c>
      <c r="G649" s="5" t="inlineStr">
        <is>
          <t>Co-lead</t>
        </is>
      </c>
      <c r="H649" s="5" t="inlineStr">
        <is>
          <t>Major</t>
        </is>
      </c>
      <c r="I649" s="5" t="inlineStr">
        <is>
          <t>The biological son of the man who adopted Krishna, raised beside him as a brother.</t>
        </is>
      </c>
      <c r="J649" s="5" t="inlineStr">
        <is>
          <t>Holds the film's other romance, with Jyoti.</t>
        </is>
      </c>
      <c r="K649" s="19" t="inlineStr">
        <is>
          <t>Vijay and Laxmi's son, who runs the trucking business with his adoptive brother, loves Jyoti, and foils the scheme to divide them over the inheritance.</t>
        </is>
      </c>
      <c r="L649" s="5" t="n"/>
      <c r="M649" s="5" t="inlineStr">
        <is>
          <t>SOURCE-087</t>
        </is>
      </c>
    </row>
    <row r="650" ht="34" customHeight="1">
      <c r="A650" s="15" t="inlineStr">
        <is>
          <t>CAST-642</t>
        </is>
      </c>
      <c r="B650" s="18" t="inlineStr">
        <is>
          <t>FILM-095</t>
        </is>
      </c>
      <c r="C650" s="5" t="inlineStr">
        <is>
          <t>Izzat Ki Roti</t>
        </is>
      </c>
      <c r="D650" s="17" t="n">
        <v>1993</v>
      </c>
      <c r="E650" s="5" t="inlineStr">
        <is>
          <t>Juhi Chawla</t>
        </is>
      </c>
      <c r="F650" s="5" t="inlineStr">
        <is>
          <t>Jyoti</t>
        </is>
      </c>
      <c r="G650" s="5" t="inlineStr">
        <is>
          <t>Co-lead</t>
        </is>
      </c>
      <c r="H650" s="5" t="inlineStr">
        <is>
          <t>Major</t>
        </is>
      </c>
      <c r="I650" s="5" t="inlineStr">
        <is>
          <t>His adoptive brother's love, in the household's second romance.</t>
        </is>
      </c>
      <c r="J650" s="5" t="inlineStr">
        <is>
          <t>The courtship the film resolves, beside Kapoor's established marriage.</t>
        </is>
      </c>
      <c r="K650" s="19" t="inlineStr">
        <is>
          <t>Credited as Jeet's girlfriend, daughter of Ram Prasad, and united with him once the plot against the brothers fails.</t>
        </is>
      </c>
      <c r="L650" s="5" t="n"/>
      <c r="M650" s="5" t="inlineStr">
        <is>
          <t>SOURCE-087</t>
        </is>
      </c>
    </row>
    <row r="651" ht="64" customHeight="1">
      <c r="A651" s="15" t="inlineStr">
        <is>
          <t>CAST-643</t>
        </is>
      </c>
      <c r="B651" s="18" t="inlineStr">
        <is>
          <t>FILM-095</t>
        </is>
      </c>
      <c r="C651" s="5" t="inlineStr">
        <is>
          <t>Izzat Ki Roti</t>
        </is>
      </c>
      <c r="D651" s="17" t="n">
        <v>1993</v>
      </c>
      <c r="E651" s="5" t="inlineStr">
        <is>
          <t>Prem Chopra</t>
        </is>
      </c>
      <c r="F651" s="5" t="inlineStr">
        <is>
          <t>Virender, called Veeru</t>
        </is>
      </c>
      <c r="G651" s="5" t="inlineStr">
        <is>
          <t>Antagonist</t>
        </is>
      </c>
      <c r="H651" s="5" t="inlineStr">
        <is>
          <t>Major</t>
        </is>
      </c>
      <c r="I651" s="5" t="inlineStr">
        <is>
          <t>Kapoor's own biological father, who returns from prison to take revenge and schemes against his own son without knowing it.</t>
        </is>
      </c>
      <c r="J651" s="5" t="inlineStr">
        <is>
          <t>No direct part in either marriage.</t>
        </is>
      </c>
      <c r="K651" s="19" t="inlineStr">
        <is>
          <t>A truck driver jailed twenty years for using his employer's trucks for illegal work, who returns to find the man dead and plots to split the two brothers over their inheritance, unaware that one of them is his son.</t>
        </is>
      </c>
      <c r="L651" s="5" t="n"/>
      <c r="M651" s="5" t="inlineStr">
        <is>
          <t>SOURCE-087</t>
        </is>
      </c>
    </row>
    <row r="652" ht="49" customHeight="1">
      <c r="A652" s="15" t="inlineStr">
        <is>
          <t>CAST-644</t>
        </is>
      </c>
      <c r="B652" s="18" t="inlineStr">
        <is>
          <t>FILM-095</t>
        </is>
      </c>
      <c r="C652" s="5" t="inlineStr">
        <is>
          <t>Izzat Ki Roti</t>
        </is>
      </c>
      <c r="D652" s="17" t="n">
        <v>1993</v>
      </c>
      <c r="E652" s="5" t="inlineStr">
        <is>
          <t>Kulbhushan Kharbanda</t>
        </is>
      </c>
      <c r="F652" s="5" t="inlineStr">
        <is>
          <t>Vijay</t>
        </is>
      </c>
      <c r="G652" s="5" t="inlineStr">
        <is>
          <t>Family</t>
        </is>
      </c>
      <c r="H652" s="5" t="inlineStr">
        <is>
          <t>Major</t>
        </is>
      </c>
      <c r="I652" s="5" t="inlineStr">
        <is>
          <t>The employer who had his father jailed and then adopted him.</t>
        </is>
      </c>
      <c r="J652" s="5" t="inlineStr">
        <is>
          <t>The household both marriages belong to.</t>
        </is>
      </c>
      <c r="K652" s="19" t="inlineStr">
        <is>
          <t>A multi-millionaire trucking proprietor who turns his friendly driver over to the police and then raises that man's son beside his own, and is dead before the driver's release.</t>
        </is>
      </c>
      <c r="L652" s="5" t="n"/>
      <c r="M652" s="5" t="inlineStr">
        <is>
          <t>SOURCE-087</t>
        </is>
      </c>
    </row>
    <row r="653" ht="34" customHeight="1">
      <c r="A653" s="15" t="inlineStr">
        <is>
          <t>CAST-645</t>
        </is>
      </c>
      <c r="B653" s="18" t="inlineStr">
        <is>
          <t>FILM-095</t>
        </is>
      </c>
      <c r="C653" s="5" t="inlineStr">
        <is>
          <t>Izzat Ki Roti</t>
        </is>
      </c>
      <c r="D653" s="17" t="n">
        <v>1993</v>
      </c>
      <c r="E653" s="5" t="inlineStr">
        <is>
          <t>Tanuja</t>
        </is>
      </c>
      <c r="F653" s="5" t="inlineStr">
        <is>
          <t>Laxmi</t>
        </is>
      </c>
      <c r="G653" s="5" t="inlineStr">
        <is>
          <t>Family</t>
        </is>
      </c>
      <c r="H653" s="5" t="inlineStr">
        <is>
          <t>Major</t>
        </is>
      </c>
      <c r="I653" s="5" t="inlineStr">
        <is>
          <t>His adoptive mother, who took him in with her husband.</t>
        </is>
      </c>
      <c r="J653" s="5" t="inlineStr">
        <is>
          <t>The maternal authority over both marriages.</t>
        </is>
      </c>
      <c r="K653" s="19" t="inlineStr">
        <is>
          <t>Vijay's wife, who with him adopts the jailed driver's son and brings him up as a brother to her own.</t>
        </is>
      </c>
      <c r="L653" s="5" t="n"/>
      <c r="M653" s="5" t="inlineStr">
        <is>
          <t>SOURCE-087</t>
        </is>
      </c>
    </row>
    <row r="654" ht="34" customHeight="1">
      <c r="A654" s="15" t="inlineStr">
        <is>
          <t>CAST-646</t>
        </is>
      </c>
      <c r="B654" s="18" t="inlineStr">
        <is>
          <t>FILM-095</t>
        </is>
      </c>
      <c r="C654" s="5" t="inlineStr">
        <is>
          <t>Izzat Ki Roti</t>
        </is>
      </c>
      <c r="D654" s="17" t="n">
        <v>1993</v>
      </c>
      <c r="E654" s="5" t="inlineStr">
        <is>
          <t>Anupam Kher</t>
        </is>
      </c>
      <c r="F654" s="5" t="inlineStr">
        <is>
          <t>Girdharilal Chakradhari</t>
        </is>
      </c>
      <c r="G654" s="5" t="inlineStr">
        <is>
          <t>Comic support</t>
        </is>
      </c>
      <c r="H654" s="5" t="inlineStr">
        <is>
          <t>Medium</t>
        </is>
      </c>
      <c r="I654" s="5" t="inlineStr">
        <is>
          <t>His wife's maternal uncle, attached to the household by the marriage.</t>
        </is>
      </c>
      <c r="J654" s="5" t="inlineStr">
        <is>
          <t>The comic relation the marriage brings with it.</t>
        </is>
      </c>
      <c r="K654" s="19" t="inlineStr">
        <is>
          <t>Credited as Pinky's maternal uncle, the comic in-law of Kapoor's marriage.</t>
        </is>
      </c>
      <c r="L654" s="5" t="n"/>
      <c r="M654" s="5" t="inlineStr">
        <is>
          <t>SOURCE-087</t>
        </is>
      </c>
    </row>
    <row r="655" ht="34" customHeight="1">
      <c r="A655" s="15" t="inlineStr">
        <is>
          <t>CAST-647</t>
        </is>
      </c>
      <c r="B655" s="18" t="inlineStr">
        <is>
          <t>FILM-095</t>
        </is>
      </c>
      <c r="C655" s="5" t="inlineStr">
        <is>
          <t>Izzat Ki Roti</t>
        </is>
      </c>
      <c r="D655" s="17" t="n">
        <v>1993</v>
      </c>
      <c r="E655" s="5" t="inlineStr">
        <is>
          <t>Alok Nath</t>
        </is>
      </c>
      <c r="F655" s="5" t="inlineStr">
        <is>
          <t>Kaka</t>
        </is>
      </c>
      <c r="G655" s="5" t="inlineStr">
        <is>
          <t>Supporting</t>
        </is>
      </c>
      <c r="H655" s="5" t="inlineStr">
        <is>
          <t>Minor</t>
        </is>
      </c>
      <c r="I655" s="5" t="inlineStr">
        <is>
          <t>A credited household figure.</t>
        </is>
      </c>
      <c r="J655" s="5" t="inlineStr">
        <is>
          <t>No documented part in either marriage.</t>
        </is>
      </c>
      <c r="K655" s="19" t="inlineStr">
        <is>
          <t>Credited as Kaka, among the retainers of the trucking family.</t>
        </is>
      </c>
      <c r="L655" s="5" t="n"/>
      <c r="M655" s="5" t="inlineStr">
        <is>
          <t>SOURCE-087</t>
        </is>
      </c>
    </row>
    <row r="656" ht="64" customHeight="1">
      <c r="A656" s="15" t="inlineStr">
        <is>
          <t>CAST-648</t>
        </is>
      </c>
      <c r="B656" s="18" t="inlineStr">
        <is>
          <t>FILM-096</t>
        </is>
      </c>
      <c r="C656" s="5" t="inlineStr">
        <is>
          <t>Anmol</t>
        </is>
      </c>
      <c r="D656" s="17" t="n">
        <v>1993</v>
      </c>
      <c r="E656" s="5" t="inlineStr">
        <is>
          <t>Manisha Koirala</t>
        </is>
      </c>
      <c r="F656" s="5" t="inlineStr">
        <is>
          <t>Anmol</t>
        </is>
      </c>
      <c r="G656" s="5" t="inlineStr">
        <is>
          <t>Co-lead</t>
        </is>
      </c>
      <c r="H656" s="5" t="inlineStr">
        <is>
          <t>Major</t>
        </is>
      </c>
      <c r="I656" s="5" t="inlineStr">
        <is>
          <t>Credited opposite Kapoor in the title role; the article has no plot section, so the courtship is undocumented.</t>
        </is>
      </c>
      <c r="J656" s="5" t="inlineStr">
        <is>
          <t>The filmography records a major romance for this film, but nothing about it is documented, which is why there is no Romances row.</t>
        </is>
      </c>
      <c r="K656" s="19" t="inlineStr">
        <is>
          <t>Credited in the title role, the Cinderella figure of a cast list that ranges a stepmother, a step-uncle and two stepsisters against her.</t>
        </is>
      </c>
      <c r="L656" s="5" t="n"/>
      <c r="M656" s="5" t="inlineStr">
        <is>
          <t>SOURCE-089</t>
        </is>
      </c>
    </row>
    <row r="657" ht="49" customHeight="1">
      <c r="A657" s="15" t="inlineStr">
        <is>
          <t>CAST-649</t>
        </is>
      </c>
      <c r="B657" s="18" t="inlineStr">
        <is>
          <t>FILM-096</t>
        </is>
      </c>
      <c r="C657" s="5" t="inlineStr">
        <is>
          <t>Anmol</t>
        </is>
      </c>
      <c r="D657" s="17" t="n">
        <v>1993</v>
      </c>
      <c r="E657" s="5" t="inlineStr">
        <is>
          <t>Sudha Chopra</t>
        </is>
      </c>
      <c r="F657" s="5" t="inlineStr">
        <is>
          <t>Anmol's stepmother</t>
        </is>
      </c>
      <c r="G657" s="5" t="inlineStr">
        <is>
          <t>Antagonist</t>
        </is>
      </c>
      <c r="H657" s="5" t="inlineStr">
        <is>
          <t>Major</t>
        </is>
      </c>
      <c r="I657" s="5" t="inlineStr">
        <is>
          <t>Credited as the heroine's stepmother, the cast list's principal opposition.</t>
        </is>
      </c>
      <c r="J657" s="5" t="inlineStr">
        <is>
          <t>Undocumented, though the structure implies opposition to the match.</t>
        </is>
      </c>
      <c r="K657" s="19" t="inlineStr">
        <is>
          <t>Credited as Anmol's stepmother, heading a household of step-relations in a film the article documents only through its credits.</t>
        </is>
      </c>
      <c r="L657" s="5" t="n"/>
      <c r="M657" s="5" t="inlineStr">
        <is>
          <t>SOURCE-089</t>
        </is>
      </c>
    </row>
    <row r="658" ht="34" customHeight="1">
      <c r="A658" s="15" t="inlineStr">
        <is>
          <t>CAST-650</t>
        </is>
      </c>
      <c r="B658" s="18" t="inlineStr">
        <is>
          <t>FILM-096</t>
        </is>
      </c>
      <c r="C658" s="5" t="inlineStr">
        <is>
          <t>Anmol</t>
        </is>
      </c>
      <c r="D658" s="17" t="n">
        <v>1993</v>
      </c>
      <c r="E658" s="5" t="inlineStr">
        <is>
          <t>Gufi Paintal</t>
        </is>
      </c>
      <c r="F658" s="5" t="inlineStr">
        <is>
          <t>Anmol's step-uncle</t>
        </is>
      </c>
      <c r="G658" s="5" t="inlineStr">
        <is>
          <t>Antagonist</t>
        </is>
      </c>
      <c r="H658" s="5" t="inlineStr">
        <is>
          <t>Medium</t>
        </is>
      </c>
      <c r="I658" s="5" t="inlineStr">
        <is>
          <t>Credited as the stepmother's ally in the household.</t>
        </is>
      </c>
      <c r="J658" s="5" t="inlineStr">
        <is>
          <t>Undocumented.</t>
        </is>
      </c>
      <c r="K658" s="19" t="inlineStr">
        <is>
          <t>Credited as Anmol's step-uncle, in the Cinderella arrangement the cast list sets out.</t>
        </is>
      </c>
      <c r="L658" s="5" t="n"/>
      <c r="M658" s="5" t="inlineStr">
        <is>
          <t>SOURCE-089</t>
        </is>
      </c>
    </row>
    <row r="659" ht="34" customHeight="1">
      <c r="A659" s="15" t="inlineStr">
        <is>
          <t>CAST-651</t>
        </is>
      </c>
      <c r="B659" s="18" t="inlineStr">
        <is>
          <t>FILM-096</t>
        </is>
      </c>
      <c r="C659" s="5" t="inlineStr">
        <is>
          <t>Anmol</t>
        </is>
      </c>
      <c r="D659" s="17" t="n">
        <v>1993</v>
      </c>
      <c r="E659" s="5" t="inlineStr">
        <is>
          <t>Puneet Issar</t>
        </is>
      </c>
      <c r="F659" s="5" t="inlineStr">
        <is>
          <t>Zafar</t>
        </is>
      </c>
      <c r="G659" s="5" t="inlineStr">
        <is>
          <t>Antagonist</t>
        </is>
      </c>
      <c r="H659" s="5" t="inlineStr">
        <is>
          <t>Medium</t>
        </is>
      </c>
      <c r="I659" s="5" t="inlineStr">
        <is>
          <t>Credited as the film's physical antagonist, with a father of his own.</t>
        </is>
      </c>
      <c r="J659" s="5" t="inlineStr">
        <is>
          <t>Undocumented, though such a part usually marks the imposed suitor.</t>
        </is>
      </c>
      <c r="K659" s="19" t="inlineStr">
        <is>
          <t>Credited as Zafar, son of Dara Singh's character, in the opposition of an undocumented plot.</t>
        </is>
      </c>
      <c r="L659" s="5" t="n"/>
      <c r="M659" s="5" t="inlineStr">
        <is>
          <t>SOURCE-089</t>
        </is>
      </c>
    </row>
    <row r="660" ht="34" customHeight="1">
      <c r="A660" s="15" t="inlineStr">
        <is>
          <t>CAST-652</t>
        </is>
      </c>
      <c r="B660" s="18" t="inlineStr">
        <is>
          <t>FILM-096</t>
        </is>
      </c>
      <c r="C660" s="5" t="inlineStr">
        <is>
          <t>Anmol</t>
        </is>
      </c>
      <c r="D660" s="17" t="n">
        <v>1993</v>
      </c>
      <c r="E660" s="5" t="inlineStr">
        <is>
          <t>Saeed Jaffrey</t>
        </is>
      </c>
      <c r="F660" s="5" t="inlineStr">
        <is>
          <t>Prem's father</t>
        </is>
      </c>
      <c r="G660" s="5" t="inlineStr">
        <is>
          <t>Family</t>
        </is>
      </c>
      <c r="H660" s="5" t="inlineStr">
        <is>
          <t>Medium</t>
        </is>
      </c>
      <c r="I660" s="5" t="inlineStr">
        <is>
          <t>Credited as the father of Kapoor's character.</t>
        </is>
      </c>
      <c r="J660" s="5" t="inlineStr">
        <is>
          <t>Undocumented.</t>
        </is>
      </c>
      <c r="K660" s="19" t="inlineStr">
        <is>
          <t>Credited as Prem's father, the only member of Kapoor's character's own family the cast list names.</t>
        </is>
      </c>
      <c r="L660" s="5" t="n"/>
      <c r="M660" s="5" t="inlineStr">
        <is>
          <t>SOURCE-089</t>
        </is>
      </c>
    </row>
    <row r="661" ht="34" customHeight="1">
      <c r="A661" s="15" t="inlineStr">
        <is>
          <t>CAST-653</t>
        </is>
      </c>
      <c r="B661" s="18" t="inlineStr">
        <is>
          <t>FILM-096</t>
        </is>
      </c>
      <c r="C661" s="5" t="inlineStr">
        <is>
          <t>Anmol</t>
        </is>
      </c>
      <c r="D661" s="17" t="n">
        <v>1993</v>
      </c>
      <c r="E661" s="5" t="inlineStr">
        <is>
          <t>Jaya Mathur</t>
        </is>
      </c>
      <c r="F661" s="5" t="inlineStr">
        <is>
          <t>Champa</t>
        </is>
      </c>
      <c r="G661" s="5" t="inlineStr">
        <is>
          <t>Family</t>
        </is>
      </c>
      <c r="H661" s="5" t="inlineStr">
        <is>
          <t>Medium</t>
        </is>
      </c>
      <c r="I661" s="5" t="inlineStr">
        <is>
          <t>Credited as one of the heroine's two stepsisters.</t>
        </is>
      </c>
      <c r="J661" s="5" t="inlineStr">
        <is>
          <t>Undocumented.</t>
        </is>
      </c>
      <c r="K661" s="19" t="inlineStr">
        <is>
          <t>Credited as Champa, with Rubeina Khan's Chameli, the pair of stepsisters the retelling requires.</t>
        </is>
      </c>
      <c r="L661" s="5" t="n"/>
      <c r="M661" s="5" t="inlineStr">
        <is>
          <t>SOURCE-089</t>
        </is>
      </c>
    </row>
    <row r="662" ht="34" customHeight="1">
      <c r="A662" s="15" t="inlineStr">
        <is>
          <t>CAST-654</t>
        </is>
      </c>
      <c r="B662" s="18" t="inlineStr">
        <is>
          <t>FILM-096</t>
        </is>
      </c>
      <c r="C662" s="5" t="inlineStr">
        <is>
          <t>Anmol</t>
        </is>
      </c>
      <c r="D662" s="17" t="n">
        <v>1993</v>
      </c>
      <c r="E662" s="5" t="inlineStr">
        <is>
          <t>Johnny Lever</t>
        </is>
      </c>
      <c r="F662" s="5" t="inlineStr">
        <is>
          <t>Himself</t>
        </is>
      </c>
      <c r="G662" s="5" t="inlineStr">
        <is>
          <t>Self appearance</t>
        </is>
      </c>
      <c r="H662" s="5" t="inlineStr">
        <is>
          <t>Minor</t>
        </is>
      </c>
      <c r="I662" s="5" t="inlineStr">
        <is>
          <t>A guest appearance as himself.</t>
        </is>
      </c>
      <c r="J662" s="5" t="inlineStr">
        <is>
          <t>Undocumented.</t>
        </is>
      </c>
      <c r="K662" s="19" t="inlineStr">
        <is>
          <t>Credited as himself in a guest appearance, with Sujata Mehta and Anil Dhawan in the same register.</t>
        </is>
      </c>
      <c r="L662" s="5" t="n"/>
      <c r="M662" s="5" t="inlineStr">
        <is>
          <t>SOURCE-089</t>
        </is>
      </c>
    </row>
    <row r="663" ht="49" customHeight="1">
      <c r="A663" s="15" t="inlineStr">
        <is>
          <t>CAST-655</t>
        </is>
      </c>
      <c r="B663" s="18" t="inlineStr">
        <is>
          <t>FILM-097</t>
        </is>
      </c>
      <c r="C663" s="5" t="inlineStr">
        <is>
          <t>Gurudev</t>
        </is>
      </c>
      <c r="D663" s="17" t="n">
        <v>1993</v>
      </c>
      <c r="E663" s="5" t="inlineStr">
        <is>
          <t>Anil Kapoor</t>
        </is>
      </c>
      <c r="F663" s="5" t="inlineStr">
        <is>
          <t>Gaurav, called Guru</t>
        </is>
      </c>
      <c r="G663" s="5" t="inlineStr">
        <is>
          <t>Co-lead</t>
        </is>
      </c>
      <c r="H663" s="5" t="inlineStr">
        <is>
          <t>Major</t>
        </is>
      </c>
      <c r="I663" s="5" t="inlineStr">
        <is>
          <t>Dev's childhood friend, and the son of the don he is ordered to arrest.</t>
        </is>
      </c>
      <c r="J663" s="5" t="inlineStr">
        <is>
          <t>Outside the romance; the friendship the film's dilemma is built on.</t>
        </is>
      </c>
      <c r="K663" s="19" t="inlineStr">
        <is>
          <t>The don Khakan's son and Inspector Dev's closest friend from childhood, the person whose father the policeman must decide whether to take.</t>
        </is>
      </c>
      <c r="L663" s="5" t="n"/>
      <c r="M663" s="5" t="inlineStr">
        <is>
          <t>SOURCE-090</t>
        </is>
      </c>
    </row>
    <row r="664" ht="64" customHeight="1">
      <c r="A664" s="15" t="inlineStr">
        <is>
          <t>CAST-656</t>
        </is>
      </c>
      <c r="B664" s="18" t="inlineStr">
        <is>
          <t>FILM-097</t>
        </is>
      </c>
      <c r="C664" s="5" t="inlineStr">
        <is>
          <t>Gurudev</t>
        </is>
      </c>
      <c r="D664" s="17" t="n">
        <v>1993</v>
      </c>
      <c r="E664" s="5" t="inlineStr">
        <is>
          <t>Sridevi</t>
        </is>
      </c>
      <c r="F664" s="5" t="inlineStr">
        <is>
          <t>Priya / Sunita / Rosy</t>
        </is>
      </c>
      <c r="G664" s="5" t="inlineStr">
        <is>
          <t>Co-lead</t>
        </is>
      </c>
      <c r="H664" s="5" t="inlineStr">
        <is>
          <t>Major</t>
        </is>
      </c>
      <c r="I664" s="5" t="inlineStr">
        <is>
          <t>Credited as the film's heroine in a multiple role; the article's summary covers only the policeman's dilemma.</t>
        </is>
      </c>
      <c r="J664" s="5" t="inlineStr">
        <is>
          <t>The filmography records a secondary romance here, but the summary does not describe it, which is why there is no Romances row.</t>
        </is>
      </c>
      <c r="K664" s="19" t="inlineStr">
        <is>
          <t>Credited under three names in a double role, in the last of her five films with Kapoor and a plot the article summarises only as a question about loyalty.</t>
        </is>
      </c>
      <c r="L664" s="5" t="n"/>
      <c r="M664" s="5" t="inlineStr">
        <is>
          <t>SOURCE-090</t>
        </is>
      </c>
    </row>
    <row r="665" ht="49" customHeight="1">
      <c r="A665" s="15" t="inlineStr">
        <is>
          <t>CAST-657</t>
        </is>
      </c>
      <c r="B665" s="18" t="inlineStr">
        <is>
          <t>FILM-097</t>
        </is>
      </c>
      <c r="C665" s="5" t="inlineStr">
        <is>
          <t>Gurudev</t>
        </is>
      </c>
      <c r="D665" s="17" t="n">
        <v>1993</v>
      </c>
      <c r="E665" s="5" t="inlineStr">
        <is>
          <t>Danny Denzongpa</t>
        </is>
      </c>
      <c r="F665" s="5" t="inlineStr">
        <is>
          <t>Khakan</t>
        </is>
      </c>
      <c r="G665" s="5" t="inlineStr">
        <is>
          <t>Antagonist</t>
        </is>
      </c>
      <c r="H665" s="5" t="inlineStr">
        <is>
          <t>Major</t>
        </is>
      </c>
      <c r="I665" s="5" t="inlineStr">
        <is>
          <t>The criminal don he is assigned to arrest, and his best friend's father.</t>
        </is>
      </c>
      <c r="J665" s="5" t="inlineStr">
        <is>
          <t>Outside the romance; the subject of the film's dilemma.</t>
        </is>
      </c>
      <c r="K665" s="19" t="inlineStr">
        <is>
          <t>A criminal don, Guru's father, with Parshuram as his right-hand man, whose apprehension is the case that tests the policeman's friendship.</t>
        </is>
      </c>
      <c r="L665" s="5" t="n"/>
      <c r="M665" s="5" t="inlineStr">
        <is>
          <t>SOURCE-090</t>
        </is>
      </c>
    </row>
    <row r="666" ht="49" customHeight="1">
      <c r="A666" s="15" t="inlineStr">
        <is>
          <t>CAST-658</t>
        </is>
      </c>
      <c r="B666" s="18" t="inlineStr">
        <is>
          <t>FILM-097</t>
        </is>
      </c>
      <c r="C666" s="5" t="inlineStr">
        <is>
          <t>Gurudev</t>
        </is>
      </c>
      <c r="D666" s="17" t="n">
        <v>1993</v>
      </c>
      <c r="E666" s="5" t="inlineStr">
        <is>
          <t>Kader Khan</t>
        </is>
      </c>
      <c r="F666" s="5" t="inlineStr">
        <is>
          <t>Inspector Khan</t>
        </is>
      </c>
      <c r="G666" s="5" t="inlineStr">
        <is>
          <t>Authority figure</t>
        </is>
      </c>
      <c r="H666" s="5" t="inlineStr">
        <is>
          <t>Major</t>
        </is>
      </c>
      <c r="I666" s="5" t="inlineStr">
        <is>
          <t>The officer assigned the case, whose first suspect is Kapoor's own character.</t>
        </is>
      </c>
      <c r="J666" s="5" t="inlineStr">
        <is>
          <t>Outside the romance.</t>
        </is>
      </c>
      <c r="K666" s="19" t="inlineStr">
        <is>
          <t>The inspector given the case of apprehending Khakan, who suspects Dev of protecting him and has to be convinced of his earnestness.</t>
        </is>
      </c>
      <c r="L666" s="5" t="n"/>
      <c r="M666" s="5" t="inlineStr">
        <is>
          <t>SOURCE-090</t>
        </is>
      </c>
    </row>
    <row r="667" ht="49" customHeight="1">
      <c r="A667" s="15" t="inlineStr">
        <is>
          <t>CAST-659</t>
        </is>
      </c>
      <c r="B667" s="18" t="inlineStr">
        <is>
          <t>FILM-097</t>
        </is>
      </c>
      <c r="C667" s="5" t="inlineStr">
        <is>
          <t>Gurudev</t>
        </is>
      </c>
      <c r="D667" s="17" t="n">
        <v>1993</v>
      </c>
      <c r="E667" s="5" t="inlineStr">
        <is>
          <t>Pran</t>
        </is>
      </c>
      <c r="F667" s="5" t="inlineStr">
        <is>
          <t>Parshuram</t>
        </is>
      </c>
      <c r="G667" s="5" t="inlineStr">
        <is>
          <t>Antagonist</t>
        </is>
      </c>
      <c r="H667" s="5" t="inlineStr">
        <is>
          <t>Major</t>
        </is>
      </c>
      <c r="I667" s="5" t="inlineStr">
        <is>
          <t>The don's right-hand man, on the other side of the friendship.</t>
        </is>
      </c>
      <c r="J667" s="5" t="inlineStr">
        <is>
          <t>Outside the romance.</t>
        </is>
      </c>
      <c r="K667" s="19" t="inlineStr">
        <is>
          <t>Credited as the underworld figure who is Khakan's right-hand man, in the organisation the policeman is suspected of shielding.</t>
        </is>
      </c>
      <c r="L667" s="5" t="n"/>
      <c r="M667" s="5" t="inlineStr">
        <is>
          <t>SOURCE-090</t>
        </is>
      </c>
    </row>
    <row r="668" ht="49" customHeight="1">
      <c r="A668" s="15" t="inlineStr">
        <is>
          <t>CAST-660</t>
        </is>
      </c>
      <c r="B668" s="18" t="inlineStr">
        <is>
          <t>FILM-097</t>
        </is>
      </c>
      <c r="C668" s="5" t="inlineStr">
        <is>
          <t>Gurudev</t>
        </is>
      </c>
      <c r="D668" s="17" t="n">
        <v>1993</v>
      </c>
      <c r="E668" s="5" t="inlineStr">
        <is>
          <t>Kiran Kumar</t>
        </is>
      </c>
      <c r="F668" s="5" t="inlineStr">
        <is>
          <t>Bhola Pandey</t>
        </is>
      </c>
      <c r="G668" s="5" t="inlineStr">
        <is>
          <t>Antagonist</t>
        </is>
      </c>
      <c r="H668" s="5" t="inlineStr">
        <is>
          <t>Medium</t>
        </is>
      </c>
      <c r="I668" s="5" t="inlineStr">
        <is>
          <t>Credited among the criminal opposition, with two Pandeys beside him in the cast list.</t>
        </is>
      </c>
      <c r="J668" s="5" t="inlineStr">
        <is>
          <t>Outside the romance.</t>
        </is>
      </c>
      <c r="K668" s="19" t="inlineStr">
        <is>
          <t>Credited as Bhola Pandey, with Mahavir Shah's Mahaveer Pandey and Tej Sapru's Murli Pandey, a family in the film's criminal ranks.</t>
        </is>
      </c>
      <c r="L668" s="5" t="n"/>
      <c r="M668" s="5" t="inlineStr">
        <is>
          <t>SOURCE-090</t>
        </is>
      </c>
    </row>
    <row r="669" ht="34" customHeight="1">
      <c r="A669" s="15" t="inlineStr">
        <is>
          <t>CAST-661</t>
        </is>
      </c>
      <c r="B669" s="18" t="inlineStr">
        <is>
          <t>FILM-097</t>
        </is>
      </c>
      <c r="C669" s="5" t="inlineStr">
        <is>
          <t>Gurudev</t>
        </is>
      </c>
      <c r="D669" s="17" t="n">
        <v>1993</v>
      </c>
      <c r="E669" s="5" t="inlineStr">
        <is>
          <t>Satyen Kappu</t>
        </is>
      </c>
      <c r="F669" s="5" t="inlineStr">
        <is>
          <t>Satyen</t>
        </is>
      </c>
      <c r="G669" s="5" t="inlineStr">
        <is>
          <t>Family</t>
        </is>
      </c>
      <c r="H669" s="5" t="inlineStr">
        <is>
          <t>Medium</t>
        </is>
      </c>
      <c r="I669" s="5" t="inlineStr">
        <is>
          <t>Credited in the film's parental generation, under his own first name.</t>
        </is>
      </c>
      <c r="J669" s="5" t="inlineStr">
        <is>
          <t>No documented part in the romance.</t>
        </is>
      </c>
      <c r="K669" s="19" t="inlineStr">
        <is>
          <t>Credited as Satyen, opposite Seema Deo's Saraswati, in the family register around the two friends.</t>
        </is>
      </c>
      <c r="L669" s="5" t="n"/>
      <c r="M669" s="5" t="inlineStr">
        <is>
          <t>SOURCE-090</t>
        </is>
      </c>
    </row>
    <row r="670" ht="64" customHeight="1">
      <c r="A670" s="15" t="inlineStr">
        <is>
          <t>CAST-662</t>
        </is>
      </c>
      <c r="B670" s="18" t="inlineStr">
        <is>
          <t>FILM-099</t>
        </is>
      </c>
      <c r="C670" s="5" t="inlineStr">
        <is>
          <t>Eena Meena Deeka</t>
        </is>
      </c>
      <c r="D670" s="17" t="n">
        <v>1994</v>
      </c>
      <c r="E670" s="5" t="inlineStr">
        <is>
          <t>Juhi Chawla</t>
        </is>
      </c>
      <c r="F670" s="5" t="inlineStr">
        <is>
          <t>Meena</t>
        </is>
      </c>
      <c r="G670" s="5" t="inlineStr">
        <is>
          <t>Co-lead</t>
        </is>
      </c>
      <c r="H670" s="5" t="inlineStr">
        <is>
          <t>Major</t>
        </is>
      </c>
      <c r="I670" s="5" t="inlineStr">
        <is>
          <t>The police commissioner's daughter, kidnapped by his own long-lost brother and then loved by Kapoor's character.</t>
        </is>
      </c>
      <c r="J670" s="5" t="inlineStr">
        <is>
          <t>The whole of the pairing in Romances, begun in an abduction and ended in marriage.</t>
        </is>
      </c>
      <c r="K670" s="19" t="inlineStr">
        <is>
          <t>DCP Bully's daughter, kidnapped by Deeka to force a confession, who falls in love with Eena instead, and whom a criminal wants for his own son.</t>
        </is>
      </c>
      <c r="L670" s="5" t="n"/>
      <c r="M670" s="5" t="inlineStr">
        <is>
          <t>SOURCE-094</t>
        </is>
      </c>
    </row>
    <row r="671" ht="64" customHeight="1">
      <c r="A671" s="15" t="inlineStr">
        <is>
          <t>CAST-663</t>
        </is>
      </c>
      <c r="B671" s="18" t="inlineStr">
        <is>
          <t>FILM-099</t>
        </is>
      </c>
      <c r="C671" s="5" t="inlineStr">
        <is>
          <t>Eena Meena Deeka</t>
        </is>
      </c>
      <c r="D671" s="17" t="n">
        <v>1994</v>
      </c>
      <c r="E671" s="5" t="inlineStr">
        <is>
          <t>Vinod Khanna</t>
        </is>
      </c>
      <c r="F671" s="5" t="inlineStr">
        <is>
          <t>Deeka</t>
        </is>
      </c>
      <c r="G671" s="5" t="inlineStr">
        <is>
          <t>Co-lead</t>
        </is>
      </c>
      <c r="H671" s="5" t="inlineStr">
        <is>
          <t>Major</t>
        </is>
      </c>
      <c r="I671" s="5" t="inlineStr">
        <is>
          <t>The reformed robber whose attempt to go straight Eena wrecks, and his own brother.</t>
        </is>
      </c>
      <c r="J671" s="5" t="inlineStr">
        <is>
          <t>Creates the abduction the romance grows out of.</t>
        </is>
      </c>
      <c r="K671" s="19" t="inlineStr">
        <is>
          <t>A bank robber released after several sentences and determined to go straight, mistaken for the culprit when a bungling robber strikes the bank he is standing in, and revealed to be the brother Eena lost in childhood.</t>
        </is>
      </c>
      <c r="L671" s="5" t="n"/>
      <c r="M671" s="5" t="inlineStr">
        <is>
          <t>SOURCE-094</t>
        </is>
      </c>
    </row>
    <row r="672" ht="34" customHeight="1">
      <c r="A672" s="15" t="inlineStr">
        <is>
          <t>CAST-664</t>
        </is>
      </c>
      <c r="B672" s="18" t="inlineStr">
        <is>
          <t>FILM-099</t>
        </is>
      </c>
      <c r="C672" s="5" t="inlineStr">
        <is>
          <t>Eena Meena Deeka</t>
        </is>
      </c>
      <c r="D672" s="17" t="n">
        <v>1994</v>
      </c>
      <c r="E672" s="5" t="inlineStr">
        <is>
          <t>Dina Pathak</t>
        </is>
      </c>
      <c r="F672" s="5" t="inlineStr">
        <is>
          <t>Savitri</t>
        </is>
      </c>
      <c r="G672" s="5" t="inlineStr">
        <is>
          <t>Family</t>
        </is>
      </c>
      <c r="H672" s="5" t="inlineStr">
        <is>
          <t>Major</t>
        </is>
      </c>
      <c r="I672" s="5" t="inlineStr">
        <is>
          <t>Eena's mother, whose treatment is the reason he robs the bank at all.</t>
        </is>
      </c>
      <c r="J672" s="5" t="inlineStr">
        <is>
          <t>The motive that sets the whole plot, and so the romance, in motion.</t>
        </is>
      </c>
      <c r="K672" s="19" t="inlineStr">
        <is>
          <t>Eena's mother, needing medical treatment he cannot pay for, and the mother of the son kidnapped in childhood.</t>
        </is>
      </c>
      <c r="L672" s="5" t="n"/>
      <c r="M672" s="5" t="inlineStr">
        <is>
          <t>SOURCE-094</t>
        </is>
      </c>
    </row>
    <row r="673" ht="49" customHeight="1">
      <c r="A673" s="15" t="inlineStr">
        <is>
          <t>CAST-665</t>
        </is>
      </c>
      <c r="B673" s="18" t="inlineStr">
        <is>
          <t>FILM-099</t>
        </is>
      </c>
      <c r="C673" s="5" t="inlineStr">
        <is>
          <t>Eena Meena Deeka</t>
        </is>
      </c>
      <c r="D673" s="17" t="n">
        <v>1994</v>
      </c>
      <c r="E673" s="5" t="inlineStr">
        <is>
          <t>Anupam Kher</t>
        </is>
      </c>
      <c r="F673" s="5" t="inlineStr">
        <is>
          <t>Ujjwal Raja Bully</t>
        </is>
      </c>
      <c r="G673" s="5" t="inlineStr">
        <is>
          <t>Authority figure</t>
        </is>
      </c>
      <c r="H673" s="5" t="inlineStr">
        <is>
          <t>Major</t>
        </is>
      </c>
      <c r="I673" s="5" t="inlineStr">
        <is>
          <t>The police commissioner whose daughter is taken, and the law pursuing both men.</t>
        </is>
      </c>
      <c r="J673" s="5" t="inlineStr">
        <is>
          <t>The paternal authority the romance has to be settled with.</t>
        </is>
      </c>
      <c r="K673" s="19" t="inlineStr">
        <is>
          <t>The DCP whose daughter Deeka kidnaps to clear his own name, and who is hunting the pair for most of the film.</t>
        </is>
      </c>
      <c r="L673" s="5" t="n"/>
      <c r="M673" s="5" t="inlineStr">
        <is>
          <t>SOURCE-094</t>
        </is>
      </c>
    </row>
    <row r="674" ht="49" customHeight="1">
      <c r="A674" s="15" t="inlineStr">
        <is>
          <t>CAST-666</t>
        </is>
      </c>
      <c r="B674" s="18" t="inlineStr">
        <is>
          <t>FILM-099</t>
        </is>
      </c>
      <c r="C674" s="5" t="inlineStr">
        <is>
          <t>Eena Meena Deeka</t>
        </is>
      </c>
      <c r="D674" s="17" t="n">
        <v>1994</v>
      </c>
      <c r="E674" s="5" t="inlineStr">
        <is>
          <t>Kiran Kumar</t>
        </is>
      </c>
      <c r="F674" s="5" t="inlineStr">
        <is>
          <t>Bhujang</t>
        </is>
      </c>
      <c r="G674" s="5" t="inlineStr">
        <is>
          <t>Antagonist</t>
        </is>
      </c>
      <c r="H674" s="5" t="inlineStr">
        <is>
          <t>Major</t>
        </is>
      </c>
      <c r="I674" s="5" t="inlineStr">
        <is>
          <t>The criminal who kidnapped his brother in childhood and wants the heroine for his own son.</t>
        </is>
      </c>
      <c r="J674" s="5" t="inlineStr">
        <is>
          <t>The external opposition to the pairing, with a rival of his own supplying.</t>
        </is>
      </c>
      <c r="K674" s="19" t="inlineStr">
        <is>
          <t>The criminal who took Deeka as a child, and who wants his son Sunny married to Meena; he and his sons are arrested at the close.</t>
        </is>
      </c>
      <c r="L674" s="5" t="n"/>
      <c r="M674" s="5" t="inlineStr">
        <is>
          <t>SOURCE-094</t>
        </is>
      </c>
    </row>
    <row r="675" ht="49" customHeight="1">
      <c r="A675" s="15" t="inlineStr">
        <is>
          <t>CAST-667</t>
        </is>
      </c>
      <c r="B675" s="18" t="inlineStr">
        <is>
          <t>FILM-099</t>
        </is>
      </c>
      <c r="C675" s="5" t="inlineStr">
        <is>
          <t>Eena Meena Deeka</t>
        </is>
      </c>
      <c r="D675" s="17" t="n">
        <v>1994</v>
      </c>
      <c r="E675" s="5" t="inlineStr">
        <is>
          <t>Gulshan Grover</t>
        </is>
      </c>
      <c r="F675" s="5" t="inlineStr">
        <is>
          <t>Sunny</t>
        </is>
      </c>
      <c r="G675" s="5" t="inlineStr">
        <is>
          <t>Romantic rival</t>
        </is>
      </c>
      <c r="H675" s="5" t="inlineStr">
        <is>
          <t>Medium</t>
        </is>
      </c>
      <c r="I675" s="5" t="inlineStr">
        <is>
          <t>The son of the kidnapper, intended for the woman Kapoor's character loves.</t>
        </is>
      </c>
      <c r="J675" s="5" t="inlineStr">
        <is>
          <t>The rival claim his father is enforcing.</t>
        </is>
      </c>
      <c r="K675" s="19" t="inlineStr">
        <is>
          <t>Bhujang's son, for whom his father wants Meena, and arrested with him at the end.</t>
        </is>
      </c>
      <c r="L675" s="5" t="n"/>
      <c r="M675" s="5" t="inlineStr">
        <is>
          <t>SOURCE-094</t>
        </is>
      </c>
    </row>
    <row r="676" ht="34" customHeight="1">
      <c r="A676" s="15" t="inlineStr">
        <is>
          <t>CAST-668</t>
        </is>
      </c>
      <c r="B676" s="18" t="inlineStr">
        <is>
          <t>FILM-099</t>
        </is>
      </c>
      <c r="C676" s="5" t="inlineStr">
        <is>
          <t>Eena Meena Deeka</t>
        </is>
      </c>
      <c r="D676" s="17" t="n">
        <v>1994</v>
      </c>
      <c r="E676" s="5" t="inlineStr">
        <is>
          <t>Kader Khan</t>
        </is>
      </c>
      <c r="F676" s="5" t="inlineStr">
        <is>
          <t>Dabba</t>
        </is>
      </c>
      <c r="G676" s="5" t="inlineStr">
        <is>
          <t>Comic support</t>
        </is>
      </c>
      <c r="H676" s="5" t="inlineStr">
        <is>
          <t>Medium</t>
        </is>
      </c>
      <c r="I676" s="5" t="inlineStr">
        <is>
          <t>A comic companion in the fugitives' half of the film.</t>
        </is>
      </c>
      <c r="J676" s="5" t="inlineStr">
        <is>
          <t>Comic attendance on the chase and the courtship.</t>
        </is>
      </c>
      <c r="K676" s="19" t="inlineStr">
        <is>
          <t>Credited as Dabba, in the comic ranks of a film built on a bungled robbery and a kidnapping.</t>
        </is>
      </c>
      <c r="L676" s="5" t="n"/>
      <c r="M676" s="5" t="inlineStr">
        <is>
          <t>SOURCE-094</t>
        </is>
      </c>
    </row>
    <row r="677" ht="49" customHeight="1">
      <c r="A677" s="15" t="inlineStr">
        <is>
          <t>CAST-669</t>
        </is>
      </c>
      <c r="B677" s="18" t="inlineStr">
        <is>
          <t>FILM-099</t>
        </is>
      </c>
      <c r="C677" s="5" t="inlineStr">
        <is>
          <t>Eena Meena Deeka</t>
        </is>
      </c>
      <c r="D677" s="17" t="n">
        <v>1994</v>
      </c>
      <c r="E677" s="5" t="inlineStr">
        <is>
          <t>Neena Gupta</t>
        </is>
      </c>
      <c r="F677" s="5" t="inlineStr">
        <is>
          <t>Reema</t>
        </is>
      </c>
      <c r="G677" s="5" t="inlineStr">
        <is>
          <t>Supporting</t>
        </is>
      </c>
      <c r="H677" s="5" t="inlineStr">
        <is>
          <t>Minor</t>
        </is>
      </c>
      <c r="I677" s="5" t="inlineStr">
        <is>
          <t>A credited supporting presence in the street world the fugitives hide in.</t>
        </is>
      </c>
      <c r="J677" s="5" t="inlineStr">
        <is>
          <t>No documented part in the pairing.</t>
        </is>
      </c>
      <c r="K677" s="19" t="inlineStr">
        <is>
          <t>Credited as a beggar named Reema, in the film's supporting ranks.</t>
        </is>
      </c>
      <c r="L677" s="5" t="n"/>
      <c r="M677" s="5" t="inlineStr">
        <is>
          <t>SOURCE-094</t>
        </is>
      </c>
    </row>
    <row r="678" ht="64" customHeight="1">
      <c r="A678" s="15" t="inlineStr">
        <is>
          <t>CAST-670</t>
        </is>
      </c>
      <c r="B678" s="18" t="inlineStr">
        <is>
          <t>FILM-100</t>
        </is>
      </c>
      <c r="C678" s="5" t="inlineStr">
        <is>
          <t>Saajan Ka Ghar</t>
        </is>
      </c>
      <c r="D678" s="17" t="n">
        <v>1994</v>
      </c>
      <c r="E678" s="5" t="inlineStr">
        <is>
          <t>Juhi Chawla</t>
        </is>
      </c>
      <c r="F678" s="5" t="inlineStr">
        <is>
          <t>Laxmi Khanna</t>
        </is>
      </c>
      <c r="G678" s="5" t="inlineStr">
        <is>
          <t>Co-lead</t>
        </is>
      </c>
      <c r="H678" s="5" t="inlineStr">
        <is>
          <t>Major</t>
        </is>
      </c>
      <c r="I678" s="5" t="inlineStr">
        <is>
          <t>The wife married to him by the family that has mistreated her since birth, and the person his silence is kept from.</t>
        </is>
      </c>
      <c r="J678" s="5" t="inlineStr">
        <is>
          <t>The whole of the pairing in Romances, a marriage strained by a medical secret and ended, for the article's purposes, in eviction.</t>
        </is>
      </c>
      <c r="K678" s="19" t="inlineStr">
        <is>
          <t>Blamed by her father for her mother's death and raised by an aunt, married to an army officer, told nothing after her miscarriage of the danger a pregnancy carries, and thrown out of her husband's house by his mother to give birth alone.</t>
        </is>
      </c>
      <c r="L678" s="5" t="inlineStr">
        <is>
          <t>Among the most substantial dramatic roles of Juhi Chawla's early career, in the second of her eight films with Kapoor.</t>
        </is>
      </c>
      <c r="M678" s="5" t="inlineStr">
        <is>
          <t>SOURCE-092</t>
        </is>
      </c>
    </row>
    <row r="679" ht="64" customHeight="1">
      <c r="A679" s="15" t="inlineStr">
        <is>
          <t>CAST-671</t>
        </is>
      </c>
      <c r="B679" s="18" t="inlineStr">
        <is>
          <t>FILM-100</t>
        </is>
      </c>
      <c r="C679" s="5" t="inlineStr">
        <is>
          <t>Saajan Ka Ghar</t>
        </is>
      </c>
      <c r="D679" s="17" t="n">
        <v>1994</v>
      </c>
      <c r="E679" s="5" t="inlineStr">
        <is>
          <t>Anupam Kher</t>
        </is>
      </c>
      <c r="F679" s="5" t="inlineStr">
        <is>
          <t>Dhanraj</t>
        </is>
      </c>
      <c r="G679" s="5" t="inlineStr">
        <is>
          <t>Antagonist</t>
        </is>
      </c>
      <c r="H679" s="5" t="inlineStr">
        <is>
          <t>Major</t>
        </is>
      </c>
      <c r="I679" s="5" t="inlineStr">
        <is>
          <t>His wife's father, who hated her from birth and arranges the marriage.</t>
        </is>
      </c>
      <c r="J679" s="5" t="inlineStr">
        <is>
          <t>The whole of the history the marriage is supposed to repair.</t>
        </is>
      </c>
      <c r="K679" s="19" t="inlineStr">
        <is>
          <t>A poor and greedy man whose wife dies in childbirth and who blames the daughter for it, enriched by a lottery the same day, who refuses to look at her face, remarries, and dies in an accident soon after marrying her off.</t>
        </is>
      </c>
      <c r="L679" s="5" t="n"/>
      <c r="M679" s="5" t="inlineStr">
        <is>
          <t>SOURCE-092</t>
        </is>
      </c>
    </row>
    <row r="680" ht="49" customHeight="1">
      <c r="A680" s="15" t="inlineStr">
        <is>
          <t>CAST-672</t>
        </is>
      </c>
      <c r="B680" s="18" t="inlineStr">
        <is>
          <t>FILM-100</t>
        </is>
      </c>
      <c r="C680" s="5" t="inlineStr">
        <is>
          <t>Saajan Ka Ghar</t>
        </is>
      </c>
      <c r="D680" s="17" t="n">
        <v>1994</v>
      </c>
      <c r="E680" s="5" t="inlineStr">
        <is>
          <t>Bindu</t>
        </is>
      </c>
      <c r="F680" s="5" t="inlineStr">
        <is>
          <t>Mrs. Dhanraj</t>
        </is>
      </c>
      <c r="G680" s="5" t="inlineStr">
        <is>
          <t>Antagonist</t>
        </is>
      </c>
      <c r="H680" s="5" t="inlineStr">
        <is>
          <t>Major</t>
        </is>
      </c>
      <c r="I680" s="5" t="inlineStr">
        <is>
          <t>His wife's stepmother, part of the household that treated her as bad luck.</t>
        </is>
      </c>
      <c r="J680" s="5" t="inlineStr">
        <is>
          <t>The second half of the cruelty the marriage is an escape from.</t>
        </is>
      </c>
      <c r="K680" s="19" t="inlineStr">
        <is>
          <t>Dhanraj's second wife and Suraj's mother, who holds Laxmi responsible for the family's misfortunes and beats her after her son's accident.</t>
        </is>
      </c>
      <c r="L680" s="5" t="n"/>
      <c r="M680" s="5" t="inlineStr">
        <is>
          <t>SOURCE-092</t>
        </is>
      </c>
    </row>
    <row r="681" ht="49" customHeight="1">
      <c r="A681" s="15" t="inlineStr">
        <is>
          <t>CAST-673</t>
        </is>
      </c>
      <c r="B681" s="18" t="inlineStr">
        <is>
          <t>FILM-100</t>
        </is>
      </c>
      <c r="C681" s="5" t="inlineStr">
        <is>
          <t>Saajan Ka Ghar</t>
        </is>
      </c>
      <c r="D681" s="17" t="n">
        <v>1994</v>
      </c>
      <c r="E681" s="5" t="inlineStr">
        <is>
          <t>Shubha Khote</t>
        </is>
      </c>
      <c r="F681" s="5" t="inlineStr">
        <is>
          <t>Kamla Khanna</t>
        </is>
      </c>
      <c r="G681" s="5" t="inlineStr">
        <is>
          <t>Antagonist</t>
        </is>
      </c>
      <c r="H681" s="5" t="inlineStr">
        <is>
          <t>Major</t>
        </is>
      </c>
      <c r="I681" s="5" t="inlineStr">
        <is>
          <t>His own mother, who turns his wife out of the house while he is away on duty.</t>
        </is>
      </c>
      <c r="J681" s="5" t="inlineStr">
        <is>
          <t>The family power that finishes what the secret began.</t>
        </is>
      </c>
      <c r="K681" s="19" t="inlineStr">
        <is>
          <t>Amar's mother, who evicts her pregnant daughter-in-law from the house after her son leaves for duty.</t>
        </is>
      </c>
      <c r="L681" s="5" t="n"/>
      <c r="M681" s="5" t="inlineStr">
        <is>
          <t>SOURCE-092</t>
        </is>
      </c>
    </row>
    <row r="682" ht="64" customHeight="1">
      <c r="A682" s="15" t="inlineStr">
        <is>
          <t>CAST-674</t>
        </is>
      </c>
      <c r="B682" s="18" t="inlineStr">
        <is>
          <t>FILM-100</t>
        </is>
      </c>
      <c r="C682" s="5" t="inlineStr">
        <is>
          <t>Saajan Ka Ghar</t>
        </is>
      </c>
      <c r="D682" s="17" t="n">
        <v>1994</v>
      </c>
      <c r="E682" s="5" t="inlineStr">
        <is>
          <t>Deepak Tijori</t>
        </is>
      </c>
      <c r="F682" s="5" t="inlineStr">
        <is>
          <t>Suraj</t>
        </is>
      </c>
      <c r="G682" s="5" t="inlineStr">
        <is>
          <t>Family</t>
        </is>
      </c>
      <c r="H682" s="5" t="inlineStr">
        <is>
          <t>Major</t>
        </is>
      </c>
      <c r="I682" s="5" t="inlineStr">
        <is>
          <t>His wife's half-brother, and the one member of her own family who defends her.</t>
        </is>
      </c>
      <c r="J682" s="5" t="inlineStr">
        <is>
          <t>The only affection the heroine has before the marriage.</t>
        </is>
      </c>
      <c r="K682" s="19" t="inlineStr">
        <is>
          <t>Dhanraj's son by his second wife, close to the half-sister his parents call unlucky, who defies his mother to take a rakhi from her and loses an arm in an accident she is then blamed for.</t>
        </is>
      </c>
      <c r="L682" s="5" t="n"/>
      <c r="M682" s="5" t="inlineStr">
        <is>
          <t>SOURCE-092</t>
        </is>
      </c>
    </row>
    <row r="683" ht="34" customHeight="1">
      <c r="A683" s="15" t="inlineStr">
        <is>
          <t>CAST-675</t>
        </is>
      </c>
      <c r="B683" s="18" t="inlineStr">
        <is>
          <t>FILM-100</t>
        </is>
      </c>
      <c r="C683" s="5" t="inlineStr">
        <is>
          <t>Saajan Ka Ghar</t>
        </is>
      </c>
      <c r="D683" s="17" t="n">
        <v>1994</v>
      </c>
      <c r="E683" s="5" t="inlineStr">
        <is>
          <t>Alok Nath</t>
        </is>
      </c>
      <c r="F683" s="5" t="inlineStr">
        <is>
          <t>Ram Khanna</t>
        </is>
      </c>
      <c r="G683" s="5" t="inlineStr">
        <is>
          <t>Family</t>
        </is>
      </c>
      <c r="H683" s="5" t="inlineStr">
        <is>
          <t>Medium</t>
        </is>
      </c>
      <c r="I683" s="5" t="inlineStr">
        <is>
          <t>Credited in Kapoor's character's own family.</t>
        </is>
      </c>
      <c r="J683" s="5" t="inlineStr">
        <is>
          <t>Part of the household the wife is finally evicted from.</t>
        </is>
      </c>
      <c r="K683" s="19" t="inlineStr">
        <is>
          <t>Credited as Ram Khanna, of the family the army officer brings his wife into.</t>
        </is>
      </c>
      <c r="L683" s="5" t="n"/>
      <c r="M683" s="5" t="inlineStr">
        <is>
          <t>SOURCE-092</t>
        </is>
      </c>
    </row>
    <row r="684" ht="34" customHeight="1">
      <c r="A684" s="15" t="inlineStr">
        <is>
          <t>CAST-676</t>
        </is>
      </c>
      <c r="B684" s="18" t="inlineStr">
        <is>
          <t>FILM-100</t>
        </is>
      </c>
      <c r="C684" s="5" t="inlineStr">
        <is>
          <t>Saajan Ka Ghar</t>
        </is>
      </c>
      <c r="D684" s="17" t="n">
        <v>1994</v>
      </c>
      <c r="E684" s="5" t="inlineStr">
        <is>
          <t>Mohnish Bahl</t>
        </is>
      </c>
      <c r="F684" s="5" t="inlineStr">
        <is>
          <t>Vicky</t>
        </is>
      </c>
      <c r="G684" s="5" t="inlineStr">
        <is>
          <t>Supporting</t>
        </is>
      </c>
      <c r="H684" s="5" t="inlineStr">
        <is>
          <t>Medium</t>
        </is>
      </c>
      <c r="I684" s="5" t="inlineStr">
        <is>
          <t>A credited supporting figure around the two households.</t>
        </is>
      </c>
      <c r="J684" s="5" t="inlineStr">
        <is>
          <t>No documented part in the pairing.</t>
        </is>
      </c>
      <c r="K684" s="19" t="inlineStr">
        <is>
          <t>Credited as Vicky, in the supporting ranks of the film.</t>
        </is>
      </c>
      <c r="L684" s="5" t="n"/>
      <c r="M684" s="5" t="inlineStr">
        <is>
          <t>SOURCE-092</t>
        </is>
      </c>
    </row>
    <row r="685" ht="34" customHeight="1">
      <c r="A685" s="15" t="inlineStr">
        <is>
          <t>CAST-677</t>
        </is>
      </c>
      <c r="B685" s="18" t="inlineStr">
        <is>
          <t>FILM-100</t>
        </is>
      </c>
      <c r="C685" s="5" t="inlineStr">
        <is>
          <t>Saajan Ka Ghar</t>
        </is>
      </c>
      <c r="D685" s="17" t="n">
        <v>1994</v>
      </c>
      <c r="E685" s="5" t="inlineStr">
        <is>
          <t>Farheen</t>
        </is>
      </c>
      <c r="F685" s="5" t="inlineStr">
        <is>
          <t>Kiran</t>
        </is>
      </c>
      <c r="G685" s="5" t="inlineStr">
        <is>
          <t>Supporting</t>
        </is>
      </c>
      <c r="H685" s="5" t="inlineStr">
        <is>
          <t>Medium</t>
        </is>
      </c>
      <c r="I685" s="5" t="inlineStr">
        <is>
          <t>Credited as the film's second woman; the summary does not place her.</t>
        </is>
      </c>
      <c r="J685" s="5" t="inlineStr">
        <is>
          <t>No documented part in the pairing.</t>
        </is>
      </c>
      <c r="K685" s="19" t="inlineStr">
        <is>
          <t>Credited as Kiran, the second female part in a film centred on one marriage.</t>
        </is>
      </c>
      <c r="L685" s="5" t="n"/>
      <c r="M685" s="5" t="inlineStr">
        <is>
          <t>SOURCE-092</t>
        </is>
      </c>
    </row>
    <row r="686" ht="34" customHeight="1">
      <c r="A686" s="15" t="inlineStr">
        <is>
          <t>CAST-678</t>
        </is>
      </c>
      <c r="B686" s="18" t="inlineStr">
        <is>
          <t>FILM-100</t>
        </is>
      </c>
      <c r="C686" s="5" t="inlineStr">
        <is>
          <t>Saajan Ka Ghar</t>
        </is>
      </c>
      <c r="D686" s="17" t="n">
        <v>1994</v>
      </c>
      <c r="E686" s="5" t="inlineStr">
        <is>
          <t>Johnny Lever</t>
        </is>
      </c>
      <c r="F686" s="5" t="inlineStr">
        <is>
          <t>Dilip Bose / Champa Bose</t>
        </is>
      </c>
      <c r="G686" s="5" t="inlineStr">
        <is>
          <t>Comic support</t>
        </is>
      </c>
      <c r="H686" s="5" t="inlineStr">
        <is>
          <t>Minor</t>
        </is>
      </c>
      <c r="I686" s="5" t="inlineStr">
        <is>
          <t>The comic figure of the film, in a double identity.</t>
        </is>
      </c>
      <c r="J686" s="5" t="inlineStr">
        <is>
          <t>Comic relief against a marriage in difficulty.</t>
        </is>
      </c>
      <c r="K686" s="19" t="inlineStr">
        <is>
          <t>Credited in a double role as Dilip Bose and Champa Bose, the film's comic turn.</t>
        </is>
      </c>
      <c r="L686" s="5" t="n"/>
      <c r="M686" s="5" t="inlineStr">
        <is>
          <t>SOURCE-092</t>
        </is>
      </c>
    </row>
    <row r="687" ht="49" customHeight="1">
      <c r="A687" s="15" t="inlineStr">
        <is>
          <t>CAST-686</t>
        </is>
      </c>
      <c r="B687" s="18" t="inlineStr">
        <is>
          <t>FILM-101</t>
        </is>
      </c>
      <c r="C687" s="5" t="inlineStr">
        <is>
          <t>Pehla Pehla Pyar</t>
        </is>
      </c>
      <c r="D687" s="17" t="n">
        <v>1994</v>
      </c>
      <c r="E687" s="5" t="inlineStr">
        <is>
          <t>Tabu</t>
        </is>
      </c>
      <c r="F687" s="5" t="inlineStr">
        <is>
          <t>Sapna</t>
        </is>
      </c>
      <c r="G687" s="5" t="inlineStr">
        <is>
          <t>Co-lead</t>
        </is>
      </c>
      <c r="H687" s="5" t="inlineStr">
        <is>
          <t>Major</t>
        </is>
      </c>
      <c r="I687" s="5" t="inlineStr">
        <is>
          <t>The runaway Raj first wants rid of and then falls in love with and flees alongside.</t>
        </is>
      </c>
      <c r="J687" s="5" t="inlineStr">
        <is>
          <t>The whole of the pairing in Romances, in which hostility precedes attachment.</t>
        </is>
      </c>
      <c r="K687" s="19" t="inlineStr">
        <is>
          <t>A young woman who has run from an aristocratic household she found intolerable, taken in reluctantly by Raj, and pursued by a family reward for word of her whereabouts.</t>
        </is>
      </c>
      <c r="L687" s="5" t="n"/>
      <c r="M687" s="5" t="inlineStr">
        <is>
          <t>SOURCE-093</t>
        </is>
      </c>
    </row>
    <row r="688" ht="49" customHeight="1">
      <c r="A688" s="15" t="inlineStr">
        <is>
          <t>CAST-687</t>
        </is>
      </c>
      <c r="B688" s="18" t="inlineStr">
        <is>
          <t>FILM-101</t>
        </is>
      </c>
      <c r="C688" s="5" t="inlineStr">
        <is>
          <t>Pehla Pehla Pyar</t>
        </is>
      </c>
      <c r="D688" s="17" t="n">
        <v>1994</v>
      </c>
      <c r="E688" s="5" t="inlineStr">
        <is>
          <t>Amrish Puri</t>
        </is>
      </c>
      <c r="F688" s="5" t="inlineStr">
        <is>
          <t>Hukum Singh</t>
        </is>
      </c>
      <c r="G688" s="5" t="inlineStr">
        <is>
          <t>Antagonist</t>
        </is>
      </c>
      <c r="H688" s="5" t="inlineStr">
        <is>
          <t>Major</t>
        </is>
      </c>
      <c r="I688" s="5" t="inlineStr">
        <is>
          <t>The aristocratic power the runaway is fleeing, and the pursuit the couple ends up running from.</t>
        </is>
      </c>
      <c r="J688" s="5" t="inlineStr">
        <is>
          <t>The external opposition to the pairing.</t>
        </is>
      </c>
      <c r="K688" s="19" t="inlineStr">
        <is>
          <t>Credited as Hukum Singh, with Radha Seth's Rani Maa, the household authority a runaway heroine is escaping; the article carries no plot section.</t>
        </is>
      </c>
      <c r="L688" s="5" t="n"/>
      <c r="M688" s="5" t="inlineStr">
        <is>
          <t>SOURCE-093</t>
        </is>
      </c>
    </row>
    <row r="689" ht="34" customHeight="1">
      <c r="A689" s="15" t="inlineStr">
        <is>
          <t>CAST-688</t>
        </is>
      </c>
      <c r="B689" s="18" t="inlineStr">
        <is>
          <t>FILM-101</t>
        </is>
      </c>
      <c r="C689" s="5" t="inlineStr">
        <is>
          <t>Pehla Pehla Pyar</t>
        </is>
      </c>
      <c r="D689" s="17" t="n">
        <v>1994</v>
      </c>
      <c r="E689" s="5" t="inlineStr">
        <is>
          <t>Anupam Kher</t>
        </is>
      </c>
      <c r="F689" s="5" t="inlineStr">
        <is>
          <t>Anand</t>
        </is>
      </c>
      <c r="G689" s="5" t="inlineStr">
        <is>
          <t>Friend</t>
        </is>
      </c>
      <c r="H689" s="5" t="inlineStr">
        <is>
          <t>Major</t>
        </is>
      </c>
      <c r="I689" s="5" t="inlineStr">
        <is>
          <t>Credited second after Kapoor, in the circle around him.</t>
        </is>
      </c>
      <c r="J689" s="5" t="inlineStr">
        <is>
          <t>Attends the courtship rather than driving it.</t>
        </is>
      </c>
      <c r="K689" s="19" t="inlineStr">
        <is>
          <t>Credited as Anand, with Tiku Talsania as his boss, high in the cast of a film whose article gives no synopsis.</t>
        </is>
      </c>
      <c r="L689" s="5" t="n"/>
      <c r="M689" s="5" t="inlineStr">
        <is>
          <t>SOURCE-093</t>
        </is>
      </c>
    </row>
    <row r="690" ht="49" customHeight="1">
      <c r="A690" s="15" t="inlineStr">
        <is>
          <t>CAST-689</t>
        </is>
      </c>
      <c r="B690" s="18" t="inlineStr">
        <is>
          <t>FILM-101</t>
        </is>
      </c>
      <c r="C690" s="5" t="inlineStr">
        <is>
          <t>Pehla Pehla Pyar</t>
        </is>
      </c>
      <c r="D690" s="17" t="n">
        <v>1994</v>
      </c>
      <c r="E690" s="5" t="inlineStr">
        <is>
          <t>Gulshan Grover</t>
        </is>
      </c>
      <c r="F690" s="5" t="inlineStr">
        <is>
          <t>Shakti Singh</t>
        </is>
      </c>
      <c r="G690" s="5" t="inlineStr">
        <is>
          <t>Antagonist</t>
        </is>
      </c>
      <c r="H690" s="5" t="inlineStr">
        <is>
          <t>Major</t>
        </is>
      </c>
      <c r="I690" s="5" t="inlineStr">
        <is>
          <t>Credited among the aristocratic household's enforcers.</t>
        </is>
      </c>
      <c r="J690" s="5" t="inlineStr">
        <is>
          <t>Part of the pursuit the couple flees.</t>
        </is>
      </c>
      <c r="K690" s="19" t="inlineStr">
        <is>
          <t>Credited as Shakti Singh, sharing the surname of the film's aristocratic family, in the opposition to the runaway couple.</t>
        </is>
      </c>
      <c r="L690" s="5" t="n"/>
      <c r="M690" s="5" t="inlineStr">
        <is>
          <t>SOURCE-093</t>
        </is>
      </c>
    </row>
    <row r="691" ht="64" customHeight="1">
      <c r="A691" s="15" t="inlineStr">
        <is>
          <t>CAST-690</t>
        </is>
      </c>
      <c r="B691" s="18" t="inlineStr">
        <is>
          <t>FILM-101</t>
        </is>
      </c>
      <c r="C691" s="5" t="inlineStr">
        <is>
          <t>Pehla Pehla Pyar</t>
        </is>
      </c>
      <c r="D691" s="17" t="n">
        <v>1994</v>
      </c>
      <c r="E691" s="5" t="inlineStr">
        <is>
          <t>Kader Khan</t>
        </is>
      </c>
      <c r="F691" s="5" t="inlineStr">
        <is>
          <t>Dharam Pal, and five further parts</t>
        </is>
      </c>
      <c r="G691" s="5" t="inlineStr">
        <is>
          <t>Comic support</t>
        </is>
      </c>
      <c r="H691" s="5" t="inlineStr">
        <is>
          <t>Medium</t>
        </is>
      </c>
      <c r="I691" s="5" t="inlineStr">
        <is>
          <t>Crosses the couple's flight in a series of unrelated guises.</t>
        </is>
      </c>
      <c r="J691" s="5" t="inlineStr">
        <is>
          <t>The comic register of the journey the romance is conducted on.</t>
        </is>
      </c>
      <c r="K691" s="19" t="inlineStr">
        <is>
          <t>Credited in six parts at once, as Dharam Pal and as a truck driver, a grocer, a nawab, a train passenger and a street-stall owner, the running comic device of a film about two people on the move.</t>
        </is>
      </c>
      <c r="L691" s="5" t="n"/>
      <c r="M691" s="5" t="inlineStr">
        <is>
          <t>SOURCE-093</t>
        </is>
      </c>
    </row>
    <row r="692" ht="34" customHeight="1">
      <c r="A692" s="15" t="inlineStr">
        <is>
          <t>CAST-691</t>
        </is>
      </c>
      <c r="B692" s="18" t="inlineStr">
        <is>
          <t>FILM-101</t>
        </is>
      </c>
      <c r="C692" s="5" t="inlineStr">
        <is>
          <t>Pehla Pehla Pyar</t>
        </is>
      </c>
      <c r="D692" s="17" t="n">
        <v>1994</v>
      </c>
      <c r="E692" s="5" t="inlineStr">
        <is>
          <t>Radha Seth</t>
        </is>
      </c>
      <c r="F692" s="5" t="inlineStr">
        <is>
          <t>Rani Maa</t>
        </is>
      </c>
      <c r="G692" s="5" t="inlineStr">
        <is>
          <t>Family</t>
        </is>
      </c>
      <c r="H692" s="5" t="inlineStr">
        <is>
          <t>Medium</t>
        </is>
      </c>
      <c r="I692" s="5" t="inlineStr">
        <is>
          <t>The matriarch of the household the heroine has run from.</t>
        </is>
      </c>
      <c r="J692" s="5" t="inlineStr">
        <is>
          <t>Part of the family opposition.</t>
        </is>
      </c>
      <c r="K692" s="19" t="inlineStr">
        <is>
          <t>Credited as Rani Maa, the titled matriarch of the aristocratic family, in an article with no plot text.</t>
        </is>
      </c>
      <c r="L692" s="5" t="n"/>
      <c r="M692" s="5" t="inlineStr">
        <is>
          <t>SOURCE-093</t>
        </is>
      </c>
    </row>
    <row r="693" ht="34" customHeight="1">
      <c r="A693" s="15" t="inlineStr">
        <is>
          <t>CAST-692</t>
        </is>
      </c>
      <c r="B693" s="18" t="inlineStr">
        <is>
          <t>FILM-101</t>
        </is>
      </c>
      <c r="C693" s="5" t="inlineStr">
        <is>
          <t>Pehla Pehla Pyar</t>
        </is>
      </c>
      <c r="D693" s="17" t="n">
        <v>1994</v>
      </c>
      <c r="E693" s="5" t="inlineStr">
        <is>
          <t>Tiku Talsania</t>
        </is>
      </c>
      <c r="F693" s="5" t="inlineStr">
        <is>
          <t>Anand's boss</t>
        </is>
      </c>
      <c r="G693" s="5" t="inlineStr">
        <is>
          <t>Comic support</t>
        </is>
      </c>
      <c r="H693" s="5" t="inlineStr">
        <is>
          <t>Minor</t>
        </is>
      </c>
      <c r="I693" s="5" t="inlineStr">
        <is>
          <t>Credited only by relation to Kapoor's friend.</t>
        </is>
      </c>
      <c r="J693" s="5" t="inlineStr">
        <is>
          <t>No documented part in the pairing.</t>
        </is>
      </c>
      <c r="K693" s="19" t="inlineStr">
        <is>
          <t>Credited as Anand's boss, in the comic ranks of an undocumented plot.</t>
        </is>
      </c>
      <c r="L693" s="5" t="n"/>
      <c r="M693" s="5" t="inlineStr">
        <is>
          <t>SOURCE-093</t>
        </is>
      </c>
    </row>
    <row r="694" ht="64" customHeight="1">
      <c r="A694" s="15" t="inlineStr">
        <is>
          <t>CAST-693</t>
        </is>
      </c>
      <c r="B694" s="18" t="inlineStr">
        <is>
          <t>FILM-102</t>
        </is>
      </c>
      <c r="C694" s="5" t="inlineStr">
        <is>
          <t>Prem Yog</t>
        </is>
      </c>
      <c r="D694" s="17" t="n">
        <v>1994</v>
      </c>
      <c r="E694" s="5" t="inlineStr">
        <is>
          <t>Madhoo</t>
        </is>
      </c>
      <c r="F694" s="5" t="inlineStr">
        <is>
          <t>Anita Sethi</t>
        </is>
      </c>
      <c r="G694" s="5" t="inlineStr">
        <is>
          <t>Co-lead</t>
        </is>
      </c>
      <c r="H694" s="5" t="inlineStr">
        <is>
          <t>Major</t>
        </is>
      </c>
      <c r="I694" s="5" t="inlineStr">
        <is>
          <t>The singer he meets while working as a waiter, who loves him and is angry to learn he concealed being an heir.</t>
        </is>
      </c>
      <c r="J694" s="5" t="inlineStr">
        <is>
          <t>The whole of the pairing in Romances, in which the hero's rank is the secret rather than the obstacle.</t>
        </is>
      </c>
      <c r="K694" s="19" t="inlineStr">
        <is>
          <t>A dancer and singer, daughter of a wealthy man who wants her married to Jimmy Narang, who falls in love with a palace runaway working as a waiter and learns from a rival what he really is.</t>
        </is>
      </c>
      <c r="L694" s="5" t="n"/>
      <c r="M694" s="5" t="inlineStr">
        <is>
          <t>SOURCE-095</t>
        </is>
      </c>
    </row>
    <row r="695" ht="79" customHeight="1">
      <c r="A695" s="15" t="inlineStr">
        <is>
          <t>CAST-694</t>
        </is>
      </c>
      <c r="B695" s="18" t="inlineStr">
        <is>
          <t>FILM-102</t>
        </is>
      </c>
      <c r="C695" s="5" t="inlineStr">
        <is>
          <t>Prem Yog</t>
        </is>
      </c>
      <c r="D695" s="17" t="n">
        <v>1994</v>
      </c>
      <c r="E695" s="5" t="inlineStr">
        <is>
          <t>Shammi Kapoor</t>
        </is>
      </c>
      <c r="F695" s="5" t="inlineStr">
        <is>
          <t>Maharaj Chhatrapal Singh</t>
        </is>
      </c>
      <c r="G695" s="5" t="inlineStr">
        <is>
          <t>Family</t>
        </is>
      </c>
      <c r="H695" s="5" t="inlineStr">
        <is>
          <t>Major</t>
        </is>
      </c>
      <c r="I695" s="5" t="inlineStr">
        <is>
          <t>The father who shuts him inside the palace for his whole childhood and arranges his marriage; played by Kapoor's own uncle, the fourth of their five films together.</t>
        </is>
      </c>
      <c r="J695" s="5" t="inlineStr">
        <is>
          <t>The whole of the external opposition: his arranged match is what the hero runs from.</t>
        </is>
      </c>
      <c r="K695" s="19" t="inlineStr">
        <is>
          <t>The Maharaja of Ramgarh, told by the palace astrologer that he will be the last of its rulers and that no throne is destined for his son, who responds by raising the boy in seclusion inside the palace walls.</t>
        </is>
      </c>
      <c r="L695" s="5" t="n"/>
      <c r="M695" s="5" t="inlineStr">
        <is>
          <t>SOURCE-095</t>
        </is>
      </c>
    </row>
    <row r="696" ht="34" customHeight="1">
      <c r="A696" s="15" t="inlineStr">
        <is>
          <t>CAST-695</t>
        </is>
      </c>
      <c r="B696" s="18" t="inlineStr">
        <is>
          <t>FILM-102</t>
        </is>
      </c>
      <c r="C696" s="5" t="inlineStr">
        <is>
          <t>Prem Yog</t>
        </is>
      </c>
      <c r="D696" s="17" t="n">
        <v>1994</v>
      </c>
      <c r="E696" s="5" t="inlineStr">
        <is>
          <t>Shakti Kapoor</t>
        </is>
      </c>
      <c r="F696" s="5" t="inlineStr">
        <is>
          <t>Gulshan</t>
        </is>
      </c>
      <c r="G696" s="5" t="inlineStr">
        <is>
          <t>Friend</t>
        </is>
      </c>
      <c r="H696" s="5" t="inlineStr">
        <is>
          <t>Major</t>
        </is>
      </c>
      <c r="I696" s="5" t="inlineStr">
        <is>
          <t>His bodyguard, who runs away from the palace with him.</t>
        </is>
      </c>
      <c r="J696" s="5" t="inlineStr">
        <is>
          <t>The companion to the flight in which the romance happens.</t>
        </is>
      </c>
      <c r="K696" s="19" t="inlineStr">
        <is>
          <t>The prince's bodyguard, who leaves the palace with him rather than keep him in it, and goes with him to Bombay.</t>
        </is>
      </c>
      <c r="L696" s="5" t="n"/>
      <c r="M696" s="5" t="inlineStr">
        <is>
          <t>SOURCE-095</t>
        </is>
      </c>
    </row>
    <row r="697" ht="34" customHeight="1">
      <c r="A697" s="15" t="inlineStr">
        <is>
          <t>CAST-696</t>
        </is>
      </c>
      <c r="B697" s="18" t="inlineStr">
        <is>
          <t>FILM-102</t>
        </is>
      </c>
      <c r="C697" s="5" t="inlineStr">
        <is>
          <t>Prem Yog</t>
        </is>
      </c>
      <c r="D697" s="17" t="n">
        <v>1994</v>
      </c>
      <c r="E697" s="5" t="inlineStr">
        <is>
          <t>Prem Chopra</t>
        </is>
      </c>
      <c r="F697" s="5" t="inlineStr">
        <is>
          <t>Sethi</t>
        </is>
      </c>
      <c r="G697" s="5" t="inlineStr">
        <is>
          <t>Family</t>
        </is>
      </c>
      <c r="H697" s="5" t="inlineStr">
        <is>
          <t>Major</t>
        </is>
      </c>
      <c r="I697" s="5" t="inlineStr">
        <is>
          <t>The heroine's wealthy father, who wants her married elsewhere.</t>
        </is>
      </c>
      <c r="J697" s="5" t="inlineStr">
        <is>
          <t>The second external opposition, on the heroine's side.</t>
        </is>
      </c>
      <c r="K697" s="19" t="inlineStr">
        <is>
          <t>Anita's father, a wealthy man who intends her for the son of the wealthy Mr. Narang rather than a restaurant waiter.</t>
        </is>
      </c>
      <c r="L697" s="5" t="n"/>
      <c r="M697" s="5" t="inlineStr">
        <is>
          <t>SOURCE-095</t>
        </is>
      </c>
    </row>
    <row r="698" ht="49" customHeight="1">
      <c r="A698" s="15" t="inlineStr">
        <is>
          <t>CAST-697</t>
        </is>
      </c>
      <c r="B698" s="18" t="inlineStr">
        <is>
          <t>FILM-102</t>
        </is>
      </c>
      <c r="C698" s="5" t="inlineStr">
        <is>
          <t>Prem Yog</t>
        </is>
      </c>
      <c r="D698" s="17" t="n">
        <v>1994</v>
      </c>
      <c r="E698" s="5" t="inlineStr">
        <is>
          <t>Mohnish Behl</t>
        </is>
      </c>
      <c r="F698" s="5" t="inlineStr">
        <is>
          <t>Jimmy Narang</t>
        </is>
      </c>
      <c r="G698" s="5" t="inlineStr">
        <is>
          <t>Romantic rival</t>
        </is>
      </c>
      <c r="H698" s="5" t="inlineStr">
        <is>
          <t>Major</t>
        </is>
      </c>
      <c r="I698" s="5" t="inlineStr">
        <is>
          <t>The rich suitor the heroine's father prefers, and the rival who exposes the hero's identity.</t>
        </is>
      </c>
      <c r="J698" s="5" t="inlineStr">
        <is>
          <t>The arranged alternative and the agent of the disclosure that breaks the romance open.</t>
        </is>
      </c>
      <c r="K698" s="19" t="inlineStr">
        <is>
          <t>The son of the wealthy Narang, intended for Anita by her father, and the rival whose revelation of Raju's rank turns her against him.</t>
        </is>
      </c>
      <c r="L698" s="5" t="n"/>
      <c r="M698" s="5" t="inlineStr">
        <is>
          <t>SOURCE-095</t>
        </is>
      </c>
    </row>
    <row r="699" ht="34" customHeight="1">
      <c r="A699" s="15" t="inlineStr">
        <is>
          <t>CAST-698</t>
        </is>
      </c>
      <c r="B699" s="18" t="inlineStr">
        <is>
          <t>FILM-102</t>
        </is>
      </c>
      <c r="C699" s="5" t="inlineStr">
        <is>
          <t>Prem Yog</t>
        </is>
      </c>
      <c r="D699" s="17" t="n">
        <v>1994</v>
      </c>
      <c r="E699" s="5" t="inlineStr">
        <is>
          <t>Raza Murad</t>
        </is>
      </c>
      <c r="F699" s="5" t="inlineStr">
        <is>
          <t>Yusuf</t>
        </is>
      </c>
      <c r="G699" s="5" t="inlineStr">
        <is>
          <t>Antagonist</t>
        </is>
      </c>
      <c r="H699" s="5" t="inlineStr">
        <is>
          <t>Medium</t>
        </is>
      </c>
      <c r="I699" s="5" t="inlineStr">
        <is>
          <t>Credited among the film's opposition.</t>
        </is>
      </c>
      <c r="J699" s="5" t="inlineStr">
        <is>
          <t>No documented part in the pairing.</t>
        </is>
      </c>
      <c r="K699" s="19" t="inlineStr">
        <is>
          <t>Credited as Yusuf, with Tinnu Anand's Ganpat, in the ranks against the runaway prince.</t>
        </is>
      </c>
      <c r="L699" s="5" t="n"/>
      <c r="M699" s="5" t="inlineStr">
        <is>
          <t>SOURCE-095</t>
        </is>
      </c>
    </row>
    <row r="700" ht="34" customHeight="1">
      <c r="A700" s="15" t="inlineStr">
        <is>
          <t>CAST-699</t>
        </is>
      </c>
      <c r="B700" s="18" t="inlineStr">
        <is>
          <t>FILM-102</t>
        </is>
      </c>
      <c r="C700" s="5" t="inlineStr">
        <is>
          <t>Prem Yog</t>
        </is>
      </c>
      <c r="D700" s="17" t="n">
        <v>1994</v>
      </c>
      <c r="E700" s="5" t="inlineStr">
        <is>
          <t>Johnny Lever</t>
        </is>
      </c>
      <c r="F700" s="5" t="inlineStr">
        <is>
          <t>Raghu Qureshi</t>
        </is>
      </c>
      <c r="G700" s="5" t="inlineStr">
        <is>
          <t>Comic support</t>
        </is>
      </c>
      <c r="H700" s="5" t="inlineStr">
        <is>
          <t>Medium</t>
        </is>
      </c>
      <c r="I700" s="5" t="inlineStr">
        <is>
          <t>The comic figure of the hero's Bombay life.</t>
        </is>
      </c>
      <c r="J700" s="5" t="inlineStr">
        <is>
          <t>Comic attendance on the courtship.</t>
        </is>
      </c>
      <c r="K700" s="19" t="inlineStr">
        <is>
          <t>Credited as Raghu Qureshi, the comic part in the city half of a palace-runaway plot.</t>
        </is>
      </c>
      <c r="L700" s="5" t="n"/>
      <c r="M700" s="5" t="inlineStr">
        <is>
          <t>SOURCE-095</t>
        </is>
      </c>
    </row>
    <row r="701" ht="64" customHeight="1">
      <c r="A701" s="15" t="inlineStr">
        <is>
          <t>CAST-700</t>
        </is>
      </c>
      <c r="B701" s="18" t="inlineStr">
        <is>
          <t>FILM-103</t>
        </is>
      </c>
      <c r="C701" s="5" t="inlineStr">
        <is>
          <t>Ghar Ki Izzat</t>
        </is>
      </c>
      <c r="D701" s="17" t="n">
        <v>1994</v>
      </c>
      <c r="E701" s="5" t="inlineStr">
        <is>
          <t>Juhi Chawla</t>
        </is>
      </c>
      <c r="F701" s="5" t="inlineStr">
        <is>
          <t>Geeta</t>
        </is>
      </c>
      <c r="G701" s="5" t="inlineStr">
        <is>
          <t>Co-lead</t>
        </is>
      </c>
      <c r="H701" s="5" t="inlineStr">
        <is>
          <t>Major</t>
        </is>
      </c>
      <c r="I701" s="5" t="inlineStr">
        <is>
          <t>The child widow living in his brother's household, with whom he bickers and whom he loves.</t>
        </is>
      </c>
      <c r="J701" s="5" t="inlineStr">
        <is>
          <t>The whole of the pairing in Romances, a widow remarriage the family's collapse finally permits.</t>
        </is>
      </c>
      <c r="K701" s="19" t="inlineStr">
        <is>
          <t>Seeta's younger sister, widowed as a child and living with her sister's family, always disputing with Mohan and in love with him, denounced as a widow by the incoming wives and sent to her in-laws' to be tormented.</t>
        </is>
      </c>
      <c r="L701" s="5" t="n"/>
      <c r="M701" s="5" t="inlineStr">
        <is>
          <t>SOURCE-096</t>
        </is>
      </c>
    </row>
    <row r="702" ht="49" customHeight="1">
      <c r="A702" s="15" t="inlineStr">
        <is>
          <t>CAST-701</t>
        </is>
      </c>
      <c r="B702" s="18" t="inlineStr">
        <is>
          <t>FILM-103</t>
        </is>
      </c>
      <c r="C702" s="5" t="inlineStr">
        <is>
          <t>Ghar Ki Izzat</t>
        </is>
      </c>
      <c r="D702" s="17" t="n">
        <v>1994</v>
      </c>
      <c r="E702" s="5" t="inlineStr">
        <is>
          <t>Kader Khan</t>
        </is>
      </c>
      <c r="F702" s="5" t="inlineStr">
        <is>
          <t>Ram Kumar</t>
        </is>
      </c>
      <c r="G702" s="5" t="inlineStr">
        <is>
          <t>Family</t>
        </is>
      </c>
      <c r="H702" s="5" t="inlineStr">
        <is>
          <t>Major</t>
        </is>
      </c>
      <c r="I702" s="5" t="inlineStr">
        <is>
          <t>His eldest brother, who raised and educated him and holds the joint family together.</t>
        </is>
      </c>
      <c r="J702" s="5" t="inlineStr">
        <is>
          <t>The household authority the match has to survive.</t>
        </is>
      </c>
      <c r="K702" s="19" t="inlineStr">
        <is>
          <t>Top-billed as the paterfamilias who works, earns and civilises his three brothers, and who collapses and divides the property when the family's solidarity breaks.</t>
        </is>
      </c>
      <c r="L702" s="5" t="n"/>
      <c r="M702" s="5" t="inlineStr">
        <is>
          <t>SOURCE-096</t>
        </is>
      </c>
    </row>
    <row r="703" ht="49" customHeight="1">
      <c r="A703" s="15" t="inlineStr">
        <is>
          <t>CAST-702</t>
        </is>
      </c>
      <c r="B703" s="18" t="inlineStr">
        <is>
          <t>FILM-103</t>
        </is>
      </c>
      <c r="C703" s="5" t="inlineStr">
        <is>
          <t>Ghar Ki Izzat</t>
        </is>
      </c>
      <c r="D703" s="17" t="n">
        <v>1994</v>
      </c>
      <c r="E703" s="5" t="inlineStr">
        <is>
          <t>Asha Parekh</t>
        </is>
      </c>
      <c r="F703" s="5" t="inlineStr">
        <is>
          <t>Seeta</t>
        </is>
      </c>
      <c r="G703" s="5" t="inlineStr">
        <is>
          <t>Family</t>
        </is>
      </c>
      <c r="H703" s="5" t="inlineStr">
        <is>
          <t>Major</t>
        </is>
      </c>
      <c r="I703" s="5" t="inlineStr">
        <is>
          <t>His eldest brother's wife, and the sister of the woman he loves.</t>
        </is>
      </c>
      <c r="J703" s="5" t="inlineStr">
        <is>
          <t>The link that puts the widow in the household in the first place.</t>
        </is>
      </c>
      <c r="K703" s="19" t="inlineStr">
        <is>
          <t>Ram Kumar's wife, held up by the film as the ideal of the joint family, begrudged by the incoming daughters-in-law, and elder sister to the child widow Geeta.</t>
        </is>
      </c>
      <c r="L703" s="5" t="n"/>
      <c r="M703" s="5" t="inlineStr">
        <is>
          <t>SOURCE-096</t>
        </is>
      </c>
    </row>
    <row r="704" ht="34" customHeight="1">
      <c r="A704" s="15" t="inlineStr">
        <is>
          <t>CAST-703</t>
        </is>
      </c>
      <c r="B704" s="18" t="inlineStr">
        <is>
          <t>FILM-103</t>
        </is>
      </c>
      <c r="C704" s="5" t="inlineStr">
        <is>
          <t>Ghar Ki Izzat</t>
        </is>
      </c>
      <c r="D704" s="17" t="n">
        <v>1994</v>
      </c>
      <c r="E704" s="5" t="inlineStr">
        <is>
          <t>Jeetendra</t>
        </is>
      </c>
      <c r="F704" s="5" t="inlineStr">
        <is>
          <t>Dr. Sohan Kumar</t>
        </is>
      </c>
      <c r="G704" s="5" t="inlineStr">
        <is>
          <t>Family</t>
        </is>
      </c>
      <c r="H704" s="5" t="inlineStr">
        <is>
          <t>Major</t>
        </is>
      </c>
      <c r="I704" s="5" t="inlineStr">
        <is>
          <t>One of his brothers, driven out of the house by his own wife's conduct.</t>
        </is>
      </c>
      <c r="J704" s="5" t="inlineStr">
        <is>
          <t>Part of the family whose dispersal clears the way for the marriage.</t>
        </is>
      </c>
      <c r="K704" s="19" t="inlineStr">
        <is>
          <t>The doctor among the brothers, married to the lofty Sheela, who quits the house when her pestering becomes intolerable.</t>
        </is>
      </c>
      <c r="L704" s="5" t="n"/>
      <c r="M704" s="5" t="inlineStr">
        <is>
          <t>SOURCE-096</t>
        </is>
      </c>
    </row>
    <row r="705" ht="49" customHeight="1">
      <c r="A705" s="15" t="inlineStr">
        <is>
          <t>CAST-704</t>
        </is>
      </c>
      <c r="B705" s="18" t="inlineStr">
        <is>
          <t>FILM-103</t>
        </is>
      </c>
      <c r="C705" s="5" t="inlineStr">
        <is>
          <t>Ghar Ki Izzat</t>
        </is>
      </c>
      <c r="D705" s="17" t="n">
        <v>1994</v>
      </c>
      <c r="E705" s="5" t="inlineStr">
        <is>
          <t>Anita Raj</t>
        </is>
      </c>
      <c r="F705" s="5" t="inlineStr">
        <is>
          <t>Sheela</t>
        </is>
      </c>
      <c r="G705" s="5" t="inlineStr">
        <is>
          <t>Antagonist</t>
        </is>
      </c>
      <c r="H705" s="5" t="inlineStr">
        <is>
          <t>Major</t>
        </is>
      </c>
      <c r="I705" s="5" t="inlineStr">
        <is>
          <t>The sister-in-law whose arrival breaks the household and who denounces the woman he loves.</t>
        </is>
      </c>
      <c r="J705" s="5" t="inlineStr">
        <is>
          <t>The author of the public denunciation that removes Geeta from the house.</t>
        </is>
      </c>
      <c r="K705" s="19" t="inlineStr">
        <is>
          <t>The daughter of Ram's loyal retainer, offended at being welcomed by a widow, who begrudges Seeta, incites the other new wife, and announces Geeta's widowhood in a quarrel.</t>
        </is>
      </c>
      <c r="L705" s="5" t="n"/>
      <c r="M705" s="5" t="inlineStr">
        <is>
          <t>SOURCE-096</t>
        </is>
      </c>
    </row>
    <row r="706" ht="49" customHeight="1">
      <c r="A706" s="15" t="inlineStr">
        <is>
          <t>CAST-705</t>
        </is>
      </c>
      <c r="B706" s="18" t="inlineStr">
        <is>
          <t>FILM-103</t>
        </is>
      </c>
      <c r="C706" s="5" t="inlineStr">
        <is>
          <t>Ghar Ki Izzat</t>
        </is>
      </c>
      <c r="D706" s="17" t="n">
        <v>1994</v>
      </c>
      <c r="E706" s="5" t="inlineStr">
        <is>
          <t>Sonika Gill</t>
        </is>
      </c>
      <c r="F706" s="5" t="inlineStr">
        <is>
          <t>Mona</t>
        </is>
      </c>
      <c r="G706" s="5" t="inlineStr">
        <is>
          <t>Antagonist</t>
        </is>
      </c>
      <c r="H706" s="5" t="inlineStr">
        <is>
          <t>Medium</t>
        </is>
      </c>
      <c r="I706" s="5" t="inlineStr">
        <is>
          <t>The second incoming wife, kindled against the household by the first.</t>
        </is>
      </c>
      <c r="J706" s="5" t="inlineStr">
        <is>
          <t>Half of the pair whose quarrel drives Geeta out.</t>
        </is>
      </c>
      <c r="K706" s="19" t="inlineStr">
        <is>
          <t>A millionaire's daughter married into the family, drawn by Sheela into the snobbery that breaks its equilibrium, and party to the denunciation of Geeta.</t>
        </is>
      </c>
      <c r="L706" s="5" t="n"/>
      <c r="M706" s="5" t="inlineStr">
        <is>
          <t>SOURCE-096</t>
        </is>
      </c>
    </row>
    <row r="707" ht="49" customHeight="1">
      <c r="A707" s="15" t="inlineStr">
        <is>
          <t>CAST-706</t>
        </is>
      </c>
      <c r="B707" s="18" t="inlineStr">
        <is>
          <t>FILM-103</t>
        </is>
      </c>
      <c r="C707" s="5" t="inlineStr">
        <is>
          <t>Ghar Ki Izzat</t>
        </is>
      </c>
      <c r="D707" s="17" t="n">
        <v>1994</v>
      </c>
      <c r="E707" s="5" t="inlineStr">
        <is>
          <t>Gulshan Grover</t>
        </is>
      </c>
      <c r="F707" s="5" t="inlineStr">
        <is>
          <t>Sheethal</t>
        </is>
      </c>
      <c r="G707" s="5" t="inlineStr">
        <is>
          <t>Antagonist</t>
        </is>
      </c>
      <c r="H707" s="5" t="inlineStr">
        <is>
          <t>Major</t>
        </is>
      </c>
      <c r="I707" s="5" t="inlineStr">
        <is>
          <t>The outsider who attacks the family's property through the courts.</t>
        </is>
      </c>
      <c r="J707" s="5" t="inlineStr">
        <is>
          <t>The external assault that finishes the household.</t>
        </is>
      </c>
      <c r="K707" s="19" t="inlineStr">
        <is>
          <t>Mona's spiteful sibling, who conspires to send Ram Kumar a legal notice claiming a share of the property without the brother in whose name he acts knowing of it.</t>
        </is>
      </c>
      <c r="L707" s="5" t="n"/>
      <c r="M707" s="5" t="inlineStr">
        <is>
          <t>SOURCE-096</t>
        </is>
      </c>
    </row>
    <row r="708" ht="34" customHeight="1">
      <c r="A708" s="15" t="inlineStr">
        <is>
          <t>CAST-707</t>
        </is>
      </c>
      <c r="B708" s="18" t="inlineStr">
        <is>
          <t>FILM-103</t>
        </is>
      </c>
      <c r="C708" s="5" t="inlineStr">
        <is>
          <t>Ghar Ki Izzat</t>
        </is>
      </c>
      <c r="D708" s="17" t="n">
        <v>1994</v>
      </c>
      <c r="E708" s="5" t="inlineStr">
        <is>
          <t>Kanu Chauhan</t>
        </is>
      </c>
      <c r="F708" s="5" t="inlineStr">
        <is>
          <t>Shyam Kumar</t>
        </is>
      </c>
      <c r="G708" s="5" t="inlineStr">
        <is>
          <t>Family</t>
        </is>
      </c>
      <c r="H708" s="5" t="inlineStr">
        <is>
          <t>Medium</t>
        </is>
      </c>
      <c r="I708" s="5" t="inlineStr">
        <is>
          <t>The third of the brothers, married to the millionaire's daughter.</t>
        </is>
      </c>
      <c r="J708" s="5" t="inlineStr">
        <is>
          <t>Part of the family the marriage is set inside.</t>
        </is>
      </c>
      <c r="K708" s="19" t="inlineStr">
        <is>
          <t>Credited as the youngest Kumar brother, married to Mona and unaware of the legal notice sent in his interest.</t>
        </is>
      </c>
      <c r="L708" s="5" t="n"/>
      <c r="M708" s="5" t="inlineStr">
        <is>
          <t>SOURCE-096</t>
        </is>
      </c>
    </row>
    <row r="709" ht="49" customHeight="1">
      <c r="A709" s="15" t="inlineStr">
        <is>
          <t>CAST-708</t>
        </is>
      </c>
      <c r="B709" s="18" t="inlineStr">
        <is>
          <t>FILM-104</t>
        </is>
      </c>
      <c r="C709" s="5" t="inlineStr">
        <is>
          <t>Saajan Ki Baahon Mein</t>
        </is>
      </c>
      <c r="D709" s="17" t="n">
        <v>1995</v>
      </c>
      <c r="E709" s="5" t="inlineStr">
        <is>
          <t>Raveena Tandon</t>
        </is>
      </c>
      <c r="F709" s="5" t="inlineStr">
        <is>
          <t>Sapna</t>
        </is>
      </c>
      <c r="G709" s="5" t="inlineStr">
        <is>
          <t>Co-lead</t>
        </is>
      </c>
      <c r="H709" s="5" t="inlineStr">
        <is>
          <t>Major</t>
        </is>
      </c>
      <c r="I709" s="5" t="inlineStr">
        <is>
          <t>A follower who meets him in Srinagar and loves him, and whom her father has already promised elsewhere.</t>
        </is>
      </c>
      <c r="J709" s="5" t="inlineStr">
        <is>
          <t>The first pairing in Romances, separated by an arrangement neither of them knew about.</t>
        </is>
      </c>
      <c r="K709" s="19" t="inlineStr">
        <is>
          <t>One of the singer's many followers, who meets him in Srinagar, falls in love after some misunderstandings, and is engaged by her father to his childhood friend's son.</t>
        </is>
      </c>
      <c r="L709" s="5" t="n"/>
      <c r="M709" s="5" t="inlineStr">
        <is>
          <t>SOURCE-097</t>
        </is>
      </c>
    </row>
    <row r="710" ht="49" customHeight="1">
      <c r="A710" s="15" t="inlineStr">
        <is>
          <t>CAST-709</t>
        </is>
      </c>
      <c r="B710" s="18" t="inlineStr">
        <is>
          <t>FILM-104</t>
        </is>
      </c>
      <c r="C710" s="5" t="inlineStr">
        <is>
          <t>Saajan Ki Baahon Mein</t>
        </is>
      </c>
      <c r="D710" s="17" t="n">
        <v>1995</v>
      </c>
      <c r="E710" s="5" t="inlineStr">
        <is>
          <t>Tabu</t>
        </is>
      </c>
      <c r="F710" s="5" t="inlineStr">
        <is>
          <t>Kavita</t>
        </is>
      </c>
      <c r="G710" s="5" t="inlineStr">
        <is>
          <t>Co-lead</t>
        </is>
      </c>
      <c r="H710" s="5" t="inlineStr">
        <is>
          <t>Major</t>
        </is>
      </c>
      <c r="I710" s="5" t="inlineStr">
        <is>
          <t>The woman he announces his own marriage to once the first attachment is broken.</t>
        </is>
      </c>
      <c r="J710" s="5" t="inlineStr">
        <is>
          <t>The second pairing in Romances, taken up in answer to the other engagement.</t>
        </is>
      </c>
      <c r="K710" s="19" t="inlineStr">
        <is>
          <t>Credited as Kavita, the woman Sagar announces he will marry when he meets Sapna again and finds her engaged to Rakesh.</t>
        </is>
      </c>
      <c r="L710" s="5" t="n"/>
      <c r="M710" s="5" t="inlineStr">
        <is>
          <t>SOURCE-097</t>
        </is>
      </c>
    </row>
    <row r="711" ht="49" customHeight="1">
      <c r="A711" s="15" t="inlineStr">
        <is>
          <t>CAST-710</t>
        </is>
      </c>
      <c r="B711" s="18" t="inlineStr">
        <is>
          <t>FILM-104</t>
        </is>
      </c>
      <c r="C711" s="5" t="inlineStr">
        <is>
          <t>Saajan Ki Baahon Mein</t>
        </is>
      </c>
      <c r="D711" s="17" t="n">
        <v>1995</v>
      </c>
      <c r="E711" s="5" t="inlineStr">
        <is>
          <t>Pran</t>
        </is>
      </c>
      <c r="F711" s="5" t="inlineStr">
        <is>
          <t>Narang</t>
        </is>
      </c>
      <c r="G711" s="5" t="inlineStr">
        <is>
          <t>Antagonist</t>
        </is>
      </c>
      <c r="H711" s="5" t="inlineStr">
        <is>
          <t>Major</t>
        </is>
      </c>
      <c r="I711" s="5" t="inlineStr">
        <is>
          <t>The heroine's father, whose private arrangement separates the couple.</t>
        </is>
      </c>
      <c r="J711" s="5" t="inlineStr">
        <is>
          <t>The whole of the external opposition to the first pairing.</t>
        </is>
      </c>
      <c r="K711" s="19" t="inlineStr">
        <is>
          <t>Sapna's father, who has his own plan to marry her to Rakesh, the son of Sagar's childhood friend, and keeps it from both of them.</t>
        </is>
      </c>
      <c r="L711" s="5" t="n"/>
      <c r="M711" s="5" t="inlineStr">
        <is>
          <t>SOURCE-097</t>
        </is>
      </c>
    </row>
    <row r="712" ht="49" customHeight="1">
      <c r="A712" s="15" t="inlineStr">
        <is>
          <t>CAST-711</t>
        </is>
      </c>
      <c r="B712" s="18" t="inlineStr">
        <is>
          <t>FILM-104</t>
        </is>
      </c>
      <c r="C712" s="5" t="inlineStr">
        <is>
          <t>Saajan Ki Baahon Mein</t>
        </is>
      </c>
      <c r="D712" s="17" t="n">
        <v>1995</v>
      </c>
      <c r="E712" s="5" t="inlineStr">
        <is>
          <t>Saeed Jaffrey</t>
        </is>
      </c>
      <c r="F712" s="5" t="inlineStr">
        <is>
          <t>Ranveer Singh</t>
        </is>
      </c>
      <c r="G712" s="5" t="inlineStr">
        <is>
          <t>Family</t>
        </is>
      </c>
      <c r="H712" s="5" t="inlineStr">
        <is>
          <t>Major</t>
        </is>
      </c>
      <c r="I712" s="5" t="inlineStr">
        <is>
          <t>His own childhood friend, and the father of the man the heroine is promised to.</t>
        </is>
      </c>
      <c r="J712" s="5" t="inlineStr">
        <is>
          <t>The relationship that makes the rivalry unopposable.</t>
        </is>
      </c>
      <c r="K712" s="19" t="inlineStr">
        <is>
          <t>Sagar's childhood friend and Rakesh's father, on the other side of the engagement that separates the singer from the woman he loves.</t>
        </is>
      </c>
      <c r="L712" s="5" t="n"/>
      <c r="M712" s="5" t="inlineStr">
        <is>
          <t>SOURCE-097</t>
        </is>
      </c>
    </row>
    <row r="713" ht="49" customHeight="1">
      <c r="A713" s="15" t="inlineStr">
        <is>
          <t>CAST-712</t>
        </is>
      </c>
      <c r="B713" s="18" t="inlineStr">
        <is>
          <t>FILM-104</t>
        </is>
      </c>
      <c r="C713" s="5" t="inlineStr">
        <is>
          <t>Saajan Ki Baahon Mein</t>
        </is>
      </c>
      <c r="D713" s="17" t="n">
        <v>1995</v>
      </c>
      <c r="E713" s="5" t="inlineStr">
        <is>
          <t>Sumeet Saigal</t>
        </is>
      </c>
      <c r="F713" s="5" t="inlineStr">
        <is>
          <t>Rakesh Singh</t>
        </is>
      </c>
      <c r="G713" s="5" t="inlineStr">
        <is>
          <t>Romantic rival</t>
        </is>
      </c>
      <c r="H713" s="5" t="inlineStr">
        <is>
          <t>Major</t>
        </is>
      </c>
      <c r="I713" s="5" t="inlineStr">
        <is>
          <t>The son of his oldest friend, engaged to the woman he loves.</t>
        </is>
      </c>
      <c r="J713" s="5" t="inlineStr">
        <is>
          <t>The rival claim the first pairing is broken by.</t>
        </is>
      </c>
      <c r="K713" s="19" t="inlineStr">
        <is>
          <t>Ranveer Singh's only son, to whom Sapna's father has promised her, and to whom she is engaged when the couple meet again.</t>
        </is>
      </c>
      <c r="L713" s="5" t="n"/>
      <c r="M713" s="5" t="inlineStr">
        <is>
          <t>SOURCE-097</t>
        </is>
      </c>
    </row>
    <row r="714" ht="34" customHeight="1">
      <c r="A714" s="15" t="inlineStr">
        <is>
          <t>CAST-713</t>
        </is>
      </c>
      <c r="B714" s="18" t="inlineStr">
        <is>
          <t>FILM-104</t>
        </is>
      </c>
      <c r="C714" s="5" t="inlineStr">
        <is>
          <t>Saajan Ki Baahon Mein</t>
        </is>
      </c>
      <c r="D714" s="17" t="n">
        <v>1995</v>
      </c>
      <c r="E714" s="5" t="inlineStr">
        <is>
          <t>Prem Chopra</t>
        </is>
      </c>
      <c r="F714" s="5" t="inlineStr">
        <is>
          <t>Pyarelal</t>
        </is>
      </c>
      <c r="G714" s="5" t="inlineStr">
        <is>
          <t>Antagonist</t>
        </is>
      </c>
      <c r="H714" s="5" t="inlineStr">
        <is>
          <t>Medium</t>
        </is>
      </c>
      <c r="I714" s="5" t="inlineStr">
        <is>
          <t>Credited among the film's opposition.</t>
        </is>
      </c>
      <c r="J714" s="5" t="inlineStr">
        <is>
          <t>No documented part in either pairing.</t>
        </is>
      </c>
      <c r="K714" s="19" t="inlineStr">
        <is>
          <t>Credited as Pyarelal, in the opposition ranks of a film the article summarises only as far as the climax.</t>
        </is>
      </c>
      <c r="L714" s="5" t="n"/>
      <c r="M714" s="5" t="inlineStr">
        <is>
          <t>SOURCE-097</t>
        </is>
      </c>
    </row>
    <row r="715" ht="34" customHeight="1">
      <c r="A715" s="15" t="inlineStr">
        <is>
          <t>CAST-714</t>
        </is>
      </c>
      <c r="B715" s="18" t="inlineStr">
        <is>
          <t>FILM-104</t>
        </is>
      </c>
      <c r="C715" s="5" t="inlineStr">
        <is>
          <t>Saajan Ki Baahon Mein</t>
        </is>
      </c>
      <c r="D715" s="17" t="n">
        <v>1995</v>
      </c>
      <c r="E715" s="5" t="inlineStr">
        <is>
          <t>Deven Verma</t>
        </is>
      </c>
      <c r="F715" s="5" t="inlineStr">
        <is>
          <t>Dr. Rastogi</t>
        </is>
      </c>
      <c r="G715" s="5" t="inlineStr">
        <is>
          <t>Comic support</t>
        </is>
      </c>
      <c r="H715" s="5" t="inlineStr">
        <is>
          <t>Minor</t>
        </is>
      </c>
      <c r="I715" s="5" t="inlineStr">
        <is>
          <t>The comic figure around the singer's circle.</t>
        </is>
      </c>
      <c r="J715" s="5" t="inlineStr">
        <is>
          <t>Comic attendance on the courtship.</t>
        </is>
      </c>
      <c r="K715" s="19" t="inlineStr">
        <is>
          <t>Credited as Dr. Rastogi, with Laxmikant Berde's Anand, in the comic register of the film.</t>
        </is>
      </c>
      <c r="L715" s="5" t="n"/>
      <c r="M715" s="5" t="inlineStr">
        <is>
          <t>SOURCE-097</t>
        </is>
      </c>
    </row>
    <row r="716" ht="64" customHeight="1">
      <c r="A716" s="15" t="inlineStr">
        <is>
          <t>CAST-715</t>
        </is>
      </c>
      <c r="B716" s="18" t="inlineStr">
        <is>
          <t>FILM-105</t>
        </is>
      </c>
      <c r="C716" s="5" t="inlineStr">
        <is>
          <t>Hum Dono</t>
        </is>
      </c>
      <c r="D716" s="17" t="n">
        <v>1995</v>
      </c>
      <c r="E716" s="5" t="inlineStr">
        <is>
          <t>Nana Patekar</t>
        </is>
      </c>
      <c r="F716" s="5" t="inlineStr">
        <is>
          <t>Vishal Saigal</t>
        </is>
      </c>
      <c r="G716" s="5" t="inlineStr">
        <is>
          <t>Co-lead</t>
        </is>
      </c>
      <c r="H716" s="5" t="inlineStr">
        <is>
          <t>Major</t>
        </is>
      </c>
      <c r="I716" s="5" t="inlineStr">
        <is>
          <t>His half-brother, who despises him and his class and is forced by their father's will to work with him.</t>
        </is>
      </c>
      <c r="J716" s="5" t="inlineStr">
        <is>
          <t>The help the romance needs, and the price of it.</t>
        </is>
      </c>
      <c r="K716" s="19" t="inlineStr">
        <is>
          <t>The son whose inheritance can only be executed with his step-brother's consent, contemptuous of that brother's lower-class life and compelled into partnership with him for the property.</t>
        </is>
      </c>
      <c r="L716" s="5" t="n"/>
      <c r="M716" s="5" t="inlineStr">
        <is>
          <t>SOURCE-098</t>
        </is>
      </c>
    </row>
    <row r="717" ht="79" customHeight="1">
      <c r="A717" s="15" t="inlineStr">
        <is>
          <t>CAST-716</t>
        </is>
      </c>
      <c r="B717" s="18" t="inlineStr">
        <is>
          <t>FILM-105</t>
        </is>
      </c>
      <c r="C717" s="5" t="inlineStr">
        <is>
          <t>Hum Dono</t>
        </is>
      </c>
      <c r="D717" s="17" t="n">
        <v>1995</v>
      </c>
      <c r="E717" s="5" t="inlineStr">
        <is>
          <t>Pooja Bhatt</t>
        </is>
      </c>
      <c r="F717" s="5" t="inlineStr">
        <is>
          <t>Priyanka Gupta</t>
        </is>
      </c>
      <c r="G717" s="5" t="inlineStr">
        <is>
          <t>Co-lead</t>
        </is>
      </c>
      <c r="H717" s="5" t="inlineStr">
        <is>
          <t>Major</t>
        </is>
      </c>
      <c r="I717" s="5" t="inlineStr">
        <is>
          <t>Kapoor's romantic interest, and the reason he needs his half-brother's cooperation.</t>
        </is>
      </c>
      <c r="J717" s="5" t="inlineStr">
        <is>
          <t>The filmography records only a secondary romance here and the article's four-sentence summary does not describe it, which is why there is no Romances row.</t>
        </is>
      </c>
      <c r="K717" s="19" t="inlineStr">
        <is>
          <t>Credited as Priyanka Gupta, with Mahavir Shah as her father, the woman Raju needs Vishal's help with.</t>
        </is>
      </c>
      <c r="L717" s="5" t="n"/>
      <c r="M717" s="5" t="inlineStr">
        <is>
          <t>SOURCE-098</t>
        </is>
      </c>
    </row>
    <row r="718" ht="49" customHeight="1">
      <c r="A718" s="15" t="inlineStr">
        <is>
          <t>CAST-717</t>
        </is>
      </c>
      <c r="B718" s="18" t="inlineStr">
        <is>
          <t>FILM-105</t>
        </is>
      </c>
      <c r="C718" s="5" t="inlineStr">
        <is>
          <t>Hum Dono</t>
        </is>
      </c>
      <c r="D718" s="17" t="n">
        <v>1995</v>
      </c>
      <c r="E718" s="5" t="inlineStr">
        <is>
          <t>Alok Nath</t>
        </is>
      </c>
      <c r="F718" s="5" t="inlineStr">
        <is>
          <t>Vikram Saigal</t>
        </is>
      </c>
      <c r="G718" s="5" t="inlineStr">
        <is>
          <t>Family</t>
        </is>
      </c>
      <c r="H718" s="5" t="inlineStr">
        <is>
          <t>Major</t>
        </is>
      </c>
      <c r="I718" s="5" t="inlineStr">
        <is>
          <t>The father whose will binds the two brothers together.</t>
        </is>
      </c>
      <c r="J718" s="5" t="inlineStr">
        <is>
          <t>The instrument that forces the cooperation the romance depends on.</t>
        </is>
      </c>
      <c r="K718" s="19" t="inlineStr">
        <is>
          <t>The father who made a will executable only with the consonance of his step-son, tying together two men who want nothing to do with each other.</t>
        </is>
      </c>
      <c r="L718" s="5" t="n"/>
      <c r="M718" s="5" t="inlineStr">
        <is>
          <t>SOURCE-098</t>
        </is>
      </c>
    </row>
    <row r="719" ht="34" customHeight="1">
      <c r="A719" s="15" t="inlineStr">
        <is>
          <t>CAST-718</t>
        </is>
      </c>
      <c r="B719" s="18" t="inlineStr">
        <is>
          <t>FILM-105</t>
        </is>
      </c>
      <c r="C719" s="5" t="inlineStr">
        <is>
          <t>Hum Dono</t>
        </is>
      </c>
      <c r="D719" s="17" t="n">
        <v>1995</v>
      </c>
      <c r="E719" s="5" t="inlineStr">
        <is>
          <t>Mohnish Behl</t>
        </is>
      </c>
      <c r="F719" s="5" t="inlineStr">
        <is>
          <t>Sameer Choudhury</t>
        </is>
      </c>
      <c r="G719" s="5" t="inlineStr">
        <is>
          <t>Supporting</t>
        </is>
      </c>
      <c r="H719" s="5" t="inlineStr">
        <is>
          <t>Medium</t>
        </is>
      </c>
      <c r="I719" s="5" t="inlineStr">
        <is>
          <t>Credited high in a cast the article's summary does not reach.</t>
        </is>
      </c>
      <c r="J719" s="5" t="inlineStr">
        <is>
          <t>No documented part in the romance.</t>
        </is>
      </c>
      <c r="K719" s="19" t="inlineStr">
        <is>
          <t>Credited as Sameer Choudhury, in the supporting ranks of a film summarised in four sentences.</t>
        </is>
      </c>
      <c r="L719" s="5" t="n"/>
      <c r="M719" s="5" t="inlineStr">
        <is>
          <t>SOURCE-098</t>
        </is>
      </c>
    </row>
    <row r="720" ht="34" customHeight="1">
      <c r="A720" s="15" t="inlineStr">
        <is>
          <t>CAST-719</t>
        </is>
      </c>
      <c r="B720" s="18" t="inlineStr">
        <is>
          <t>FILM-105</t>
        </is>
      </c>
      <c r="C720" s="5" t="inlineStr">
        <is>
          <t>Hum Dono</t>
        </is>
      </c>
      <c r="D720" s="17" t="n">
        <v>1995</v>
      </c>
      <c r="E720" s="5" t="inlineStr">
        <is>
          <t>Mohan Joshi</t>
        </is>
      </c>
      <c r="F720" s="5" t="inlineStr">
        <is>
          <t>Shreechand</t>
        </is>
      </c>
      <c r="G720" s="5" t="inlineStr">
        <is>
          <t>Antagonist</t>
        </is>
      </c>
      <c r="H720" s="5" t="inlineStr">
        <is>
          <t>Medium</t>
        </is>
      </c>
      <c r="I720" s="5" t="inlineStr">
        <is>
          <t>Credited in the villain register of the inheritance plot.</t>
        </is>
      </c>
      <c r="J720" s="5" t="inlineStr">
        <is>
          <t>No documented part in the romance.</t>
        </is>
      </c>
      <c r="K720" s="19" t="inlineStr">
        <is>
          <t>Credited as Shreechand, with Jack Gaud's Shobhraj, in the opposition around the contested will.</t>
        </is>
      </c>
      <c r="L720" s="5" t="n"/>
      <c r="M720" s="5" t="inlineStr">
        <is>
          <t>SOURCE-098</t>
        </is>
      </c>
    </row>
    <row r="721" ht="34" customHeight="1">
      <c r="A721" s="15" t="inlineStr">
        <is>
          <t>CAST-720</t>
        </is>
      </c>
      <c r="B721" s="18" t="inlineStr">
        <is>
          <t>FILM-105</t>
        </is>
      </c>
      <c r="C721" s="5" t="inlineStr">
        <is>
          <t>Hum Dono</t>
        </is>
      </c>
      <c r="D721" s="17" t="n">
        <v>1995</v>
      </c>
      <c r="E721" s="5" t="inlineStr">
        <is>
          <t>Mahavir Shah</t>
        </is>
      </c>
      <c r="F721" s="5" t="inlineStr">
        <is>
          <t>Priyanka's father</t>
        </is>
      </c>
      <c r="G721" s="5" t="inlineStr">
        <is>
          <t>Family</t>
        </is>
      </c>
      <c r="H721" s="5" t="inlineStr">
        <is>
          <t>Medium</t>
        </is>
      </c>
      <c r="I721" s="5" t="inlineStr">
        <is>
          <t>Credited only by relation to the woman Kapoor's character loves.</t>
        </is>
      </c>
      <c r="J721" s="5" t="inlineStr">
        <is>
          <t>The family the undocumented romance has to pass through.</t>
        </is>
      </c>
      <c r="K721" s="19" t="inlineStr">
        <is>
          <t>Credited as Priyanka's father, in a cast list the article gives without a full plot.</t>
        </is>
      </c>
      <c r="L721" s="5" t="n"/>
      <c r="M721" s="5" t="inlineStr">
        <is>
          <t>SOURCE-098</t>
        </is>
      </c>
    </row>
    <row r="722" ht="64" customHeight="1">
      <c r="A722" s="15" t="inlineStr">
        <is>
          <t>CAST-721</t>
        </is>
      </c>
      <c r="B722" s="18" t="inlineStr">
        <is>
          <t>FILM-106</t>
        </is>
      </c>
      <c r="C722" s="5" t="inlineStr">
        <is>
          <t>Yaraana</t>
        </is>
      </c>
      <c r="D722" s="17" t="n">
        <v>1995</v>
      </c>
      <c r="E722" s="5" t="inlineStr">
        <is>
          <t>Madhuri Dixit</t>
        </is>
      </c>
      <c r="F722" s="5" t="inlineStr">
        <is>
          <t>Lalita, as Shikha</t>
        </is>
      </c>
      <c r="G722" s="5" t="inlineStr">
        <is>
          <t>Co-lead</t>
        </is>
      </c>
      <c r="H722" s="5" t="inlineStr">
        <is>
          <t>Major</t>
        </is>
      </c>
      <c r="I722" s="5" t="inlineStr">
        <is>
          <t>The woman who uses him as cover under a false name and comes to love him.</t>
        </is>
      </c>
      <c r="J722" s="5" t="inlineStr">
        <is>
          <t>The whole of the pairing in Romances, built under an assumed identity and besieged by her pursuer.</t>
        </is>
      </c>
      <c r="K722" s="19" t="inlineStr">
        <is>
          <t>A woman kidnapped and watched by JB until her wedding day, who escapes by swapping her bridal clothes with a woman who is then killed, flees the city as Shikha, and is traced through her own mother.</t>
        </is>
      </c>
      <c r="L722" s="5" t="inlineStr">
        <is>
          <t>One of the roles of Madhuri Dixit's peak years, built around the 'Mera Piya Ghar Aaya' number.</t>
        </is>
      </c>
      <c r="M722" s="5" t="inlineStr">
        <is>
          <t>SOURCE-099</t>
        </is>
      </c>
    </row>
    <row r="723" ht="64" customHeight="1">
      <c r="A723" s="15" t="inlineStr">
        <is>
          <t>CAST-722</t>
        </is>
      </c>
      <c r="B723" s="18" t="inlineStr">
        <is>
          <t>FILM-106</t>
        </is>
      </c>
      <c r="C723" s="5" t="inlineStr">
        <is>
          <t>Yaraana</t>
        </is>
      </c>
      <c r="D723" s="17" t="n">
        <v>1995</v>
      </c>
      <c r="E723" s="5" t="inlineStr">
        <is>
          <t>Raj Babbar</t>
        </is>
      </c>
      <c r="F723" s="5" t="inlineStr">
        <is>
          <t>JB / Inspector Pradhan</t>
        </is>
      </c>
      <c r="G723" s="5" t="inlineStr">
        <is>
          <t>Antagonist</t>
        </is>
      </c>
      <c r="H723" s="5" t="inlineStr">
        <is>
          <t>Major</t>
        </is>
      </c>
      <c r="I723" s="5" t="inlineStr">
        <is>
          <t>The obsessive who owns the woman he marries, and the man he finally kills.</t>
        </is>
      </c>
      <c r="J723" s="5" t="inlineStr">
        <is>
          <t>The whole of the external opposition, and the violence the marriage ends in.</t>
        </is>
      </c>
      <c r="K723" s="19" t="inlineStr">
        <is>
          <t>Credited in a second identity as a police inspector, the man who decides he must have Lalita, pays her uncle to arrange the wedding, imprisons and watches her, believes her dead, and traces her through her mother.</t>
        </is>
      </c>
      <c r="L723" s="5" t="n"/>
      <c r="M723" s="5" t="inlineStr">
        <is>
          <t>SOURCE-099</t>
        </is>
      </c>
    </row>
    <row r="724" ht="49" customHeight="1">
      <c r="A724" s="15" t="inlineStr">
        <is>
          <t>CAST-723</t>
        </is>
      </c>
      <c r="B724" s="18" t="inlineStr">
        <is>
          <t>FILM-106</t>
        </is>
      </c>
      <c r="C724" s="5" t="inlineStr">
        <is>
          <t>Yaraana</t>
        </is>
      </c>
      <c r="D724" s="17" t="n">
        <v>1995</v>
      </c>
      <c r="E724" s="5" t="inlineStr">
        <is>
          <t>Kader Khan</t>
        </is>
      </c>
      <c r="F724" s="5" t="inlineStr">
        <is>
          <t>Rai Sahib</t>
        </is>
      </c>
      <c r="G724" s="5" t="inlineStr">
        <is>
          <t>Family</t>
        </is>
      </c>
      <c r="H724" s="5" t="inlineStr">
        <is>
          <t>Major</t>
        </is>
      </c>
      <c r="I724" s="5" t="inlineStr">
        <is>
          <t>His grandfather, who arranges the wedding to the woman calling herself Shikha.</t>
        </is>
      </c>
      <c r="J724" s="5" t="inlineStr">
        <is>
          <t>The family consent the romance is given, in ignorance of who she is.</t>
        </is>
      </c>
      <c r="K724" s="19" t="inlineStr">
        <is>
          <t>Raj's grandfather, pleased that his grandson wants to marry Shikha and the one who arranges their wedding.</t>
        </is>
      </c>
      <c r="L724" s="5" t="n"/>
      <c r="M724" s="5" t="inlineStr">
        <is>
          <t>SOURCE-099</t>
        </is>
      </c>
    </row>
    <row r="725" ht="34" customHeight="1">
      <c r="A725" s="15" t="inlineStr">
        <is>
          <t>CAST-724</t>
        </is>
      </c>
      <c r="B725" s="18" t="inlineStr">
        <is>
          <t>FILM-106</t>
        </is>
      </c>
      <c r="C725" s="5" t="inlineStr">
        <is>
          <t>Yaraana</t>
        </is>
      </c>
      <c r="D725" s="17" t="n">
        <v>1995</v>
      </c>
      <c r="E725" s="5" t="inlineStr">
        <is>
          <t>Tej Sapru</t>
        </is>
      </c>
      <c r="F725" s="5" t="inlineStr">
        <is>
          <t>Madanlal, called Madhi</t>
        </is>
      </c>
      <c r="G725" s="5" t="inlineStr">
        <is>
          <t>Antagonist</t>
        </is>
      </c>
      <c r="H725" s="5" t="inlineStr">
        <is>
          <t>Medium</t>
        </is>
      </c>
      <c r="I725" s="5" t="inlineStr">
        <is>
          <t>The heroine's uncle, who sold her into the marriage she escaped.</t>
        </is>
      </c>
      <c r="J725" s="5" t="inlineStr">
        <is>
          <t>The original betrayal the plot proceeds from.</t>
        </is>
      </c>
      <c r="K725" s="19" t="inlineStr">
        <is>
          <t>Lalita's uncle, who arranges her marriage to JB only because JB is paying him for it.</t>
        </is>
      </c>
      <c r="L725" s="5" t="n"/>
      <c r="M725" s="5" t="inlineStr">
        <is>
          <t>SOURCE-099</t>
        </is>
      </c>
    </row>
    <row r="726" ht="49" customHeight="1">
      <c r="A726" s="15" t="inlineStr">
        <is>
          <t>CAST-725</t>
        </is>
      </c>
      <c r="B726" s="18" t="inlineStr">
        <is>
          <t>FILM-106</t>
        </is>
      </c>
      <c r="C726" s="5" t="inlineStr">
        <is>
          <t>Yaraana</t>
        </is>
      </c>
      <c r="D726" s="17" t="n">
        <v>1995</v>
      </c>
      <c r="E726" s="5" t="inlineStr">
        <is>
          <t>Dina Pathak</t>
        </is>
      </c>
      <c r="F726" s="5" t="inlineStr">
        <is>
          <t>Durga</t>
        </is>
      </c>
      <c r="G726" s="5" t="inlineStr">
        <is>
          <t>Family</t>
        </is>
      </c>
      <c r="H726" s="5" t="inlineStr">
        <is>
          <t>Medium</t>
        </is>
      </c>
      <c r="I726" s="5" t="inlineStr">
        <is>
          <t>The heroine's mother, moved to safety and then the leak that exposes her.</t>
        </is>
      </c>
      <c r="J726" s="5" t="inlineStr">
        <is>
          <t>The vulnerability through which the pursuer finds the couple.</t>
        </is>
      </c>
      <c r="K726" s="19" t="inlineStr">
        <is>
          <t>Lalita's mother, taken away by her daughter for safety, and the person through whom JB learns she is still alive.</t>
        </is>
      </c>
      <c r="L726" s="5" t="n"/>
      <c r="M726" s="5" t="inlineStr">
        <is>
          <t>SOURCE-099</t>
        </is>
      </c>
    </row>
    <row r="727" ht="34" customHeight="1">
      <c r="A727" s="15" t="inlineStr">
        <is>
          <t>CAST-726</t>
        </is>
      </c>
      <c r="B727" s="18" t="inlineStr">
        <is>
          <t>FILM-106</t>
        </is>
      </c>
      <c r="C727" s="5" t="inlineStr">
        <is>
          <t>Yaraana</t>
        </is>
      </c>
      <c r="D727" s="17" t="n">
        <v>1995</v>
      </c>
      <c r="E727" s="5" t="inlineStr">
        <is>
          <t>Shakti Kapoor</t>
        </is>
      </c>
      <c r="F727" s="5" t="inlineStr">
        <is>
          <t>Banke</t>
        </is>
      </c>
      <c r="G727" s="5" t="inlineStr">
        <is>
          <t>Antagonist</t>
        </is>
      </c>
      <c r="H727" s="5" t="inlineStr">
        <is>
          <t>Medium</t>
        </is>
      </c>
      <c r="I727" s="5" t="inlineStr">
        <is>
          <t>Credited among the pursuer's men.</t>
        </is>
      </c>
      <c r="J727" s="5" t="inlineStr">
        <is>
          <t>Part of the apparatus of the pursuit.</t>
        </is>
      </c>
      <c r="K727" s="19" t="inlineStr">
        <is>
          <t>Credited as Banke, in the ranks around JB's pursuit of the woman who escaped him.</t>
        </is>
      </c>
      <c r="L727" s="5" t="n"/>
      <c r="M727" s="5" t="inlineStr">
        <is>
          <t>SOURCE-099</t>
        </is>
      </c>
    </row>
    <row r="728" ht="34" customHeight="1">
      <c r="A728" s="15" t="inlineStr">
        <is>
          <t>CAST-727</t>
        </is>
      </c>
      <c r="B728" s="18" t="inlineStr">
        <is>
          <t>FILM-106</t>
        </is>
      </c>
      <c r="C728" s="5" t="inlineStr">
        <is>
          <t>Yaraana</t>
        </is>
      </c>
      <c r="D728" s="17" t="n">
        <v>1995</v>
      </c>
      <c r="E728" s="5" t="inlineStr">
        <is>
          <t>Sadashiv Amrapurkar</t>
        </is>
      </c>
      <c r="F728" s="5" t="inlineStr">
        <is>
          <t>Mungerilal</t>
        </is>
      </c>
      <c r="G728" s="5" t="inlineStr">
        <is>
          <t>Cameo</t>
        </is>
      </c>
      <c r="H728" s="5" t="inlineStr">
        <is>
          <t>Minor</t>
        </is>
      </c>
      <c r="I728" s="5" t="inlineStr">
        <is>
          <t>A special appearance in the film's street world.</t>
        </is>
      </c>
      <c r="J728" s="5" t="inlineStr">
        <is>
          <t>No documented part in the pairing.</t>
        </is>
      </c>
      <c r="K728" s="19" t="inlineStr">
        <is>
          <t>In a special appearance as a beggar called Mungerilal, paired with Himani Shivpuri's Champa in the same register.</t>
        </is>
      </c>
      <c r="L728" s="5" t="n"/>
      <c r="M728" s="5" t="inlineStr">
        <is>
          <t>SOURCE-099</t>
        </is>
      </c>
    </row>
    <row r="729" ht="64" customHeight="1">
      <c r="A729" s="15" t="inlineStr">
        <is>
          <t>CAST-728</t>
        </is>
      </c>
      <c r="B729" s="18" t="inlineStr">
        <is>
          <t>FILM-107</t>
        </is>
      </c>
      <c r="C729" s="5" t="inlineStr">
        <is>
          <t>Prem Granth</t>
        </is>
      </c>
      <c r="D729" s="17" t="n">
        <v>1996</v>
      </c>
      <c r="E729" s="5" t="inlineStr">
        <is>
          <t>Madhuri Dixit</t>
        </is>
      </c>
      <c r="F729" s="5" t="inlineStr">
        <is>
          <t>Kajri</t>
        </is>
      </c>
      <c r="G729" s="5" t="inlineStr">
        <is>
          <t>Co-lead</t>
        </is>
      </c>
      <c r="H729" s="5" t="inlineStr">
        <is>
          <t>Major</t>
        </is>
      </c>
      <c r="I729" s="5" t="inlineStr">
        <is>
          <t>The lower-caste woman he loves at the festival, loses, and takes back only after learning what was done to her.</t>
        </is>
      </c>
      <c r="J729" s="5" t="inlineStr">
        <is>
          <t>The whole of the pairing in Romances, in which caste is the first obstacle and a rape the second.</t>
        </is>
      </c>
      <c r="K729" s="19" t="inlineStr">
        <is>
          <t>A woman of lower caste loved by a priest's son, raped on the road home by a drunkard and left pregnant, who leaves her village to give birth and begs for food, and who finally identifies her rapist.</t>
        </is>
      </c>
      <c r="L729" s="5" t="inlineStr">
        <is>
          <t>One of Madhuri Dixit's most demanding dramatic roles, in a film directed by Rajiv Kapoor.</t>
        </is>
      </c>
      <c r="M729" s="5" t="inlineStr">
        <is>
          <t>SOURCE-100</t>
        </is>
      </c>
    </row>
    <row r="730" ht="64" customHeight="1">
      <c r="A730" s="15" t="inlineStr">
        <is>
          <t>CAST-729</t>
        </is>
      </c>
      <c r="B730" s="18" t="inlineStr">
        <is>
          <t>FILM-107</t>
        </is>
      </c>
      <c r="C730" s="5" t="inlineStr">
        <is>
          <t>Prem Granth</t>
        </is>
      </c>
      <c r="D730" s="17" t="n">
        <v>1996</v>
      </c>
      <c r="E730" s="5" t="inlineStr">
        <is>
          <t>Anupam Kher</t>
        </is>
      </c>
      <c r="F730" s="5" t="inlineStr">
        <is>
          <t>Swami Dharam Bhooshan</t>
        </is>
      </c>
      <c r="G730" s="5" t="inlineStr">
        <is>
          <t>Family</t>
        </is>
      </c>
      <c r="H730" s="5" t="inlineStr">
        <is>
          <t>Major</t>
        </is>
      </c>
      <c r="I730" s="5" t="inlineStr">
        <is>
          <t>His father, the head priest he argues with about caste and justice, and the man who breaks the engagement by disclosing the rape.</t>
        </is>
      </c>
      <c r="J730" s="5" t="inlineStr">
        <is>
          <t>The whole of the external opposition, acting as both father and religious authority.</t>
        </is>
      </c>
      <c r="K730" s="19" t="inlineStr">
        <is>
          <t>The head priest whose clout Kedar Nath exploits, repeatedly confronted by his own son on religion and social justice, and the one who tells Somen at his engagement what happened to Kajri.</t>
        </is>
      </c>
      <c r="L730" s="5" t="n"/>
      <c r="M730" s="5" t="inlineStr">
        <is>
          <t>SOURCE-100</t>
        </is>
      </c>
    </row>
    <row r="731" ht="64" customHeight="1">
      <c r="A731" s="15" t="inlineStr">
        <is>
          <t>CAST-730</t>
        </is>
      </c>
      <c r="B731" s="18" t="inlineStr">
        <is>
          <t>FILM-107</t>
        </is>
      </c>
      <c r="C731" s="5" t="inlineStr">
        <is>
          <t>Prem Granth</t>
        </is>
      </c>
      <c r="D731" s="17" t="n">
        <v>1996</v>
      </c>
      <c r="E731" s="5" t="inlineStr">
        <is>
          <t>Shammi Kapoor</t>
        </is>
      </c>
      <c r="F731" s="5" t="inlineStr">
        <is>
          <t>Nandlal</t>
        </is>
      </c>
      <c r="G731" s="5" t="inlineStr">
        <is>
          <t>Mentor</t>
        </is>
      </c>
      <c r="H731" s="5" t="inlineStr">
        <is>
          <t>Major</t>
        </is>
      </c>
      <c r="I731" s="5" t="inlineStr">
        <is>
          <t>His uncle, who keeps clear of religion and social obligation and is the family's counter-voice; the last of his five films with Kapoor.</t>
        </is>
      </c>
      <c r="J731" s="5" t="inlineStr">
        <is>
          <t>The example of a life lived outside the orthodoxy the romance offends.</t>
        </is>
      </c>
      <c r="K731" s="19" t="inlineStr">
        <is>
          <t>The owner of a prosperous dairy farm who keeps away from religious affairs and social obligations as unjust and outdated, the alternative to his brother's priesthood.</t>
        </is>
      </c>
      <c r="L731" s="5" t="n"/>
      <c r="M731" s="5" t="inlineStr">
        <is>
          <t>SOURCE-100</t>
        </is>
      </c>
    </row>
    <row r="732" ht="49" customHeight="1">
      <c r="A732" s="15" t="inlineStr">
        <is>
          <t>CAST-731</t>
        </is>
      </c>
      <c r="B732" s="18" t="inlineStr">
        <is>
          <t>FILM-107</t>
        </is>
      </c>
      <c r="C732" s="5" t="inlineStr">
        <is>
          <t>Prem Granth</t>
        </is>
      </c>
      <c r="D732" s="17" t="n">
        <v>1996</v>
      </c>
      <c r="E732" s="5" t="inlineStr">
        <is>
          <t>Om Puri</t>
        </is>
      </c>
      <c r="F732" s="5" t="inlineStr">
        <is>
          <t>Baliram</t>
        </is>
      </c>
      <c r="G732" s="5" t="inlineStr">
        <is>
          <t>Family</t>
        </is>
      </c>
      <c r="H732" s="5" t="inlineStr">
        <is>
          <t>Major</t>
        </is>
      </c>
      <c r="I732" s="5" t="inlineStr">
        <is>
          <t>The heroine's father, with whom he finally burns the man responsible.</t>
        </is>
      </c>
      <c r="J732" s="5" t="inlineStr">
        <is>
          <t>The heroine's protection, and a party to the film's revenge.</t>
        </is>
      </c>
      <c r="K732" s="19" t="inlineStr">
        <is>
          <t>Kajri's father, travelling home with her when she is taken, and one of the three who burn Roop Sahai once she identifies him.</t>
        </is>
      </c>
      <c r="L732" s="5" t="n"/>
      <c r="M732" s="5" t="inlineStr">
        <is>
          <t>SOURCE-100</t>
        </is>
      </c>
    </row>
    <row r="733" ht="49" customHeight="1">
      <c r="A733" s="15" t="inlineStr">
        <is>
          <t>CAST-732</t>
        </is>
      </c>
      <c r="B733" s="18" t="inlineStr">
        <is>
          <t>FILM-107</t>
        </is>
      </c>
      <c r="C733" s="5" t="inlineStr">
        <is>
          <t>Prem Granth</t>
        </is>
      </c>
      <c r="D733" s="17" t="n">
        <v>1996</v>
      </c>
      <c r="E733" s="5" t="inlineStr">
        <is>
          <t>Govind Namdeo</t>
        </is>
      </c>
      <c r="F733" s="5" t="inlineStr">
        <is>
          <t>Roop Sahai</t>
        </is>
      </c>
      <c r="G733" s="5" t="inlineStr">
        <is>
          <t>Antagonist</t>
        </is>
      </c>
      <c r="H733" s="5" t="inlineStr">
        <is>
          <t>Major</t>
        </is>
      </c>
      <c r="I733" s="5" t="inlineStr">
        <is>
          <t>The man whose crime against the woman he loves the film is resolved by killing.</t>
        </is>
      </c>
      <c r="J733" s="5" t="inlineStr">
        <is>
          <t>The violence that separates the couple for most of the film.</t>
        </is>
      </c>
      <c r="K733" s="19" t="inlineStr">
        <is>
          <t>The mysterious drunkard who kidnaps and rapes Kajri on the road to Bansipura, identified by her at the end and burned by her, Somen and her father.</t>
        </is>
      </c>
      <c r="L733" s="5" t="n"/>
      <c r="M733" s="5" t="inlineStr">
        <is>
          <t>SOURCE-100</t>
        </is>
      </c>
    </row>
    <row r="734" ht="49" customHeight="1">
      <c r="A734" s="15" t="inlineStr">
        <is>
          <t>CAST-733</t>
        </is>
      </c>
      <c r="B734" s="18" t="inlineStr">
        <is>
          <t>FILM-107</t>
        </is>
      </c>
      <c r="C734" s="5" t="inlineStr">
        <is>
          <t>Prem Granth</t>
        </is>
      </c>
      <c r="D734" s="17" t="n">
        <v>1996</v>
      </c>
      <c r="E734" s="5" t="inlineStr">
        <is>
          <t>Prem Chopra</t>
        </is>
      </c>
      <c r="F734" s="5" t="inlineStr">
        <is>
          <t>Kedar Nath</t>
        </is>
      </c>
      <c r="G734" s="5" t="inlineStr">
        <is>
          <t>Antagonist</t>
        </is>
      </c>
      <c r="H734" s="5" t="inlineStr">
        <is>
          <t>Major</t>
        </is>
      </c>
      <c r="I734" s="5" t="inlineStr">
        <is>
          <t>The man who exploits his father's religious authority, and whom he openly disapproves of.</t>
        </is>
      </c>
      <c r="J734" s="5" t="inlineStr">
        <is>
          <t>The corruption the hero's conscience is set against, rather than an obstacle to the romance.</t>
        </is>
      </c>
      <c r="K734" s="19" t="inlineStr">
        <is>
          <t>A man who uses the head priest's clout to exploit the temple treasury, and the chief object of Somen's disapproval.</t>
        </is>
      </c>
      <c r="L734" s="5" t="n"/>
      <c r="M734" s="5" t="inlineStr">
        <is>
          <t>SOURCE-100</t>
        </is>
      </c>
    </row>
    <row r="735" ht="34" customHeight="1">
      <c r="A735" s="15" t="inlineStr">
        <is>
          <t>CAST-734</t>
        </is>
      </c>
      <c r="B735" s="18" t="inlineStr">
        <is>
          <t>FILM-107</t>
        </is>
      </c>
      <c r="C735" s="5" t="inlineStr">
        <is>
          <t>Prem Granth</t>
        </is>
      </c>
      <c r="D735" s="17" t="n">
        <v>1996</v>
      </c>
      <c r="E735" s="5" t="inlineStr">
        <is>
          <t>Reema Lagoo</t>
        </is>
      </c>
      <c r="F735" s="5" t="inlineStr">
        <is>
          <t>Parvati</t>
        </is>
      </c>
      <c r="G735" s="5" t="inlineStr">
        <is>
          <t>Family</t>
        </is>
      </c>
      <c r="H735" s="5" t="inlineStr">
        <is>
          <t>Medium</t>
        </is>
      </c>
      <c r="I735" s="5" t="inlineStr">
        <is>
          <t>Credited in the priest's household.</t>
        </is>
      </c>
      <c r="J735" s="5" t="inlineStr">
        <is>
          <t>Family background to the forbidden match.</t>
        </is>
      </c>
      <c r="K735" s="19" t="inlineStr">
        <is>
          <t>Credited as Parvati, in the family of the head priest whose son marries outside his caste.</t>
        </is>
      </c>
      <c r="L735" s="5" t="n"/>
      <c r="M735" s="5" t="inlineStr">
        <is>
          <t>SOURCE-100</t>
        </is>
      </c>
    </row>
    <row r="736" ht="34" customHeight="1">
      <c r="A736" s="15" t="inlineStr">
        <is>
          <t>CAST-735</t>
        </is>
      </c>
      <c r="B736" s="18" t="inlineStr">
        <is>
          <t>FILM-107</t>
        </is>
      </c>
      <c r="C736" s="5" t="inlineStr">
        <is>
          <t>Prem Granth</t>
        </is>
      </c>
      <c r="D736" s="17" t="n">
        <v>1996</v>
      </c>
      <c r="E736" s="5" t="inlineStr">
        <is>
          <t>Himani Shivpuri</t>
        </is>
      </c>
      <c r="F736" s="5" t="inlineStr">
        <is>
          <t>Natho</t>
        </is>
      </c>
      <c r="G736" s="5" t="inlineStr">
        <is>
          <t>Supporting</t>
        </is>
      </c>
      <c r="H736" s="5" t="inlineStr">
        <is>
          <t>Minor</t>
        </is>
      </c>
      <c r="I736" s="5" t="inlineStr">
        <is>
          <t>A credited village presence.</t>
        </is>
      </c>
      <c r="J736" s="5" t="inlineStr">
        <is>
          <t>No documented part in the pairing.</t>
        </is>
      </c>
      <c r="K736" s="19" t="inlineStr">
        <is>
          <t>Credited as Natho, with Sulabha Arya's Laxmi, among the village women of the film.</t>
        </is>
      </c>
      <c r="L736" s="5" t="n"/>
      <c r="M736" s="5" t="inlineStr">
        <is>
          <t>SOURCE-100</t>
        </is>
      </c>
    </row>
    <row r="737" ht="64" customHeight="1">
      <c r="A737" s="15" t="inlineStr">
        <is>
          <t>CAST-736</t>
        </is>
      </c>
      <c r="B737" s="18" t="inlineStr">
        <is>
          <t>FILM-108</t>
        </is>
      </c>
      <c r="C737" s="5" t="inlineStr">
        <is>
          <t>Daraar</t>
        </is>
      </c>
      <c r="D737" s="17" t="n">
        <v>1996</v>
      </c>
      <c r="E737" s="5" t="inlineStr">
        <is>
          <t>Juhi Chawla</t>
        </is>
      </c>
      <c r="F737" s="5" t="inlineStr">
        <is>
          <t>Priya Bhatia</t>
        </is>
      </c>
      <c r="G737" s="5" t="inlineStr">
        <is>
          <t>Co-lead</t>
        </is>
      </c>
      <c r="H737" s="5" t="inlineStr">
        <is>
          <t>Major</t>
        </is>
      </c>
      <c r="I737" s="5" t="inlineStr">
        <is>
          <t>The woman he courts in Shimla, who is a wife in hiding and tells him so by letter.</t>
        </is>
      </c>
      <c r="J737" s="5" t="inlineStr">
        <is>
          <t>The whole of the pairing in Romances, a couple formed against a living husband.</t>
        </is>
      </c>
      <c r="K737" s="19" t="inlineStr">
        <is>
          <t>A newly-wed beaten by a suspicious husband, who escapes a storm-struck boat by swimming ashore and is believed drowned, rebuilds in Shimla, and discloses her marriage to her suitor in a letter that goes astray.</t>
        </is>
      </c>
      <c r="L737" s="5" t="n"/>
      <c r="M737" s="5" t="inlineStr">
        <is>
          <t>SOURCE-101</t>
        </is>
      </c>
    </row>
    <row r="738" ht="64" customHeight="1">
      <c r="A738" s="15" t="inlineStr">
        <is>
          <t>CAST-737</t>
        </is>
      </c>
      <c r="B738" s="18" t="inlineStr">
        <is>
          <t>FILM-108</t>
        </is>
      </c>
      <c r="C738" s="5" t="inlineStr">
        <is>
          <t>Daraar</t>
        </is>
      </c>
      <c r="D738" s="17" t="n">
        <v>1996</v>
      </c>
      <c r="E738" s="5" t="inlineStr">
        <is>
          <t>Arbaaz Khan</t>
        </is>
      </c>
      <c r="F738" s="5" t="inlineStr">
        <is>
          <t>Vikram</t>
        </is>
      </c>
      <c r="G738" s="5" t="inlineStr">
        <is>
          <t>Antagonist</t>
        </is>
      </c>
      <c r="H738" s="5" t="inlineStr">
        <is>
          <t>Major</t>
        </is>
      </c>
      <c r="I738" s="5" t="inlineStr">
        <is>
          <t>The husband whose existence stands against the romance, and the man he finally kills.</t>
        </is>
      </c>
      <c r="J738" s="5" t="inlineStr">
        <is>
          <t>The whole of the external opposition, and the violence the film ends in.</t>
        </is>
      </c>
      <c r="K738" s="19" t="inlineStr">
        <is>
          <t>An overly suspicious and violent husband who beats his wife and murders the doctor treating her, believes her drowned, traces her to Shimla, frames her suitor for attempted murder, and is drowned in a bathtub and finally killed by a train.</t>
        </is>
      </c>
      <c r="L738" s="5" t="inlineStr">
        <is>
          <t>Arbaaz Khan's debut, and the role that established him as a screen villain.</t>
        </is>
      </c>
      <c r="M738" s="5" t="inlineStr">
        <is>
          <t>SOURCE-101</t>
        </is>
      </c>
    </row>
    <row r="739" ht="49" customHeight="1">
      <c r="A739" s="15" t="inlineStr">
        <is>
          <t>CAST-738</t>
        </is>
      </c>
      <c r="B739" s="18" t="inlineStr">
        <is>
          <t>FILM-108</t>
        </is>
      </c>
      <c r="C739" s="5" t="inlineStr">
        <is>
          <t>Daraar</t>
        </is>
      </c>
      <c r="D739" s="17" t="n">
        <v>1996</v>
      </c>
      <c r="E739" s="5" t="inlineStr">
        <is>
          <t>Sulabha Arya</t>
        </is>
      </c>
      <c r="F739" s="5" t="inlineStr">
        <is>
          <t>Nirmala Bhatia</t>
        </is>
      </c>
      <c r="G739" s="5" t="inlineStr">
        <is>
          <t>Family</t>
        </is>
      </c>
      <c r="H739" s="5" t="inlineStr">
        <is>
          <t>Major</t>
        </is>
      </c>
      <c r="I739" s="5" t="inlineStr">
        <is>
          <t>The heroine's blind mother, who tells her to disclose the marriage and let the suitor choose.</t>
        </is>
      </c>
      <c r="J739" s="5" t="inlineStr">
        <is>
          <t>The counsel that makes the disclosure, and so the romance, possible.</t>
        </is>
      </c>
      <c r="K739" s="19" t="inlineStr">
        <is>
          <t>Priya's blind mother, for whose treatment the murdered doctor was helping, and who advises her daughter to tell Raj the truth and leave the choice to him.</t>
        </is>
      </c>
      <c r="L739" s="5" t="n"/>
      <c r="M739" s="5" t="inlineStr">
        <is>
          <t>SOURCE-101</t>
        </is>
      </c>
    </row>
    <row r="740" ht="34" customHeight="1">
      <c r="A740" s="15" t="inlineStr">
        <is>
          <t>CAST-739</t>
        </is>
      </c>
      <c r="B740" s="18" t="inlineStr">
        <is>
          <t>FILM-108</t>
        </is>
      </c>
      <c r="C740" s="5" t="inlineStr">
        <is>
          <t>Daraar</t>
        </is>
      </c>
      <c r="D740" s="17" t="n">
        <v>1996</v>
      </c>
      <c r="E740" s="5" t="inlineStr">
        <is>
          <t>Sushma Seth</t>
        </is>
      </c>
      <c r="F740" s="5" t="inlineStr">
        <is>
          <t>Mrs. Malhotra</t>
        </is>
      </c>
      <c r="G740" s="5" t="inlineStr">
        <is>
          <t>Family</t>
        </is>
      </c>
      <c r="H740" s="5" t="inlineStr">
        <is>
          <t>Medium</t>
        </is>
      </c>
      <c r="I740" s="5" t="inlineStr">
        <is>
          <t>His mother, in the industrialist household the heroine is brought into.</t>
        </is>
      </c>
      <c r="J740" s="5" t="inlineStr">
        <is>
          <t>The family the match is conducted in front of.</t>
        </is>
      </c>
      <c r="K740" s="19" t="inlineStr">
        <is>
          <t>Credited as Raj's mother, of the wealthy Malhotra family whose servant mislays the letter the plot turns on.</t>
        </is>
      </c>
      <c r="L740" s="5" t="n"/>
      <c r="M740" s="5" t="inlineStr">
        <is>
          <t>SOURCE-101</t>
        </is>
      </c>
    </row>
    <row r="741" ht="49" customHeight="1">
      <c r="A741" s="15" t="inlineStr">
        <is>
          <t>CAST-740</t>
        </is>
      </c>
      <c r="B741" s="18" t="inlineStr">
        <is>
          <t>FILM-108</t>
        </is>
      </c>
      <c r="C741" s="5" t="inlineStr">
        <is>
          <t>Daraar</t>
        </is>
      </c>
      <c r="D741" s="17" t="n">
        <v>1996</v>
      </c>
      <c r="E741" s="5" t="inlineStr">
        <is>
          <t>Johnny Lever</t>
        </is>
      </c>
      <c r="F741" s="5" t="inlineStr">
        <is>
          <t>Hari</t>
        </is>
      </c>
      <c r="G741" s="5" t="inlineStr">
        <is>
          <t>Comic support</t>
        </is>
      </c>
      <c r="H741" s="5" t="inlineStr">
        <is>
          <t>Medium</t>
        </is>
      </c>
      <c r="I741" s="5" t="inlineStr">
        <is>
          <t>The family servant whose blunder with the letter separates him from the heroine.</t>
        </is>
      </c>
      <c r="J741" s="5" t="inlineStr">
        <is>
          <t>The comic accident that drives the middle of the romance.</t>
        </is>
      </c>
      <c r="K741" s="19" t="inlineStr">
        <is>
          <t>The Malhotras' servant, given Priya's letter of disclosure, who mislays it, has a replacement written containing only a poem, and later finds and delivers the original.</t>
        </is>
      </c>
      <c r="L741" s="5" t="n"/>
      <c r="M741" s="5" t="inlineStr">
        <is>
          <t>SOURCE-101</t>
        </is>
      </c>
    </row>
    <row r="742" ht="34" customHeight="1">
      <c r="A742" s="15" t="inlineStr">
        <is>
          <t>CAST-741</t>
        </is>
      </c>
      <c r="B742" s="18" t="inlineStr">
        <is>
          <t>FILM-108</t>
        </is>
      </c>
      <c r="C742" s="5" t="inlineStr">
        <is>
          <t>Daraar</t>
        </is>
      </c>
      <c r="D742" s="17" t="n">
        <v>1996</v>
      </c>
      <c r="E742" s="5" t="inlineStr">
        <is>
          <t>Prithvi Vazir</t>
        </is>
      </c>
      <c r="F742" s="5" t="inlineStr">
        <is>
          <t>Dr. Sen</t>
        </is>
      </c>
      <c r="G742" s="5" t="inlineStr">
        <is>
          <t>Supporting</t>
        </is>
      </c>
      <c r="H742" s="5" t="inlineStr">
        <is>
          <t>Medium</t>
        </is>
      </c>
      <c r="I742" s="5" t="inlineStr">
        <is>
          <t>The doctor murdered for treating the woman he later loves.</t>
        </is>
      </c>
      <c r="J742" s="5" t="inlineStr">
        <is>
          <t>The measure of what the husband is, before the romance begins.</t>
        </is>
      </c>
      <c r="K742" s="19" t="inlineStr">
        <is>
          <t>The doctor who treats Priya and tries to help her blind mother, and is murdered by her husband for it.</t>
        </is>
      </c>
      <c r="L742" s="5" t="n"/>
      <c r="M742" s="5" t="inlineStr">
        <is>
          <t>SOURCE-101</t>
        </is>
      </c>
    </row>
    <row r="743" ht="34" customHeight="1">
      <c r="A743" s="15" t="inlineStr">
        <is>
          <t>CAST-742</t>
        </is>
      </c>
      <c r="B743" s="18" t="inlineStr">
        <is>
          <t>FILM-108</t>
        </is>
      </c>
      <c r="C743" s="5" t="inlineStr">
        <is>
          <t>Daraar</t>
        </is>
      </c>
      <c r="D743" s="17" t="n">
        <v>1996</v>
      </c>
      <c r="E743" s="5" t="inlineStr">
        <is>
          <t>Tiku Talsania</t>
        </is>
      </c>
      <c r="F743" s="5" t="inlineStr">
        <is>
          <t>Police Inspector</t>
        </is>
      </c>
      <c r="G743" s="5" t="inlineStr">
        <is>
          <t>Authority figure</t>
        </is>
      </c>
      <c r="H743" s="5" t="inlineStr">
        <is>
          <t>Minor</t>
        </is>
      </c>
      <c r="I743" s="5" t="inlineStr">
        <is>
          <t>The law in a plot where he is framed for attempted murder.</t>
        </is>
      </c>
      <c r="J743" s="5" t="inlineStr">
        <is>
          <t>Part of the machinery the opposition uses.</t>
        </is>
      </c>
      <c r="K743" s="19" t="inlineStr">
        <is>
          <t>Credited as the police inspector, in a film whose hero is framed by the husband he is up against.</t>
        </is>
      </c>
      <c r="L743" s="5" t="n"/>
      <c r="M743" s="5" t="inlineStr">
        <is>
          <t>SOURCE-101</t>
        </is>
      </c>
    </row>
    <row r="744" ht="64" customHeight="1">
      <c r="A744" s="15" t="inlineStr">
        <is>
          <t>CAST-743</t>
        </is>
      </c>
      <c r="B744" s="18" t="inlineStr">
        <is>
          <t>FILM-109</t>
        </is>
      </c>
      <c r="C744" s="5" t="inlineStr">
        <is>
          <t>Kaun Sachcha Kaun Jhootha</t>
        </is>
      </c>
      <c r="D744" s="17" t="n">
        <v>1997</v>
      </c>
      <c r="E744" s="5" t="inlineStr">
        <is>
          <t>Sridevi</t>
        </is>
      </c>
      <c r="F744" s="5" t="inlineStr">
        <is>
          <t>Dr. Sapna Mathur, also credited as Madhu Mathur</t>
        </is>
      </c>
      <c r="G744" s="5" t="inlineStr">
        <is>
          <t>Co-lead</t>
        </is>
      </c>
      <c r="H744" s="5" t="inlineStr">
        <is>
          <t>Major</t>
        </is>
      </c>
      <c r="I744" s="5" t="inlineStr">
        <is>
          <t>The woman he arrests for murdering a fellow officer, and then falls in love with and helps escape.</t>
        </is>
      </c>
      <c r="J744" s="5" t="inlineStr">
        <is>
          <t>The whole of the pairing in Romances, conducted across an arrest, a confession and a death sentence; the last of her five films with Kapoor.</t>
        </is>
      </c>
      <c r="K744" s="19" t="inlineStr">
        <is>
          <t>A doctor who kills a police officer and gives a taped confession, is sentenced to death, and is broken out of custody by the investigating officer who has come to believe the case is not what it looks like.</t>
        </is>
      </c>
      <c r="L744" s="5" t="n"/>
      <c r="M744" s="5" t="inlineStr">
        <is>
          <t>SOURCE-102</t>
        </is>
      </c>
    </row>
    <row r="745" ht="49" customHeight="1">
      <c r="A745" s="15" t="inlineStr">
        <is>
          <t>CAST-744</t>
        </is>
      </c>
      <c r="B745" s="18" t="inlineStr">
        <is>
          <t>FILM-109</t>
        </is>
      </c>
      <c r="C745" s="5" t="inlineStr">
        <is>
          <t>Kaun Sachcha Kaun Jhootha</t>
        </is>
      </c>
      <c r="D745" s="17" t="n">
        <v>1997</v>
      </c>
      <c r="E745" s="5" t="inlineStr">
        <is>
          <t>Suresh Oberoi</t>
        </is>
      </c>
      <c r="F745" s="5" t="inlineStr">
        <is>
          <t>IG Suryakant Verma</t>
        </is>
      </c>
      <c r="G745" s="5" t="inlineStr">
        <is>
          <t>Authority figure</t>
        </is>
      </c>
      <c r="H745" s="5" t="inlineStr">
        <is>
          <t>Major</t>
        </is>
      </c>
      <c r="I745" s="5" t="inlineStr">
        <is>
          <t>The senior officer who helps him make the arrest and whose help he seeks again after the escape.</t>
        </is>
      </c>
      <c r="J745" s="5" t="inlineStr">
        <is>
          <t>The institutional ally whose reliability the plot puts in doubt.</t>
        </is>
      </c>
      <c r="K745" s="19" t="inlineStr">
        <is>
          <t>The Inspector General who assists in apprehending Sapna, and to whom Karan turns after helping her escape, in a conspiracy the article says reaches into his own friendships.</t>
        </is>
      </c>
      <c r="L745" s="5" t="n"/>
      <c r="M745" s="5" t="inlineStr">
        <is>
          <t>SOURCE-102</t>
        </is>
      </c>
    </row>
    <row r="746" ht="34" customHeight="1">
      <c r="A746" s="15" t="inlineStr">
        <is>
          <t>CAST-745</t>
        </is>
      </c>
      <c r="B746" s="18" t="inlineStr">
        <is>
          <t>FILM-109</t>
        </is>
      </c>
      <c r="C746" s="5" t="inlineStr">
        <is>
          <t>Kaun Sachcha Kaun Jhootha</t>
        </is>
      </c>
      <c r="D746" s="17" t="n">
        <v>1997</v>
      </c>
      <c r="E746" s="5" t="inlineStr">
        <is>
          <t>Mohnish Behl</t>
        </is>
      </c>
      <c r="F746" s="5" t="inlineStr">
        <is>
          <t>Manish Rawat</t>
        </is>
      </c>
      <c r="G746" s="5" t="inlineStr">
        <is>
          <t>Antagonist</t>
        </is>
      </c>
      <c r="H746" s="5" t="inlineStr">
        <is>
          <t>Major</t>
        </is>
      </c>
      <c r="I746" s="5" t="inlineStr">
        <is>
          <t>Credited in the conspiracy the officer uncovers.</t>
        </is>
      </c>
      <c r="J746" s="5" t="inlineStr">
        <is>
          <t>Part of the external threat to the fugitive couple.</t>
        </is>
      </c>
      <c r="K746" s="19" t="inlineStr">
        <is>
          <t>Credited as Manish Rawat, among the powerful figures the article says the case turns out to involve.</t>
        </is>
      </c>
      <c r="L746" s="5" t="n"/>
      <c r="M746" s="5" t="inlineStr">
        <is>
          <t>SOURCE-102</t>
        </is>
      </c>
    </row>
    <row r="747" ht="49" customHeight="1">
      <c r="A747" s="15" t="inlineStr">
        <is>
          <t>CAST-746</t>
        </is>
      </c>
      <c r="B747" s="18" t="inlineStr">
        <is>
          <t>FILM-109</t>
        </is>
      </c>
      <c r="C747" s="5" t="inlineStr">
        <is>
          <t>Kaun Sachcha Kaun Jhootha</t>
        </is>
      </c>
      <c r="D747" s="17" t="n">
        <v>1997</v>
      </c>
      <c r="E747" s="5" t="inlineStr">
        <is>
          <t>Alok Nath</t>
        </is>
      </c>
      <c r="F747" s="5" t="inlineStr">
        <is>
          <t>Deepak Seth</t>
        </is>
      </c>
      <c r="G747" s="5" t="inlineStr">
        <is>
          <t>Authority figure</t>
        </is>
      </c>
      <c r="H747" s="5" t="inlineStr">
        <is>
          <t>Major</t>
        </is>
      </c>
      <c r="I747" s="5" t="inlineStr">
        <is>
          <t>The chief minister whose help he seeks after the escape.</t>
        </is>
      </c>
      <c r="J747" s="5" t="inlineStr">
        <is>
          <t>Political power the fugitives depend on and cannot be sure of.</t>
        </is>
      </c>
      <c r="K747" s="19" t="inlineStr">
        <is>
          <t>Credited as the state's chief minister, approached by Karan after he breaks Sapna out, in a plot that implicates people in power.</t>
        </is>
      </c>
      <c r="L747" s="5" t="n"/>
      <c r="M747" s="5" t="inlineStr">
        <is>
          <t>SOURCE-102</t>
        </is>
      </c>
    </row>
    <row r="748" ht="34" customHeight="1">
      <c r="A748" s="15" t="inlineStr">
        <is>
          <t>CAST-747</t>
        </is>
      </c>
      <c r="B748" s="18" t="inlineStr">
        <is>
          <t>FILM-109</t>
        </is>
      </c>
      <c r="C748" s="5" t="inlineStr">
        <is>
          <t>Kaun Sachcha Kaun Jhootha</t>
        </is>
      </c>
      <c r="D748" s="17" t="n">
        <v>1997</v>
      </c>
      <c r="E748" s="5" t="inlineStr">
        <is>
          <t>Gulshan Grover</t>
        </is>
      </c>
      <c r="F748" s="5" t="inlineStr">
        <is>
          <t>K. Kaushal</t>
        </is>
      </c>
      <c r="G748" s="5" t="inlineStr">
        <is>
          <t>Cameo</t>
        </is>
      </c>
      <c r="H748" s="5" t="inlineStr">
        <is>
          <t>Minor</t>
        </is>
      </c>
      <c r="I748" s="5" t="inlineStr">
        <is>
          <t>A guest appearance in the conspiracy plot.</t>
        </is>
      </c>
      <c r="J748" s="5" t="inlineStr">
        <is>
          <t>No documented part in the pairing.</t>
        </is>
      </c>
      <c r="K748" s="19" t="inlineStr">
        <is>
          <t>Credited as a guest appearance, in the ranks of a conspiracy the article describes only in outline.</t>
        </is>
      </c>
      <c r="L748" s="5" t="n"/>
      <c r="M748" s="5" t="inlineStr">
        <is>
          <t>SOURCE-102</t>
        </is>
      </c>
    </row>
    <row r="749" ht="34" customHeight="1">
      <c r="A749" s="15" t="inlineStr">
        <is>
          <t>CAST-748</t>
        </is>
      </c>
      <c r="B749" s="18" t="inlineStr">
        <is>
          <t>FILM-109</t>
        </is>
      </c>
      <c r="C749" s="5" t="inlineStr">
        <is>
          <t>Kaun Sachcha Kaun Jhootha</t>
        </is>
      </c>
      <c r="D749" s="17" t="n">
        <v>1997</v>
      </c>
      <c r="E749" s="5" t="inlineStr">
        <is>
          <t>Tinnu Anand</t>
        </is>
      </c>
      <c r="F749" s="5" t="inlineStr">
        <is>
          <t>Ramu Kaka</t>
        </is>
      </c>
      <c r="G749" s="5" t="inlineStr">
        <is>
          <t>Supporting</t>
        </is>
      </c>
      <c r="H749" s="5" t="inlineStr">
        <is>
          <t>Minor</t>
        </is>
      </c>
      <c r="I749" s="5" t="inlineStr">
        <is>
          <t>A credited household figure around the investigation.</t>
        </is>
      </c>
      <c r="J749" s="5" t="inlineStr">
        <is>
          <t>No documented part in the pairing.</t>
        </is>
      </c>
      <c r="K749" s="19" t="inlineStr">
        <is>
          <t>Credited as Ramu Kaka, with Aashif Sheikh's John D'Souza, in the film's supporting ranks.</t>
        </is>
      </c>
      <c r="L749" s="5" t="n"/>
      <c r="M749" s="5" t="inlineStr">
        <is>
          <t>SOURCE-102</t>
        </is>
      </c>
    </row>
    <row r="750" ht="49" customHeight="1">
      <c r="A750" s="15" t="inlineStr">
        <is>
          <t>CAST-749</t>
        </is>
      </c>
      <c r="B750" s="18" t="inlineStr">
        <is>
          <t>FILM-111</t>
        </is>
      </c>
      <c r="C750" s="5" t="inlineStr">
        <is>
          <t>Karobaar</t>
        </is>
      </c>
      <c r="D750" s="17" t="n">
        <v>2000</v>
      </c>
      <c r="E750" s="5" t="inlineStr">
        <is>
          <t>Juhi Chawla</t>
        </is>
      </c>
      <c r="F750" s="5" t="inlineStr">
        <is>
          <t>Seema Saxena</t>
        </is>
      </c>
      <c r="G750" s="5" t="inlineStr">
        <is>
          <t>Co-lead</t>
        </is>
      </c>
      <c r="H750" s="5" t="inlineStr">
        <is>
          <t>Major</t>
        </is>
      </c>
      <c r="I750" s="5" t="inlineStr">
        <is>
          <t>The woman both friends love, and whom he marries against his friend's manoeuvring.</t>
        </is>
      </c>
      <c r="J750" s="5" t="inlineStr">
        <is>
          <t>The whole of the pairing in Romances, which survives the triangle and turns the friendship into enmity.</t>
        </is>
      </c>
      <c r="K750" s="19" t="inlineStr">
        <is>
          <t>The woman Amar and Rajiv both love, married to Amar despite the pretext invented to separate them, and the cause of the enmity that the rest of the film is about.</t>
        </is>
      </c>
      <c r="L750" s="5" t="n"/>
      <c r="M750" s="5" t="inlineStr">
        <is>
          <t>SOURCE-103</t>
        </is>
      </c>
    </row>
    <row r="751" ht="64" customHeight="1">
      <c r="A751" s="15" t="inlineStr">
        <is>
          <t>CAST-750</t>
        </is>
      </c>
      <c r="B751" s="18" t="inlineStr">
        <is>
          <t>FILM-111</t>
        </is>
      </c>
      <c r="C751" s="5" t="inlineStr">
        <is>
          <t>Karobaar</t>
        </is>
      </c>
      <c r="D751" s="17" t="n">
        <v>2000</v>
      </c>
      <c r="E751" s="5" t="inlineStr">
        <is>
          <t>Anil Kapoor</t>
        </is>
      </c>
      <c r="F751" s="5" t="inlineStr">
        <is>
          <t>Rajiv Sinha</t>
        </is>
      </c>
      <c r="G751" s="5" t="inlineStr">
        <is>
          <t>Romantic rival</t>
        </is>
      </c>
      <c r="H751" s="5" t="inlineStr">
        <is>
          <t>Major</t>
        </is>
      </c>
      <c r="I751" s="5" t="inlineStr">
        <is>
          <t>His childhood friend, rival for the same woman, and finally his enemy in court.</t>
        </is>
      </c>
      <c r="J751" s="5" t="inlineStr">
        <is>
          <t>The second claim in the triangle, and the author of the deception that fails to break the marriage.</t>
        </is>
      </c>
      <c r="K751" s="19" t="inlineStr">
        <is>
          <t>A wealthy man with the same tastes as his middle-class friend, who invents a pretext to talk him out of marrying Seema, is exposed, becomes his bitter enemy, and is charged with killing a girl.</t>
        </is>
      </c>
      <c r="L751" s="5" t="n"/>
      <c r="M751" s="5" t="inlineStr">
        <is>
          <t>SOURCE-103</t>
        </is>
      </c>
    </row>
    <row r="752" ht="34" customHeight="1">
      <c r="A752" s="15" t="inlineStr">
        <is>
          <t>CAST-751</t>
        </is>
      </c>
      <c r="B752" s="18" t="inlineStr">
        <is>
          <t>FILM-111</t>
        </is>
      </c>
      <c r="C752" s="5" t="inlineStr">
        <is>
          <t>Karobaar</t>
        </is>
      </c>
      <c r="D752" s="17" t="n">
        <v>2000</v>
      </c>
      <c r="E752" s="5" t="inlineStr">
        <is>
          <t>Tisca Chopra</t>
        </is>
      </c>
      <c r="F752" s="5" t="inlineStr">
        <is>
          <t>Neelam</t>
        </is>
      </c>
      <c r="G752" s="5" t="inlineStr">
        <is>
          <t>Supporting</t>
        </is>
      </c>
      <c r="H752" s="5" t="inlineStr">
        <is>
          <t>Medium</t>
        </is>
      </c>
      <c r="I752" s="5" t="inlineStr">
        <is>
          <t>Credited as the film's second woman, in the case that ends the plot.</t>
        </is>
      </c>
      <c r="J752" s="5" t="inlineStr">
        <is>
          <t>No documented part in the triangle.</t>
        </is>
      </c>
      <c r="K752" s="19" t="inlineStr">
        <is>
          <t>Credited as Neelam, the second female part in a film whose last turn is a murder charge over the death of a girl.</t>
        </is>
      </c>
      <c r="L752" s="5" t="n"/>
      <c r="M752" s="5" t="inlineStr">
        <is>
          <t>SOURCE-103</t>
        </is>
      </c>
    </row>
    <row r="753" ht="34" customHeight="1">
      <c r="A753" s="15" t="inlineStr">
        <is>
          <t>CAST-752</t>
        </is>
      </c>
      <c r="B753" s="18" t="inlineStr">
        <is>
          <t>FILM-111</t>
        </is>
      </c>
      <c r="C753" s="5" t="inlineStr">
        <is>
          <t>Karobaar</t>
        </is>
      </c>
      <c r="D753" s="17" t="n">
        <v>2000</v>
      </c>
      <c r="E753" s="5" t="inlineStr">
        <is>
          <t>Navin Nischol</t>
        </is>
      </c>
      <c r="F753" s="5" t="inlineStr">
        <is>
          <t>Rajesh Puri</t>
        </is>
      </c>
      <c r="G753" s="5" t="inlineStr">
        <is>
          <t>Supporting</t>
        </is>
      </c>
      <c r="H753" s="5" t="inlineStr">
        <is>
          <t>Medium</t>
        </is>
      </c>
      <c r="I753" s="5" t="inlineStr">
        <is>
          <t>Credited high in the cast of the courtroom half of the film.</t>
        </is>
      </c>
      <c r="J753" s="5" t="inlineStr">
        <is>
          <t>No documented part in the pairing.</t>
        </is>
      </c>
      <c r="K753" s="19" t="inlineStr">
        <is>
          <t>Credited as Rajesh Puri, in the supporting ranks around the lawyer's case.</t>
        </is>
      </c>
      <c r="L753" s="5" t="n"/>
      <c r="M753" s="5" t="inlineStr">
        <is>
          <t>SOURCE-103</t>
        </is>
      </c>
    </row>
    <row r="754" ht="49" customHeight="1">
      <c r="A754" s="15" t="inlineStr">
        <is>
          <t>CAST-753</t>
        </is>
      </c>
      <c r="B754" s="18" t="inlineStr">
        <is>
          <t>FILM-111</t>
        </is>
      </c>
      <c r="C754" s="5" t="inlineStr">
        <is>
          <t>Karobaar</t>
        </is>
      </c>
      <c r="D754" s="17" t="n">
        <v>2000</v>
      </c>
      <c r="E754" s="5" t="inlineStr">
        <is>
          <t>Tinnu Anand</t>
        </is>
      </c>
      <c r="F754" s="5" t="inlineStr">
        <is>
          <t>Ramlal Shyamlal</t>
        </is>
      </c>
      <c r="G754" s="5" t="inlineStr">
        <is>
          <t>Comic support</t>
        </is>
      </c>
      <c r="H754" s="5" t="inlineStr">
        <is>
          <t>Minor</t>
        </is>
      </c>
      <c r="I754" s="5" t="inlineStr">
        <is>
          <t>A comic figure around the lawyer's practice, credited with a son of his own.</t>
        </is>
      </c>
      <c r="J754" s="5" t="inlineStr">
        <is>
          <t>Comic attendance on the plot.</t>
        </is>
      </c>
      <c r="K754" s="19" t="inlineStr">
        <is>
          <t>Credited as Ramlal Shyamlal, with Aasif Sheikh as his son, in the comic register of the film.</t>
        </is>
      </c>
      <c r="L754" s="5" t="n"/>
      <c r="M754" s="5" t="inlineStr">
        <is>
          <t>SOURCE-103</t>
        </is>
      </c>
    </row>
    <row r="755" ht="34" customHeight="1">
      <c r="A755" s="15" t="inlineStr">
        <is>
          <t>CAST-754</t>
        </is>
      </c>
      <c r="B755" s="18" t="inlineStr">
        <is>
          <t>FILM-111</t>
        </is>
      </c>
      <c r="C755" s="5" t="inlineStr">
        <is>
          <t>Karobaar</t>
        </is>
      </c>
      <c r="D755" s="17" t="n">
        <v>2000</v>
      </c>
      <c r="E755" s="5" t="inlineStr">
        <is>
          <t>Asrani</t>
        </is>
      </c>
      <c r="F755" s="5" t="inlineStr">
        <is>
          <t>Champak</t>
        </is>
      </c>
      <c r="G755" s="5" t="inlineStr">
        <is>
          <t>Comic support</t>
        </is>
      </c>
      <c r="H755" s="5" t="inlineStr">
        <is>
          <t>Minor</t>
        </is>
      </c>
      <c r="I755" s="5" t="inlineStr">
        <is>
          <t>A comic presence in the film's world.</t>
        </is>
      </c>
      <c r="J755" s="5" t="inlineStr">
        <is>
          <t>Comic attendance on the plot.</t>
        </is>
      </c>
      <c r="K755" s="19" t="inlineStr">
        <is>
          <t>Credited as Champak, in the comic ranks of a friendship-turned-enmity plot.</t>
        </is>
      </c>
      <c r="L755" s="5" t="n"/>
      <c r="M755" s="5" t="inlineStr">
        <is>
          <t>SOURCE-103</t>
        </is>
      </c>
    </row>
    <row r="756" ht="64" customHeight="1">
      <c r="A756" s="15" t="inlineStr">
        <is>
          <t>CAST-755</t>
        </is>
      </c>
      <c r="B756" s="18" t="inlineStr">
        <is>
          <t>FILM-112</t>
        </is>
      </c>
      <c r="C756" s="5" t="inlineStr">
        <is>
          <t>Raju Chacha</t>
        </is>
      </c>
      <c r="D756" s="17" t="n">
        <v>2000</v>
      </c>
      <c r="E756" s="5" t="inlineStr">
        <is>
          <t>Ajay Devgan</t>
        </is>
      </c>
      <c r="F756" s="5" t="inlineStr">
        <is>
          <t>Shekhar / Rajit Rai, as Raju Chacha</t>
        </is>
      </c>
      <c r="G756" s="5" t="inlineStr">
        <is>
          <t>Co-lead</t>
        </is>
      </c>
      <c r="H756" s="5" t="inlineStr">
        <is>
          <t>Major</t>
        </is>
      </c>
      <c r="I756" s="5" t="inlineStr">
        <is>
          <t>The thief who marries into his household and, after his death, returns in the guise of the children's uncle.</t>
        </is>
      </c>
      <c r="J756" s="5" t="inlineStr">
        <is>
          <t>Holds the film's romance, with the governess Kapoor's character employs.</t>
        </is>
      </c>
      <c r="K756" s="19" t="inlineStr">
        <is>
          <t>A bank robber on the run who falls for a governess, wins her, is arrested at his own wedding for stealing the rings, and returns disguised as the children's long-lost uncle Raju Chacha after their father's death.</t>
        </is>
      </c>
      <c r="L756" s="5" t="n"/>
      <c r="M756" s="5" t="inlineStr">
        <is>
          <t>SOURCE-104</t>
        </is>
      </c>
    </row>
    <row r="757" ht="64" customHeight="1">
      <c r="A757" s="15" t="inlineStr">
        <is>
          <t>CAST-756</t>
        </is>
      </c>
      <c r="B757" s="18" t="inlineStr">
        <is>
          <t>FILM-112</t>
        </is>
      </c>
      <c r="C757" s="5" t="inlineStr">
        <is>
          <t>Raju Chacha</t>
        </is>
      </c>
      <c r="D757" s="17" t="n">
        <v>2000</v>
      </c>
      <c r="E757" s="5" t="inlineStr">
        <is>
          <t>Kajol</t>
        </is>
      </c>
      <c r="F757" s="5" t="inlineStr">
        <is>
          <t>Anna</t>
        </is>
      </c>
      <c r="G757" s="5" t="inlineStr">
        <is>
          <t>Co-lead</t>
        </is>
      </c>
      <c r="H757" s="5" t="inlineStr">
        <is>
          <t>Major</t>
        </is>
      </c>
      <c r="I757" s="5" t="inlineStr">
        <is>
          <t>The governess he hires for his three children, and whose marriage he sanctions.</t>
        </is>
      </c>
      <c r="J757" s="5" t="inlineStr">
        <is>
          <t>The film's romance, which his permission makes possible and whose collapse he witnesses.</t>
        </is>
      </c>
      <c r="K757" s="19" t="inlineStr">
        <is>
          <t>A governess from an orphanage, the first to be accepted by the three unruly Rai children as an elder sister, courted and won by a thief, and returning to the orphanage when the wedding ends in an arrest.</t>
        </is>
      </c>
      <c r="L757" s="5" t="n"/>
      <c r="M757" s="5" t="inlineStr">
        <is>
          <t>SOURCE-104</t>
        </is>
      </c>
    </row>
    <row r="758" ht="49" customHeight="1">
      <c r="A758" s="15" t="inlineStr">
        <is>
          <t>CAST-757</t>
        </is>
      </c>
      <c r="B758" s="18" t="inlineStr">
        <is>
          <t>FILM-112</t>
        </is>
      </c>
      <c r="C758" s="5" t="inlineStr">
        <is>
          <t>Raju Chacha</t>
        </is>
      </c>
      <c r="D758" s="17" t="n">
        <v>2000</v>
      </c>
      <c r="E758" s="5" t="inlineStr">
        <is>
          <t>Govind Namdev</t>
        </is>
      </c>
      <c r="F758" s="5" t="inlineStr">
        <is>
          <t>Vikram Sinha</t>
        </is>
      </c>
      <c r="G758" s="5" t="inlineStr">
        <is>
          <t>Antagonist</t>
        </is>
      </c>
      <c r="H758" s="5" t="inlineStr">
        <is>
          <t>Major</t>
        </is>
      </c>
      <c r="I758" s="5" t="inlineStr">
        <is>
          <t>The relative who takes charge of his children and their inheritance after his death.</t>
        </is>
      </c>
      <c r="J758" s="5" t="inlineStr">
        <is>
          <t>The external threat that follows the father's removal.</t>
        </is>
      </c>
      <c r="K758" s="19" t="inlineStr">
        <is>
          <t>Credited as Vikram Sinha, with Pramod Moutho's Prabhakar Sinha, among the relatives interested in the Rai children only for their father's money.</t>
        </is>
      </c>
      <c r="L758" s="5" t="n"/>
      <c r="M758" s="5" t="inlineStr">
        <is>
          <t>SOURCE-104</t>
        </is>
      </c>
    </row>
    <row r="759" ht="49" customHeight="1">
      <c r="A759" s="15" t="inlineStr">
        <is>
          <t>CAST-758</t>
        </is>
      </c>
      <c r="B759" s="18" t="inlineStr">
        <is>
          <t>FILM-112</t>
        </is>
      </c>
      <c r="C759" s="5" t="inlineStr">
        <is>
          <t>Raju Chacha</t>
        </is>
      </c>
      <c r="D759" s="17" t="n">
        <v>2000</v>
      </c>
      <c r="E759" s="5" t="inlineStr">
        <is>
          <t>Kinshuk Vaidya</t>
        </is>
      </c>
      <c r="F759" s="5" t="inlineStr">
        <is>
          <t>Rahul Rai</t>
        </is>
      </c>
      <c r="G759" s="5" t="inlineStr">
        <is>
          <t>Family</t>
        </is>
      </c>
      <c r="H759" s="5" t="inlineStr">
        <is>
          <t>Major</t>
        </is>
      </c>
      <c r="I759" s="5" t="inlineStr">
        <is>
          <t>One of his three motherless children, whose behaviour drives off every governess he hires.</t>
        </is>
      </c>
      <c r="J759" s="5" t="inlineStr">
        <is>
          <t>The reason the governess is in the house at all.</t>
        </is>
      </c>
      <c r="K759" s="19" t="inlineStr">
        <is>
          <t>Credited as Rahul, one of the three Rai children with Harsh Lunia's Rohit and Sakshi Sem's Rani, so naughty that they drive away every teacher their father engages.</t>
        </is>
      </c>
      <c r="L759" s="5" t="n"/>
      <c r="M759" s="5" t="inlineStr">
        <is>
          <t>SOURCE-104</t>
        </is>
      </c>
    </row>
    <row r="760" ht="34" customHeight="1">
      <c r="A760" s="15" t="inlineStr">
        <is>
          <t>CAST-759</t>
        </is>
      </c>
      <c r="B760" s="18" t="inlineStr">
        <is>
          <t>FILM-112</t>
        </is>
      </c>
      <c r="C760" s="5" t="inlineStr">
        <is>
          <t>Raju Chacha</t>
        </is>
      </c>
      <c r="D760" s="17" t="n">
        <v>2000</v>
      </c>
      <c r="E760" s="5" t="inlineStr">
        <is>
          <t>Tiku Talsania</t>
        </is>
      </c>
      <c r="F760" s="5" t="inlineStr">
        <is>
          <t>Banky Bihari Chaturdevi, called B. B. C.</t>
        </is>
      </c>
      <c r="G760" s="5" t="inlineStr">
        <is>
          <t>Comic support</t>
        </is>
      </c>
      <c r="H760" s="5" t="inlineStr">
        <is>
          <t>Medium</t>
        </is>
      </c>
      <c r="I760" s="5" t="inlineStr">
        <is>
          <t>The family butler in his household.</t>
        </is>
      </c>
      <c r="J760" s="5" t="inlineStr">
        <is>
          <t>Comic attendance on the household the romance enters.</t>
        </is>
      </c>
      <c r="K760" s="19" t="inlineStr">
        <is>
          <t>Credited as the family butler B. B. C., living with the widowed father and his three children.</t>
        </is>
      </c>
      <c r="L760" s="5" t="n"/>
      <c r="M760" s="5" t="inlineStr">
        <is>
          <t>SOURCE-104</t>
        </is>
      </c>
    </row>
    <row r="761" ht="34" customHeight="1">
      <c r="A761" s="15" t="inlineStr">
        <is>
          <t>CAST-760</t>
        </is>
      </c>
      <c r="B761" s="18" t="inlineStr">
        <is>
          <t>FILM-112</t>
        </is>
      </c>
      <c r="C761" s="5" t="inlineStr">
        <is>
          <t>Raju Chacha</t>
        </is>
      </c>
      <c r="D761" s="17" t="n">
        <v>2000</v>
      </c>
      <c r="E761" s="5" t="inlineStr">
        <is>
          <t>Johnny Lever</t>
        </is>
      </c>
      <c r="F761" s="5" t="inlineStr">
        <is>
          <t>Jadu</t>
        </is>
      </c>
      <c r="G761" s="5" t="inlineStr">
        <is>
          <t>Comic support</t>
        </is>
      </c>
      <c r="H761" s="5" t="inlineStr">
        <is>
          <t>Medium</t>
        </is>
      </c>
      <c r="I761" s="5" t="inlineStr">
        <is>
          <t>The thief's accomplice, outside the household.</t>
        </is>
      </c>
      <c r="J761" s="5" t="inlineStr">
        <is>
          <t>Comic attendance on the courtship.</t>
        </is>
      </c>
      <c r="K761" s="19" t="inlineStr">
        <is>
          <t>Credited as Jadu, the friend with whom Shekhar robs the bank and evades the police.</t>
        </is>
      </c>
      <c r="L761" s="5" t="n"/>
      <c r="M761" s="5" t="inlineStr">
        <is>
          <t>SOURCE-104</t>
        </is>
      </c>
    </row>
    <row r="762" ht="49" customHeight="1">
      <c r="A762" s="15" t="inlineStr">
        <is>
          <t>CAST-761</t>
        </is>
      </c>
      <c r="B762" s="18" t="inlineStr">
        <is>
          <t>FILM-112</t>
        </is>
      </c>
      <c r="C762" s="5" t="inlineStr">
        <is>
          <t>Raju Chacha</t>
        </is>
      </c>
      <c r="D762" s="17" t="n">
        <v>2000</v>
      </c>
      <c r="E762" s="5" t="inlineStr">
        <is>
          <t>Sanjay Dutt</t>
        </is>
      </c>
      <c r="F762" s="5" t="inlineStr">
        <is>
          <t>Gafoor</t>
        </is>
      </c>
      <c r="G762" s="5" t="inlineStr">
        <is>
          <t>Cameo</t>
        </is>
      </c>
      <c r="H762" s="5" t="inlineStr">
        <is>
          <t>Minor</t>
        </is>
      </c>
      <c r="I762" s="5" t="inlineStr">
        <is>
          <t>A special appearance credited with the same alias as the title character.</t>
        </is>
      </c>
      <c r="J762" s="5" t="inlineStr">
        <is>
          <t>No documented part in the romance.</t>
        </is>
      </c>
      <c r="K762" s="19" t="inlineStr">
        <is>
          <t>In a special appearance credited as Gafoor, also under the Raju Chacha alias, in the film's disguise plot.</t>
        </is>
      </c>
      <c r="L762" s="5" t="n"/>
      <c r="M762" s="5" t="inlineStr">
        <is>
          <t>SOURCE-104</t>
        </is>
      </c>
    </row>
    <row r="763" ht="34" customHeight="1">
      <c r="A763" s="15" t="inlineStr">
        <is>
          <t>CAST-762</t>
        </is>
      </c>
      <c r="B763" s="18" t="inlineStr">
        <is>
          <t>FILM-112</t>
        </is>
      </c>
      <c r="C763" s="5" t="inlineStr">
        <is>
          <t>Raju Chacha</t>
        </is>
      </c>
      <c r="D763" s="17" t="n">
        <v>2000</v>
      </c>
      <c r="E763" s="5" t="inlineStr">
        <is>
          <t>Smita Jaykar</t>
        </is>
      </c>
      <c r="F763" s="5" t="inlineStr">
        <is>
          <t>Mother Superior</t>
        </is>
      </c>
      <c r="G763" s="5" t="inlineStr">
        <is>
          <t>Authority figure</t>
        </is>
      </c>
      <c r="H763" s="5" t="inlineStr">
        <is>
          <t>Minor</t>
        </is>
      </c>
      <c r="I763" s="5" t="inlineStr">
        <is>
          <t>The authority at the orphanage the governess comes from and returns to.</t>
        </is>
      </c>
      <c r="J763" s="5" t="inlineStr">
        <is>
          <t>The institution the romance begins and ends at.</t>
        </is>
      </c>
      <c r="K763" s="19" t="inlineStr">
        <is>
          <t>Credited as the Mother Superior of the orphanage Anna works at and goes back to after the wedding collapses.</t>
        </is>
      </c>
      <c r="L763" s="5" t="n"/>
      <c r="M763" s="5" t="inlineStr">
        <is>
          <t>SOURCE-104</t>
        </is>
      </c>
    </row>
    <row r="764" ht="64" customHeight="1">
      <c r="A764" s="15" t="inlineStr">
        <is>
          <t>CAST-763</t>
        </is>
      </c>
      <c r="B764" s="18" t="inlineStr">
        <is>
          <t>FILM-113</t>
        </is>
      </c>
      <c r="C764" s="5" t="inlineStr">
        <is>
          <t>Kuch Khatti Kuch Meethi</t>
        </is>
      </c>
      <c r="D764" s="17" t="n">
        <v>2001</v>
      </c>
      <c r="E764" s="5" t="inlineStr">
        <is>
          <t>Rati Agnihotri</t>
        </is>
      </c>
      <c r="F764" s="5" t="inlineStr">
        <is>
          <t>Archana Khanna</t>
        </is>
      </c>
      <c r="G764" s="5" t="inlineStr">
        <is>
          <t>Co-lead</t>
        </is>
      </c>
      <c r="H764" s="5" t="inlineStr">
        <is>
          <t>Major</t>
        </is>
      </c>
      <c r="I764" s="5" t="inlineStr">
        <is>
          <t>His wife, separated from him by a lie and reunited with him by their daughters; the third of their four films together.</t>
        </is>
      </c>
      <c r="J764" s="5" t="inlineStr">
        <is>
          <t>The whole of the pairing in Romances, broken by a planted suspicion and reassembled by the children.</t>
        </is>
      </c>
      <c r="K764" s="19" t="inlineStr">
        <is>
          <t>Raj's wife, falsely accused of an affair by his stepsister, separated from him just after bearing twin daughters, and taken to London with one of them while the other is handed to her father.</t>
        </is>
      </c>
      <c r="L764" s="5" t="n"/>
      <c r="M764" s="5" t="inlineStr">
        <is>
          <t>SOURCE-105</t>
        </is>
      </c>
    </row>
    <row r="765" ht="64" customHeight="1">
      <c r="A765" s="15" t="inlineStr">
        <is>
          <t>CAST-764</t>
        </is>
      </c>
      <c r="B765" s="18" t="inlineStr">
        <is>
          <t>FILM-113</t>
        </is>
      </c>
      <c r="C765" s="5" t="inlineStr">
        <is>
          <t>Kuch Khatti Kuch Meethi</t>
        </is>
      </c>
      <c r="D765" s="17" t="n">
        <v>2001</v>
      </c>
      <c r="E765" s="5" t="inlineStr">
        <is>
          <t>Kajol</t>
        </is>
      </c>
      <c r="F765" s="5" t="inlineStr">
        <is>
          <t>Tina and Sweety Khanna</t>
        </is>
      </c>
      <c r="G765" s="5" t="inlineStr">
        <is>
          <t>Co-lead</t>
        </is>
      </c>
      <c r="H765" s="5" t="inlineStr">
        <is>
          <t>Major</t>
        </is>
      </c>
      <c r="I765" s="5" t="inlineStr">
        <is>
          <t>His twin daughters in a double role, one raised by him and one by his wife, who swap places to reunite the parents.</t>
        </is>
      </c>
      <c r="J765" s="5" t="inlineStr">
        <is>
          <t>The agents of the pairing's reconciliation.</t>
        </is>
      </c>
      <c r="K765" s="19" t="inlineStr">
        <is>
          <t>Credited in a dual role as the twins split between their parents at birth, who meet by coincidence in London, discover each other, change places, and set about bringing their parents back together.</t>
        </is>
      </c>
      <c r="L765" s="5" t="n"/>
      <c r="M765" s="5" t="inlineStr">
        <is>
          <t>SOURCE-105</t>
        </is>
      </c>
    </row>
    <row r="766" ht="49" customHeight="1">
      <c r="A766" s="15" t="inlineStr">
        <is>
          <t>CAST-765</t>
        </is>
      </c>
      <c r="B766" s="18" t="inlineStr">
        <is>
          <t>FILM-113</t>
        </is>
      </c>
      <c r="C766" s="5" t="inlineStr">
        <is>
          <t>Kuch Khatti Kuch Meethi</t>
        </is>
      </c>
      <c r="D766" s="17" t="n">
        <v>2001</v>
      </c>
      <c r="E766" s="5" t="inlineStr">
        <is>
          <t>Mita Vasisht</t>
        </is>
      </c>
      <c r="F766" s="5" t="inlineStr">
        <is>
          <t>Devyani</t>
        </is>
      </c>
      <c r="G766" s="5" t="inlineStr">
        <is>
          <t>Antagonist</t>
        </is>
      </c>
      <c r="H766" s="5" t="inlineStr">
        <is>
          <t>Major</t>
        </is>
      </c>
      <c r="I766" s="5" t="inlineStr">
        <is>
          <t>His stepsister, whose lie about his wife destroys the marriage.</t>
        </is>
      </c>
      <c r="J766" s="5" t="inlineStr">
        <is>
          <t>The author of the mistrust that separates the couple.</t>
        </is>
      </c>
      <c r="K766" s="19" t="inlineStr">
        <is>
          <t>Raj's stepsister, who wants his wealth and tells him his wife is having an affair with another man, the lie the whole plot proceeds from.</t>
        </is>
      </c>
      <c r="L766" s="5" t="n"/>
      <c r="M766" s="5" t="inlineStr">
        <is>
          <t>SOURCE-105</t>
        </is>
      </c>
    </row>
    <row r="767" ht="34" customHeight="1">
      <c r="A767" s="15" t="inlineStr">
        <is>
          <t>CAST-766</t>
        </is>
      </c>
      <c r="B767" s="18" t="inlineStr">
        <is>
          <t>FILM-113</t>
        </is>
      </c>
      <c r="C767" s="5" t="inlineStr">
        <is>
          <t>Kuch Khatti Kuch Meethi</t>
        </is>
      </c>
      <c r="D767" s="17" t="n">
        <v>2001</v>
      </c>
      <c r="E767" s="5" t="inlineStr">
        <is>
          <t>Suniel Shetty</t>
        </is>
      </c>
      <c r="F767" s="5" t="inlineStr">
        <is>
          <t>Sameer</t>
        </is>
      </c>
      <c r="G767" s="5" t="inlineStr">
        <is>
          <t>Supporting</t>
        </is>
      </c>
      <c r="H767" s="5" t="inlineStr">
        <is>
          <t>Major</t>
        </is>
      </c>
      <c r="I767" s="5" t="inlineStr">
        <is>
          <t>The daughter's boyfriend, who helps the twins with the reconciliation.</t>
        </is>
      </c>
      <c r="J767" s="5" t="inlineStr">
        <is>
          <t>The younger romance, and an ally of the parents' reunion.</t>
        </is>
      </c>
      <c r="K767" s="19" t="inlineStr">
        <is>
          <t>Credited as Tina's boyfriend, who helps the twins in their efforts to bring Raj and Archana back together.</t>
        </is>
      </c>
      <c r="L767" s="5" t="n"/>
      <c r="M767" s="5" t="inlineStr">
        <is>
          <t>SOURCE-105</t>
        </is>
      </c>
    </row>
    <row r="768" ht="49" customHeight="1">
      <c r="A768" s="15" t="inlineStr">
        <is>
          <t>CAST-767</t>
        </is>
      </c>
      <c r="B768" s="18" t="inlineStr">
        <is>
          <t>FILM-113</t>
        </is>
      </c>
      <c r="C768" s="5" t="inlineStr">
        <is>
          <t>Kuch Khatti Kuch Meethi</t>
        </is>
      </c>
      <c r="D768" s="17" t="n">
        <v>2001</v>
      </c>
      <c r="E768" s="5" t="inlineStr">
        <is>
          <t>Pooja Batra</t>
        </is>
      </c>
      <c r="F768" s="5" t="inlineStr">
        <is>
          <t>Savitri</t>
        </is>
      </c>
      <c r="G768" s="5" t="inlineStr">
        <is>
          <t>Supporting</t>
        </is>
      </c>
      <c r="H768" s="5" t="inlineStr">
        <is>
          <t>Medium</t>
        </is>
      </c>
      <c r="I768" s="5" t="inlineStr">
        <is>
          <t>The woman he is involved with while separated from his wife.</t>
        </is>
      </c>
      <c r="J768" s="5" t="inlineStr">
        <is>
          <t>The obstacle the daughters find in place when they begin the reconciliation.</t>
        </is>
      </c>
      <c r="K768" s="19" t="inlineStr">
        <is>
          <t>Credited as Savitri, the woman Raj is having an affair with when his daughter arrives to reunite her parents.</t>
        </is>
      </c>
      <c r="L768" s="5" t="n"/>
      <c r="M768" s="5" t="inlineStr">
        <is>
          <t>SOURCE-105</t>
        </is>
      </c>
    </row>
    <row r="769" ht="34" customHeight="1">
      <c r="A769" s="15" t="inlineStr">
        <is>
          <t>CAST-768</t>
        </is>
      </c>
      <c r="B769" s="18" t="inlineStr">
        <is>
          <t>FILM-113</t>
        </is>
      </c>
      <c r="C769" s="5" t="inlineStr">
        <is>
          <t>Kuch Khatti Kuch Meethi</t>
        </is>
      </c>
      <c r="D769" s="17" t="n">
        <v>2001</v>
      </c>
      <c r="E769" s="5" t="inlineStr">
        <is>
          <t>Parmeet Sethi</t>
        </is>
      </c>
      <c r="F769" s="5" t="inlineStr">
        <is>
          <t>Ranjeet Ahuja</t>
        </is>
      </c>
      <c r="G769" s="5" t="inlineStr">
        <is>
          <t>Supporting</t>
        </is>
      </c>
      <c r="H769" s="5" t="inlineStr">
        <is>
          <t>Medium</t>
        </is>
      </c>
      <c r="I769" s="5" t="inlineStr">
        <is>
          <t>Credited in the circle around the separated household.</t>
        </is>
      </c>
      <c r="J769" s="5" t="inlineStr">
        <is>
          <t>No documented part in the pairing.</t>
        </is>
      </c>
      <c r="K769" s="19" t="inlineStr">
        <is>
          <t>Credited as Ranjeet Ahuja, in the supporting ranks of the film.</t>
        </is>
      </c>
      <c r="L769" s="5" t="n"/>
      <c r="M769" s="5" t="inlineStr">
        <is>
          <t>SOURCE-105</t>
        </is>
      </c>
    </row>
    <row r="770" ht="49" customHeight="1">
      <c r="A770" s="15" t="inlineStr">
        <is>
          <t>CAST-769</t>
        </is>
      </c>
      <c r="B770" s="18" t="inlineStr">
        <is>
          <t>FILM-113</t>
        </is>
      </c>
      <c r="C770" s="5" t="inlineStr">
        <is>
          <t>Kuch Khatti Kuch Meethi</t>
        </is>
      </c>
      <c r="D770" s="17" t="n">
        <v>2001</v>
      </c>
      <c r="E770" s="5" t="inlineStr">
        <is>
          <t>Dinesh Hingoo</t>
        </is>
      </c>
      <c r="F770" s="5" t="inlineStr">
        <is>
          <t>Sweety's prospective father-in-law</t>
        </is>
      </c>
      <c r="G770" s="5" t="inlineStr">
        <is>
          <t>Comic support</t>
        </is>
      </c>
      <c r="H770" s="5" t="inlineStr">
        <is>
          <t>Minor</t>
        </is>
      </c>
      <c r="I770" s="5" t="inlineStr">
        <is>
          <t>Credited in the match Kapoor's character tries to arrange for his daughter.</t>
        </is>
      </c>
      <c r="J770" s="5" t="inlineStr">
        <is>
          <t>The arranged marriage the daughter runs from, which starts the reunion plot.</t>
        </is>
      </c>
      <c r="K770" s="19" t="inlineStr">
        <is>
          <t>Credited as the father of the man Raj chooses for Sweety, the match she refuses before running away to London.</t>
        </is>
      </c>
      <c r="L770" s="5" t="n"/>
      <c r="M770" s="5" t="inlineStr">
        <is>
          <t>SOURCE-105</t>
        </is>
      </c>
    </row>
    <row r="771" ht="64" customHeight="1">
      <c r="A771" s="15" t="inlineStr">
        <is>
          <t>CAST-770</t>
        </is>
      </c>
      <c r="B771" s="18" t="inlineStr">
        <is>
          <t>FILM-114</t>
        </is>
      </c>
      <c r="C771" s="5" t="inlineStr">
        <is>
          <t>Yeh Hai Jalwa</t>
        </is>
      </c>
      <c r="D771" s="17" t="n">
        <v>2002</v>
      </c>
      <c r="E771" s="5" t="inlineStr">
        <is>
          <t>Salman Khan</t>
        </is>
      </c>
      <c r="F771" s="5" t="inlineStr">
        <is>
          <t>Raj Saxena / Raj Mittal, called Raju</t>
        </is>
      </c>
      <c r="G771" s="5" t="inlineStr">
        <is>
          <t>Co-lead</t>
        </is>
      </c>
      <c r="H771" s="5" t="inlineStr">
        <is>
          <t>Major</t>
        </is>
      </c>
      <c r="I771" s="5" t="inlineStr">
        <is>
          <t>The son Kapoor's character abandoned, who finds him in London and gives him an ultimatum.</t>
        </is>
      </c>
      <c r="J771" s="5" t="inlineStr">
        <is>
          <t>Holds the film's romance, with Sonia.</t>
        </is>
      </c>
      <c r="K771" s="19" t="inlineStr">
        <is>
          <t>An orphan businessman whose mother died young and whose father had left, who recognises that father receiving an award on television, travels to London, and gives him seven days to acknowledge him before he does it himself.</t>
        </is>
      </c>
      <c r="L771" s="5" t="n"/>
      <c r="M771" s="5" t="inlineStr">
        <is>
          <t>SOURCE-106</t>
        </is>
      </c>
    </row>
    <row r="772" ht="49" customHeight="1">
      <c r="A772" s="15" t="inlineStr">
        <is>
          <t>CAST-771</t>
        </is>
      </c>
      <c r="B772" s="18" t="inlineStr">
        <is>
          <t>FILM-114</t>
        </is>
      </c>
      <c r="C772" s="5" t="inlineStr">
        <is>
          <t>Yeh Hai Jalwa</t>
        </is>
      </c>
      <c r="D772" s="17" t="n">
        <v>2002</v>
      </c>
      <c r="E772" s="5" t="inlineStr">
        <is>
          <t>Ameesha Patel</t>
        </is>
      </c>
      <c r="F772" s="5" t="inlineStr">
        <is>
          <t>Sonia Singh</t>
        </is>
      </c>
      <c r="G772" s="5" t="inlineStr">
        <is>
          <t>Co-lead</t>
        </is>
      </c>
      <c r="H772" s="5" t="inlineStr">
        <is>
          <t>Major</t>
        </is>
      </c>
      <c r="I772" s="5" t="inlineStr">
        <is>
          <t>The son's romance, outside Kapoor's own thread.</t>
        </is>
      </c>
      <c r="J772" s="5" t="inlineStr">
        <is>
          <t>The film's principal courtship, which Kapoor's role has no part in.</t>
        </is>
      </c>
      <c r="K772" s="19" t="inlineStr">
        <is>
          <t>A young woman who tries to trick Raju into carrying her luggage at the airport, is outmanoeuvred, and falls in love with him.</t>
        </is>
      </c>
      <c r="L772" s="5" t="n"/>
      <c r="M772" s="5" t="inlineStr">
        <is>
          <t>SOURCE-106</t>
        </is>
      </c>
    </row>
    <row r="773" ht="49" customHeight="1">
      <c r="A773" s="15" t="inlineStr">
        <is>
          <t>CAST-772</t>
        </is>
      </c>
      <c r="B773" s="18" t="inlineStr">
        <is>
          <t>FILM-114</t>
        </is>
      </c>
      <c r="C773" s="5" t="inlineStr">
        <is>
          <t>Yeh Hai Jalwa</t>
        </is>
      </c>
      <c r="D773" s="17" t="n">
        <v>2002</v>
      </c>
      <c r="E773" s="5" t="inlineStr">
        <is>
          <t>Rati Agnihotri</t>
        </is>
      </c>
      <c r="F773" s="5" t="inlineStr">
        <is>
          <t>Smita Mittal</t>
        </is>
      </c>
      <c r="G773" s="5" t="inlineStr">
        <is>
          <t>Family</t>
        </is>
      </c>
      <c r="H773" s="5" t="inlineStr">
        <is>
          <t>Major</t>
        </is>
      </c>
      <c r="I773" s="5" t="inlineStr">
        <is>
          <t>His second wife, who does not know about the first family; the last of their four films together.</t>
        </is>
      </c>
      <c r="J773" s="5" t="inlineStr">
        <is>
          <t>The marriage the concealment protects.</t>
        </is>
      </c>
      <c r="K773" s="19" t="inlineStr">
        <is>
          <t>Credited as Rajesh's wife in London, mother of Rinkie and Bunty, and the person the seven-day ultimatum is really aimed at.</t>
        </is>
      </c>
      <c r="L773" s="5" t="n"/>
      <c r="M773" s="5" t="inlineStr">
        <is>
          <t>SOURCE-106</t>
        </is>
      </c>
    </row>
    <row r="774" ht="49" customHeight="1">
      <c r="A774" s="15" t="inlineStr">
        <is>
          <t>CAST-773</t>
        </is>
      </c>
      <c r="B774" s="18" t="inlineStr">
        <is>
          <t>FILM-114</t>
        </is>
      </c>
      <c r="C774" s="5" t="inlineStr">
        <is>
          <t>Yeh Hai Jalwa</t>
        </is>
      </c>
      <c r="D774" s="17" t="n">
        <v>2002</v>
      </c>
      <c r="E774" s="5" t="inlineStr">
        <is>
          <t>Poonam Dhillon</t>
        </is>
      </c>
      <c r="F774" s="5" t="inlineStr">
        <is>
          <t>Meghna Saxena Mittal</t>
        </is>
      </c>
      <c r="G774" s="5" t="inlineStr">
        <is>
          <t>Family</t>
        </is>
      </c>
      <c r="H774" s="5" t="inlineStr">
        <is>
          <t>Minor</t>
        </is>
      </c>
      <c r="I774" s="5" t="inlineStr">
        <is>
          <t>His abandoned first wife, who appears in the film only as a photograph.</t>
        </is>
      </c>
      <c r="J774" s="5" t="inlineStr">
        <is>
          <t>The marriage the plot exists to answer for, present only as an image.</t>
        </is>
      </c>
      <c r="K774" s="19" t="inlineStr">
        <is>
          <t>Credited for a photograph only, as the first wife Rajesh left and the mother who died young, in the sixth and last of her films with Kapoor.</t>
        </is>
      </c>
      <c r="L774" s="5" t="n"/>
      <c r="M774" s="5" t="inlineStr">
        <is>
          <t>SOURCE-106</t>
        </is>
      </c>
    </row>
    <row r="775" ht="49" customHeight="1">
      <c r="A775" s="15" t="inlineStr">
        <is>
          <t>CAST-774</t>
        </is>
      </c>
      <c r="B775" s="18" t="inlineStr">
        <is>
          <t>FILM-114</t>
        </is>
      </c>
      <c r="C775" s="5" t="inlineStr">
        <is>
          <t>Yeh Hai Jalwa</t>
        </is>
      </c>
      <c r="D775" s="17" t="n">
        <v>2002</v>
      </c>
      <c r="E775" s="5" t="inlineStr">
        <is>
          <t>Kader Khan</t>
        </is>
      </c>
      <c r="F775" s="5" t="inlineStr">
        <is>
          <t>Purshottam Mittal</t>
        </is>
      </c>
      <c r="G775" s="5" t="inlineStr">
        <is>
          <t>Family</t>
        </is>
      </c>
      <c r="H775" s="5" t="inlineStr">
        <is>
          <t>Major</t>
        </is>
      </c>
      <c r="I775" s="5" t="inlineStr">
        <is>
          <t>Credited as the senior figure of the Mittal household he built in London.</t>
        </is>
      </c>
      <c r="J775" s="5" t="inlineStr">
        <is>
          <t>The family standing the concealment protects.</t>
        </is>
      </c>
      <c r="K775" s="19" t="inlineStr">
        <is>
          <t>Credited as Purshottam Mittal, the senior of the London family, in the last of his many films with Kapoor.</t>
        </is>
      </c>
      <c r="L775" s="5" t="n"/>
      <c r="M775" s="5" t="inlineStr">
        <is>
          <t>SOURCE-106</t>
        </is>
      </c>
    </row>
    <row r="776" ht="49" customHeight="1">
      <c r="A776" s="15" t="inlineStr">
        <is>
          <t>CAST-775</t>
        </is>
      </c>
      <c r="B776" s="18" t="inlineStr">
        <is>
          <t>FILM-114</t>
        </is>
      </c>
      <c r="C776" s="5" t="inlineStr">
        <is>
          <t>Yeh Hai Jalwa</t>
        </is>
      </c>
      <c r="D776" s="17" t="n">
        <v>2002</v>
      </c>
      <c r="E776" s="5" t="inlineStr">
        <is>
          <t>Sanjay Dutt</t>
        </is>
      </c>
      <c r="F776" s="5" t="inlineStr">
        <is>
          <t>Shera</t>
        </is>
      </c>
      <c r="G776" s="5" t="inlineStr">
        <is>
          <t>Cameo</t>
        </is>
      </c>
      <c r="H776" s="5" t="inlineStr">
        <is>
          <t>Medium</t>
        </is>
      </c>
      <c r="I776" s="5" t="inlineStr">
        <is>
          <t>The man who rescues the son from the gangsters Kapoor's character hires.</t>
        </is>
      </c>
      <c r="J776" s="5" t="inlineStr">
        <is>
          <t>No part in the romance.</t>
        </is>
      </c>
      <c r="K776" s="19" t="inlineStr">
        <is>
          <t>In a special appearance as another Indian in London, who rescues the beaten Raju and advises him to enter his father's house as a family friend.</t>
        </is>
      </c>
      <c r="L776" s="5" t="n"/>
      <c r="M776" s="5" t="inlineStr">
        <is>
          <t>SOURCE-106</t>
        </is>
      </c>
    </row>
    <row r="777" ht="34" customHeight="1">
      <c r="A777" s="15" t="inlineStr">
        <is>
          <t>CAST-776</t>
        </is>
      </c>
      <c r="B777" s="18" t="inlineStr">
        <is>
          <t>FILM-114</t>
        </is>
      </c>
      <c r="C777" s="5" t="inlineStr">
        <is>
          <t>Yeh Hai Jalwa</t>
        </is>
      </c>
      <c r="D777" s="17" t="n">
        <v>2002</v>
      </c>
      <c r="E777" s="5" t="inlineStr">
        <is>
          <t>Rinke Khanna</t>
        </is>
      </c>
      <c r="F777" s="5" t="inlineStr">
        <is>
          <t>Rinkie Mittal</t>
        </is>
      </c>
      <c r="G777" s="5" t="inlineStr">
        <is>
          <t>Family</t>
        </is>
      </c>
      <c r="H777" s="5" t="inlineStr">
        <is>
          <t>Medium</t>
        </is>
      </c>
      <c r="I777" s="5" t="inlineStr">
        <is>
          <t>His daughter by the second marriage, engaged to a man dealing drugs.</t>
        </is>
      </c>
      <c r="J777" s="5" t="inlineStr">
        <is>
          <t>The household vulnerability the plot exposes.</t>
        </is>
      </c>
      <c r="K777" s="19" t="inlineStr">
        <is>
          <t>Credited as Rajesh's daughter, engaged to Vicky without knowing he is involved in drug dealing.</t>
        </is>
      </c>
      <c r="L777" s="5" t="n"/>
      <c r="M777" s="5" t="inlineStr">
        <is>
          <t>SOURCE-106</t>
        </is>
      </c>
    </row>
    <row r="778" ht="34" customHeight="1">
      <c r="A778" s="15" t="inlineStr">
        <is>
          <t>CAST-777</t>
        </is>
      </c>
      <c r="B778" s="18" t="inlineStr">
        <is>
          <t>FILM-114</t>
        </is>
      </c>
      <c r="C778" s="5" t="inlineStr">
        <is>
          <t>Yeh Hai Jalwa</t>
        </is>
      </c>
      <c r="D778" s="17" t="n">
        <v>2002</v>
      </c>
      <c r="E778" s="5" t="inlineStr">
        <is>
          <t>Sharad Kapoor</t>
        </is>
      </c>
      <c r="F778" s="5" t="inlineStr">
        <is>
          <t>Vikram, called Vicky</t>
        </is>
      </c>
      <c r="G778" s="5" t="inlineStr">
        <is>
          <t>Antagonist</t>
        </is>
      </c>
      <c r="H778" s="5" t="inlineStr">
        <is>
          <t>Medium</t>
        </is>
      </c>
      <c r="I778" s="5" t="inlineStr">
        <is>
          <t>The fiance of his daughter, and a drug dealer.</t>
        </is>
      </c>
      <c r="J778" s="5" t="inlineStr">
        <is>
          <t>The threat inside the family rather than to the main romance.</t>
        </is>
      </c>
      <c r="K778" s="19" t="inlineStr">
        <is>
          <t>Credited as Rinkie's fiance, involved in drug dealing without her knowledge.</t>
        </is>
      </c>
      <c r="L778" s="5" t="n"/>
      <c r="M778" s="5" t="inlineStr">
        <is>
          <t>SOURCE-106</t>
        </is>
      </c>
    </row>
    <row r="779" ht="49" customHeight="1">
      <c r="A779" s="15" t="inlineStr">
        <is>
          <t>CAST-778</t>
        </is>
      </c>
      <c r="B779" s="18" t="inlineStr">
        <is>
          <t>FILM-114</t>
        </is>
      </c>
      <c r="C779" s="5" t="inlineStr">
        <is>
          <t>Yeh Hai Jalwa</t>
        </is>
      </c>
      <c r="D779" s="17" t="n">
        <v>2002</v>
      </c>
      <c r="E779" s="5" t="inlineStr">
        <is>
          <t>Shammi Kapoor</t>
        </is>
      </c>
      <c r="F779" s="5" t="inlineStr">
        <is>
          <t>Boss</t>
        </is>
      </c>
      <c r="G779" s="5" t="inlineStr">
        <is>
          <t>Supporting</t>
        </is>
      </c>
      <c r="H779" s="5" t="inlineStr">
        <is>
          <t>Minor</t>
        </is>
      </c>
      <c r="I779" s="5" t="inlineStr">
        <is>
          <t>A small credited part, by Kapoor's own uncle; the last of their five films together.</t>
        </is>
      </c>
      <c r="J779" s="5" t="inlineStr">
        <is>
          <t>No part in the romance.</t>
        </is>
      </c>
      <c r="K779" s="19" t="inlineStr">
        <is>
          <t>Credited simply as Boss, a late small role in the career of the actor who had led the family's generation before Kapoor's.</t>
        </is>
      </c>
      <c r="L779" s="5" t="n"/>
      <c r="M779" s="5" t="inlineStr">
        <is>
          <t>SOURCE-106</t>
        </is>
      </c>
    </row>
    <row r="780" ht="64" customHeight="1">
      <c r="A780" s="15" t="inlineStr">
        <is>
          <t>CAST-779</t>
        </is>
      </c>
      <c r="B780" s="18" t="inlineStr">
        <is>
          <t>FILM-115</t>
        </is>
      </c>
      <c r="C780" s="5" t="inlineStr">
        <is>
          <t>Kucch To Hai</t>
        </is>
      </c>
      <c r="D780" s="17" t="n">
        <v>2003</v>
      </c>
      <c r="E780" s="5" t="inlineStr">
        <is>
          <t>Tusshar Kapoor</t>
        </is>
      </c>
      <c r="F780" s="5" t="inlineStr">
        <is>
          <t>Karan</t>
        </is>
      </c>
      <c r="G780" s="5" t="inlineStr">
        <is>
          <t>Co-lead</t>
        </is>
      </c>
      <c r="H780" s="5" t="inlineStr">
        <is>
          <t>Major</t>
        </is>
      </c>
      <c r="I780" s="5" t="inlineStr">
        <is>
          <t>The student who breaks into his house for exam papers and runs him off a cliff.</t>
        </is>
      </c>
      <c r="J780" s="5" t="inlineStr">
        <is>
          <t>Holds the film's romance, with Tanya.</t>
        </is>
      </c>
      <c r="K780" s="19" t="inlineStr">
        <is>
          <t>A college student who promises to steal exam answers from Professor Bakshi's house to impress Tanya, finds a woman's body there, and knocks the professor off a cliff with his car while fleeing.</t>
        </is>
      </c>
      <c r="L780" s="5" t="n"/>
      <c r="M780" s="5" t="inlineStr">
        <is>
          <t>SOURCE-107</t>
        </is>
      </c>
    </row>
    <row r="781" ht="49" customHeight="1">
      <c r="A781" s="15" t="inlineStr">
        <is>
          <t>CAST-780</t>
        </is>
      </c>
      <c r="B781" s="18" t="inlineStr">
        <is>
          <t>FILM-115</t>
        </is>
      </c>
      <c r="C781" s="5" t="inlineStr">
        <is>
          <t>Kucch To Hai</t>
        </is>
      </c>
      <c r="D781" s="17" t="n">
        <v>2003</v>
      </c>
      <c r="E781" s="5" t="inlineStr">
        <is>
          <t>Esha Deol</t>
        </is>
      </c>
      <c r="F781" s="5" t="inlineStr">
        <is>
          <t>Tanya Oberoi</t>
        </is>
      </c>
      <c r="G781" s="5" t="inlineStr">
        <is>
          <t>Co-lead</t>
        </is>
      </c>
      <c r="H781" s="5" t="inlineStr">
        <is>
          <t>Major</t>
        </is>
      </c>
      <c r="I781" s="5" t="inlineStr">
        <is>
          <t>The student the break-in is staged for.</t>
        </is>
      </c>
      <c r="J781" s="5" t="inlineStr">
        <is>
          <t>The film's romance, which the professor's plot has no part in.</t>
        </is>
      </c>
      <c r="K781" s="19" t="inlineStr">
        <is>
          <t>The new student at the college whom Karan falls for and who asks him for the exam papers, traumatised by the events at the house and leaving to start a new life.</t>
        </is>
      </c>
      <c r="L781" s="5" t="n"/>
      <c r="M781" s="5" t="inlineStr">
        <is>
          <t>SOURCE-107</t>
        </is>
      </c>
    </row>
    <row r="782" ht="49" customHeight="1">
      <c r="A782" s="15" t="inlineStr">
        <is>
          <t>CAST-781</t>
        </is>
      </c>
      <c r="B782" s="18" t="inlineStr">
        <is>
          <t>FILM-115</t>
        </is>
      </c>
      <c r="C782" s="5" t="inlineStr">
        <is>
          <t>Kucch To Hai</t>
        </is>
      </c>
      <c r="D782" s="17" t="n">
        <v>2003</v>
      </c>
      <c r="E782" s="5" t="inlineStr">
        <is>
          <t>Anita Hassanandani</t>
        </is>
      </c>
      <c r="F782" s="5" t="inlineStr">
        <is>
          <t>Natasha, called Tashu</t>
        </is>
      </c>
      <c r="G782" s="5" t="inlineStr">
        <is>
          <t>Romantic rival</t>
        </is>
      </c>
      <c r="H782" s="5" t="inlineStr">
        <is>
          <t>Major</t>
        </is>
      </c>
      <c r="I782" s="5" t="inlineStr">
        <is>
          <t>One of the students in the break-in party.</t>
        </is>
      </c>
      <c r="J782" s="5" t="inlineStr">
        <is>
          <t>The unspoken rival claim in the film's romance.</t>
        </is>
      </c>
      <c r="K782" s="19" t="inlineStr">
        <is>
          <t>Karan's childhood friend, secretly in love with him and wanting to marry him, who goes with the group into the professor's house.</t>
        </is>
      </c>
      <c r="L782" s="5" t="n"/>
      <c r="M782" s="5" t="inlineStr">
        <is>
          <t>SOURCE-107</t>
        </is>
      </c>
    </row>
    <row r="783" ht="49" customHeight="1">
      <c r="A783" s="15" t="inlineStr">
        <is>
          <t>CAST-782</t>
        </is>
      </c>
      <c r="B783" s="18" t="inlineStr">
        <is>
          <t>FILM-115</t>
        </is>
      </c>
      <c r="C783" s="5" t="inlineStr">
        <is>
          <t>Kucch To Hai</t>
        </is>
      </c>
      <c r="D783" s="17" t="n">
        <v>2003</v>
      </c>
      <c r="E783" s="5" t="inlineStr">
        <is>
          <t>Yash Tonk</t>
        </is>
      </c>
      <c r="F783" s="5" t="inlineStr">
        <is>
          <t>Yash</t>
        </is>
      </c>
      <c r="G783" s="5" t="inlineStr">
        <is>
          <t>Friend</t>
        </is>
      </c>
      <c r="H783" s="5" t="inlineStr">
        <is>
          <t>Medium</t>
        </is>
      </c>
      <c r="I783" s="5" t="inlineStr">
        <is>
          <t>One of the students who break into his house.</t>
        </is>
      </c>
      <c r="J783" s="5" t="inlineStr">
        <is>
          <t>The friend who helps the protagonist's courtship along.</t>
        </is>
      </c>
      <c r="K783" s="19" t="inlineStr">
        <is>
          <t>A playboy who befriends Karan and helps his way into Tanya's affections, and is part of the group in the professor's house.</t>
        </is>
      </c>
      <c r="L783" s="5" t="n"/>
      <c r="M783" s="5" t="inlineStr">
        <is>
          <t>SOURCE-107</t>
        </is>
      </c>
    </row>
    <row r="784" ht="49" customHeight="1">
      <c r="A784" s="15" t="inlineStr">
        <is>
          <t>CAST-783</t>
        </is>
      </c>
      <c r="B784" s="18" t="inlineStr">
        <is>
          <t>FILM-115</t>
        </is>
      </c>
      <c r="C784" s="5" t="inlineStr">
        <is>
          <t>Kucch To Hai</t>
        </is>
      </c>
      <c r="D784" s="17" t="n">
        <v>2003</v>
      </c>
      <c r="E784" s="5" t="inlineStr">
        <is>
          <t>Jeetendra</t>
        </is>
      </c>
      <c r="F784" s="5" t="inlineStr">
        <is>
          <t>Ravi</t>
        </is>
      </c>
      <c r="G784" s="5" t="inlineStr">
        <is>
          <t>Family</t>
        </is>
      </c>
      <c r="H784" s="5" t="inlineStr">
        <is>
          <t>Medium</t>
        </is>
      </c>
      <c r="I784" s="5" t="inlineStr">
        <is>
          <t>The father of the student who runs him off the cliff; the last of his many films with Kapoor.</t>
        </is>
      </c>
      <c r="J784" s="5" t="inlineStr">
        <is>
          <t>Family background to the younger romance.</t>
        </is>
      </c>
      <c r="K784" s="19" t="inlineStr">
        <is>
          <t>Credited as Karan's father, in a film that pairs two actors of Kapoor's own generation with their children, Tusshar Kapoor and Esha Deol, as the leads.</t>
        </is>
      </c>
      <c r="L784" s="5" t="n"/>
      <c r="M784" s="5" t="inlineStr">
        <is>
          <t>SOURCE-107</t>
        </is>
      </c>
    </row>
    <row r="785" ht="34" customHeight="1">
      <c r="A785" s="15" t="inlineStr">
        <is>
          <t>CAST-784</t>
        </is>
      </c>
      <c r="B785" s="18" t="inlineStr">
        <is>
          <t>FILM-115</t>
        </is>
      </c>
      <c r="C785" s="5" t="inlineStr">
        <is>
          <t>Kucch To Hai</t>
        </is>
      </c>
      <c r="D785" s="17" t="n">
        <v>2003</v>
      </c>
      <c r="E785" s="5" t="inlineStr">
        <is>
          <t>Johnny Lever</t>
        </is>
      </c>
      <c r="F785" s="5" t="inlineStr">
        <is>
          <t>Popatlal</t>
        </is>
      </c>
      <c r="G785" s="5" t="inlineStr">
        <is>
          <t>Comic support</t>
        </is>
      </c>
      <c r="H785" s="5" t="inlineStr">
        <is>
          <t>Medium</t>
        </is>
      </c>
      <c r="I785" s="5" t="inlineStr">
        <is>
          <t>The comic figure in the college world around the suspected professor.</t>
        </is>
      </c>
      <c r="J785" s="5" t="inlineStr">
        <is>
          <t>Comic attendance on the student romance.</t>
        </is>
      </c>
      <c r="K785" s="19" t="inlineStr">
        <is>
          <t>Credited as Popatlal, the comic part in a campus thriller.</t>
        </is>
      </c>
      <c r="L785" s="5" t="n"/>
      <c r="M785" s="5" t="inlineStr">
        <is>
          <t>SOURCE-107</t>
        </is>
      </c>
    </row>
    <row r="786" ht="34" customHeight="1">
      <c r="A786" s="15" t="inlineStr">
        <is>
          <t>CAST-785</t>
        </is>
      </c>
      <c r="B786" s="18" t="inlineStr">
        <is>
          <t>FILM-115</t>
        </is>
      </c>
      <c r="C786" s="5" t="inlineStr">
        <is>
          <t>Kucch To Hai</t>
        </is>
      </c>
      <c r="D786" s="17" t="n">
        <v>2003</v>
      </c>
      <c r="E786" s="5" t="inlineStr">
        <is>
          <t>Moon Moon Sen</t>
        </is>
      </c>
      <c r="F786" s="5" t="inlineStr">
        <is>
          <t>Madam Saxena</t>
        </is>
      </c>
      <c r="G786" s="5" t="inlineStr">
        <is>
          <t>Authority figure</t>
        </is>
      </c>
      <c r="H786" s="5" t="inlineStr">
        <is>
          <t>Minor</t>
        </is>
      </c>
      <c r="I786" s="5" t="inlineStr">
        <is>
          <t>A college authority alongside the reinstated professor.</t>
        </is>
      </c>
      <c r="J786" s="5" t="inlineStr">
        <is>
          <t>No part in the romance.</t>
        </is>
      </c>
      <c r="K786" s="19" t="inlineStr">
        <is>
          <t>Credited as Madam Saxena, with Manoj Pahwa's Professor Bhalla, among the college staff around the rumoured murderer.</t>
        </is>
      </c>
      <c r="L786" s="5" t="n"/>
      <c r="M786" s="5" t="inlineStr">
        <is>
          <t>SOURCE-107</t>
        </is>
      </c>
    </row>
    <row r="787" ht="64" customHeight="1">
      <c r="A787" s="15" t="inlineStr">
        <is>
          <t>CAST-786</t>
        </is>
      </c>
      <c r="B787" s="18" t="inlineStr">
        <is>
          <t>FILM-116</t>
        </is>
      </c>
      <c r="C787" s="5" t="inlineStr">
        <is>
          <t>Love at Times Square</t>
        </is>
      </c>
      <c r="D787" s="17" t="n">
        <v>2003</v>
      </c>
      <c r="E787" s="5" t="inlineStr">
        <is>
          <t>Dev Anand</t>
        </is>
      </c>
      <c r="F787" s="5" t="inlineStr">
        <is>
          <t>Shaan Khanna</t>
        </is>
      </c>
      <c r="G787" s="5" t="inlineStr">
        <is>
          <t>Co-lead</t>
        </is>
      </c>
      <c r="H787" s="5" t="inlineStr">
        <is>
          <t>Major</t>
        </is>
      </c>
      <c r="I787" s="5" t="inlineStr">
        <is>
          <t>The billionaire whose concert and company frame the film; also its director, in whose production Kapoor's special appearance sits.</t>
        </is>
      </c>
      <c r="J787" s="5" t="inlineStr">
        <is>
          <t>The father whose household the triangle is conducted around.</t>
        </is>
      </c>
      <c r="K787" s="19" t="inlineStr">
        <is>
          <t>A billionaire Indian in America who organises a musical concert at Times Square, employs one of his daughter's suitors, and presides over her choice between them.</t>
        </is>
      </c>
      <c r="L787" s="5" t="n"/>
      <c r="M787" s="5" t="inlineStr">
        <is>
          <t>SOURCE-108</t>
        </is>
      </c>
    </row>
    <row r="788" ht="49" customHeight="1">
      <c r="A788" s="15" t="inlineStr">
        <is>
          <t>CAST-787</t>
        </is>
      </c>
      <c r="B788" s="18" t="inlineStr">
        <is>
          <t>FILM-116</t>
        </is>
      </c>
      <c r="C788" s="5" t="inlineStr">
        <is>
          <t>Love at Times Square</t>
        </is>
      </c>
      <c r="D788" s="17" t="n">
        <v>2003</v>
      </c>
      <c r="E788" s="5" t="inlineStr">
        <is>
          <t>Heenee Kaushik</t>
        </is>
      </c>
      <c r="F788" s="5" t="inlineStr">
        <is>
          <t>Sweety Khanna</t>
        </is>
      </c>
      <c r="G788" s="5" t="inlineStr">
        <is>
          <t>Co-lead</t>
        </is>
      </c>
      <c r="H788" s="5" t="inlineStr">
        <is>
          <t>Major</t>
        </is>
      </c>
      <c r="I788" s="5" t="inlineStr">
        <is>
          <t>The heroine of the film Kapoor passes through in a special appearance.</t>
        </is>
      </c>
      <c r="J788" s="5" t="inlineStr">
        <is>
          <t>The apex of the film's triangle.</t>
        </is>
      </c>
      <c r="K788" s="19" t="inlineStr">
        <is>
          <t>A billionaire's daughter studying mass communication in the United States, courted by two young men, unsure about love, and settling on one of them a year after meeting both.</t>
        </is>
      </c>
      <c r="L788" s="5" t="n"/>
      <c r="M788" s="5" t="inlineStr">
        <is>
          <t>SOURCE-108</t>
        </is>
      </c>
    </row>
    <row r="789" ht="49" customHeight="1">
      <c r="A789" s="15" t="inlineStr">
        <is>
          <t>CAST-788</t>
        </is>
      </c>
      <c r="B789" s="18" t="inlineStr">
        <is>
          <t>FILM-116</t>
        </is>
      </c>
      <c r="C789" s="5" t="inlineStr">
        <is>
          <t>Love at Times Square</t>
        </is>
      </c>
      <c r="D789" s="17" t="n">
        <v>2003</v>
      </c>
      <c r="E789" s="5" t="inlineStr">
        <is>
          <t>Chaitanya Choudhury</t>
        </is>
      </c>
      <c r="F789" s="5" t="inlineStr">
        <is>
          <t>Bobby Grewal</t>
        </is>
      </c>
      <c r="G789" s="5" t="inlineStr">
        <is>
          <t>Co-lead</t>
        </is>
      </c>
      <c r="H789" s="5" t="inlineStr">
        <is>
          <t>Major</t>
        </is>
      </c>
      <c r="I789" s="5" t="inlineStr">
        <is>
          <t>One of the two suitors, and the one chosen.</t>
        </is>
      </c>
      <c r="J789" s="5" t="inlineStr">
        <is>
          <t>The winning claim in the triangle.</t>
        </is>
      </c>
      <c r="K789" s="19" t="inlineStr">
        <is>
          <t>A young man who comes to America for a future, works under the heroine's father, saves her from the antagonist, and is engaged to her on New Year's Eve.</t>
        </is>
      </c>
      <c r="L789" s="5" t="n"/>
      <c r="M789" s="5" t="inlineStr">
        <is>
          <t>SOURCE-108</t>
        </is>
      </c>
    </row>
    <row r="790" ht="49" customHeight="1">
      <c r="A790" s="15" t="inlineStr">
        <is>
          <t>CAST-789</t>
        </is>
      </c>
      <c r="B790" s="18" t="inlineStr">
        <is>
          <t>FILM-116</t>
        </is>
      </c>
      <c r="C790" s="5" t="inlineStr">
        <is>
          <t>Love at Times Square</t>
        </is>
      </c>
      <c r="D790" s="17" t="n">
        <v>2003</v>
      </c>
      <c r="E790" s="5" t="inlineStr">
        <is>
          <t>Shoib Khan</t>
        </is>
      </c>
      <c r="F790" s="5" t="inlineStr">
        <is>
          <t>Raj Scindia</t>
        </is>
      </c>
      <c r="G790" s="5" t="inlineStr">
        <is>
          <t>Romantic rival</t>
        </is>
      </c>
      <c r="H790" s="5" t="inlineStr">
        <is>
          <t>Major</t>
        </is>
      </c>
      <c r="I790" s="5" t="inlineStr">
        <is>
          <t>The second suitor, refused.</t>
        </is>
      </c>
      <c r="J790" s="5" t="inlineStr">
        <is>
          <t>The losing claim in the triangle.</t>
        </is>
      </c>
      <c r="K790" s="19" t="inlineStr">
        <is>
          <t>A computer engineer in Silicon Valley who drives the heroine from New York to San Jose, falls in love on the way, and is turned down.</t>
        </is>
      </c>
      <c r="L790" s="5" t="n"/>
      <c r="M790" s="5" t="inlineStr">
        <is>
          <t>SOURCE-108</t>
        </is>
      </c>
    </row>
    <row r="791" ht="34" customHeight="1">
      <c r="A791" s="15" t="inlineStr">
        <is>
          <t>CAST-790</t>
        </is>
      </c>
      <c r="B791" s="18" t="inlineStr">
        <is>
          <t>FILM-116</t>
        </is>
      </c>
      <c r="C791" s="5" t="inlineStr">
        <is>
          <t>Love at Times Square</t>
        </is>
      </c>
      <c r="D791" s="17" t="n">
        <v>2003</v>
      </c>
      <c r="E791" s="5" t="inlineStr">
        <is>
          <t>Moon Moon Sen</t>
        </is>
      </c>
      <c r="F791" s="5" t="inlineStr">
        <is>
          <t>Sweety's mother</t>
        </is>
      </c>
      <c r="G791" s="5" t="inlineStr">
        <is>
          <t>Family</t>
        </is>
      </c>
      <c r="H791" s="5" t="inlineStr">
        <is>
          <t>Medium</t>
        </is>
      </c>
      <c r="I791" s="5" t="inlineStr">
        <is>
          <t>The heroine's mother in the billionaire's household.</t>
        </is>
      </c>
      <c r="J791" s="5" t="inlineStr">
        <is>
          <t>Family background to the triangle.</t>
        </is>
      </c>
      <c r="K791" s="19" t="inlineStr">
        <is>
          <t>Credited as Sweety's mother, in the wealthy expatriate family the romance is set in.</t>
        </is>
      </c>
      <c r="L791" s="5" t="n"/>
      <c r="M791" s="5" t="inlineStr">
        <is>
          <t>SOURCE-108</t>
        </is>
      </c>
    </row>
    <row r="792" ht="34" customHeight="1">
      <c r="A792" s="15" t="inlineStr">
        <is>
          <t>CAST-791</t>
        </is>
      </c>
      <c r="B792" s="18" t="inlineStr">
        <is>
          <t>FILM-116</t>
        </is>
      </c>
      <c r="C792" s="5" t="inlineStr">
        <is>
          <t>Love at Times Square</t>
        </is>
      </c>
      <c r="D792" s="17" t="n">
        <v>2003</v>
      </c>
      <c r="E792" s="5" t="inlineStr">
        <is>
          <t>Ashish Vidyarthi</t>
        </is>
      </c>
      <c r="F792" s="5" t="inlineStr">
        <is>
          <t>Hashmi 'Bullet'</t>
        </is>
      </c>
      <c r="G792" s="5" t="inlineStr">
        <is>
          <t>Antagonist</t>
        </is>
      </c>
      <c r="H792" s="5" t="inlineStr">
        <is>
          <t>Medium</t>
        </is>
      </c>
      <c r="I792" s="5" t="inlineStr">
        <is>
          <t>The film's antagonist, from whom the chosen suitor rescues the heroine.</t>
        </is>
      </c>
      <c r="J792" s="5" t="inlineStr">
        <is>
          <t>The threat whose defeat decides the triangle.</t>
        </is>
      </c>
      <c r="K792" s="19" t="inlineStr">
        <is>
          <t>Credited as Hashmi 'Bullet', the antagonist whose attack on the heroine gives one suitor his advantage over the other.</t>
        </is>
      </c>
      <c r="L792" s="5" t="n"/>
      <c r="M792" s="5" t="inlineStr">
        <is>
          <t>SOURCE-108</t>
        </is>
      </c>
    </row>
    <row r="793" ht="34" customHeight="1">
      <c r="A793" s="15" t="inlineStr">
        <is>
          <t>CAST-792</t>
        </is>
      </c>
      <c r="B793" s="18" t="inlineStr">
        <is>
          <t>FILM-116</t>
        </is>
      </c>
      <c r="C793" s="5" t="inlineStr">
        <is>
          <t>Love at Times Square</t>
        </is>
      </c>
      <c r="D793" s="17" t="n">
        <v>2003</v>
      </c>
      <c r="E793" s="5" t="inlineStr">
        <is>
          <t>Salman Khan</t>
        </is>
      </c>
      <c r="F793" s="5" t="inlineStr">
        <is>
          <t>Himself</t>
        </is>
      </c>
      <c r="G793" s="5" t="inlineStr">
        <is>
          <t>Cameo</t>
        </is>
      </c>
      <c r="H793" s="5" t="inlineStr">
        <is>
          <t>Minor</t>
        </is>
      </c>
      <c r="I793" s="5" t="inlineStr">
        <is>
          <t>A song appearance in the same guest register as Kapoor's.</t>
        </is>
      </c>
      <c r="J793" s="5" t="inlineStr">
        <is>
          <t>No part in the triangle.</t>
        </is>
      </c>
      <c r="K793" s="19" t="inlineStr">
        <is>
          <t>Credited for a special appearance in the song 'Aaja Aaja', one of the film's star guest spots.</t>
        </is>
      </c>
      <c r="L793" s="5" t="n"/>
      <c r="M793" s="5" t="inlineStr">
        <is>
          <t>SOURCE-108</t>
        </is>
      </c>
    </row>
    <row r="794" ht="64" customHeight="1">
      <c r="A794" s="15" t="inlineStr">
        <is>
          <t>CAST-793</t>
        </is>
      </c>
      <c r="B794" s="18" t="inlineStr">
        <is>
          <t>FILM-117</t>
        </is>
      </c>
      <c r="C794" s="5" t="inlineStr">
        <is>
          <t>Tehzeeb</t>
        </is>
      </c>
      <c r="D794" s="17" t="n">
        <v>2003</v>
      </c>
      <c r="E794" s="5" t="inlineStr">
        <is>
          <t>Shabana Azmi</t>
        </is>
      </c>
      <c r="F794" s="5" t="inlineStr">
        <is>
          <t>Rukhsana Jamal</t>
        </is>
      </c>
      <c r="G794" s="5" t="inlineStr">
        <is>
          <t>Co-lead</t>
        </is>
      </c>
      <c r="H794" s="5" t="inlineStr">
        <is>
          <t>Major</t>
        </is>
      </c>
      <c r="I794" s="5" t="inlineStr">
        <is>
          <t>His wife, held responsible by their elder daughter for his death.</t>
        </is>
      </c>
      <c r="J794" s="5" t="inlineStr">
        <is>
          <t>The whole of the pairing in Romances, ended by his suicide and litigated for the rest of the film.</t>
        </is>
      </c>
      <c r="K794" s="19" t="inlineStr">
        <is>
          <t>An ambitious and popular singer, cleared in court of her husband's mysterious death and never forgiven for it by her elder daughter, who returns after five years to renew ties with both daughters.</t>
        </is>
      </c>
      <c r="L794" s="5" t="inlineStr">
        <is>
          <t>One of the late-career lead roles for which Shabana Azmi was most praised.</t>
        </is>
      </c>
      <c r="M794" s="5" t="inlineStr">
        <is>
          <t>SOURCE-109</t>
        </is>
      </c>
    </row>
    <row r="795" ht="64" customHeight="1">
      <c r="A795" s="15" t="inlineStr">
        <is>
          <t>CAST-794</t>
        </is>
      </c>
      <c r="B795" s="18" t="inlineStr">
        <is>
          <t>FILM-117</t>
        </is>
      </c>
      <c r="C795" s="5" t="inlineStr">
        <is>
          <t>Tehzeeb</t>
        </is>
      </c>
      <c r="D795" s="17" t="n">
        <v>2003</v>
      </c>
      <c r="E795" s="5" t="inlineStr">
        <is>
          <t>Urmila Matondkar</t>
        </is>
      </c>
      <c r="F795" s="5" t="inlineStr">
        <is>
          <t>Tehzeeb Jamal Mirza</t>
        </is>
      </c>
      <c r="G795" s="5" t="inlineStr">
        <is>
          <t>Co-lead</t>
        </is>
      </c>
      <c r="H795" s="5" t="inlineStr">
        <is>
          <t>Major</t>
        </is>
      </c>
      <c r="I795" s="5" t="inlineStr">
        <is>
          <t>His elder daughter, who blames her mother for his death.</t>
        </is>
      </c>
      <c r="J795" s="5" t="inlineStr">
        <is>
          <t>The grievance his suicide leaves behind, and the film's actual subject.</t>
        </is>
      </c>
      <c r="K795" s="19" t="inlineStr">
        <is>
          <t>The elder daughter, who suspects her mother of causing her father's death despite the court's verdict, accuses her of desertion, marries against her wishes, and takes custody of her sister.</t>
        </is>
      </c>
      <c r="L795" s="5" t="n"/>
      <c r="M795" s="5" t="inlineStr">
        <is>
          <t>SOURCE-109</t>
        </is>
      </c>
    </row>
    <row r="796" ht="49" customHeight="1">
      <c r="A796" s="15" t="inlineStr">
        <is>
          <t>CAST-795</t>
        </is>
      </c>
      <c r="B796" s="18" t="inlineStr">
        <is>
          <t>FILM-117</t>
        </is>
      </c>
      <c r="C796" s="5" t="inlineStr">
        <is>
          <t>Tehzeeb</t>
        </is>
      </c>
      <c r="D796" s="17" t="n">
        <v>2003</v>
      </c>
      <c r="E796" s="5" t="inlineStr">
        <is>
          <t>Dia Mirza</t>
        </is>
      </c>
      <c r="F796" s="5" t="inlineStr">
        <is>
          <t>Nazneen Jamal, called Naazu</t>
        </is>
      </c>
      <c r="G796" s="5" t="inlineStr">
        <is>
          <t>Family</t>
        </is>
      </c>
      <c r="H796" s="5" t="inlineStr">
        <is>
          <t>Major</t>
        </is>
      </c>
      <c r="I796" s="5" t="inlineStr">
        <is>
          <t>His younger daughter, in her sister's custody.</t>
        </is>
      </c>
      <c r="J796" s="5" t="inlineStr">
        <is>
          <t>The second consequence of the marriage the film reconstructs.</t>
        </is>
      </c>
      <c r="K796" s="19" t="inlineStr">
        <is>
          <t>The younger Jamal daughter, mentally challenged and taken into her sister's care, and the person through whom the mother reaches both daughters again.</t>
        </is>
      </c>
      <c r="L796" s="5" t="n"/>
      <c r="M796" s="5" t="inlineStr">
        <is>
          <t>SOURCE-109</t>
        </is>
      </c>
    </row>
    <row r="797" ht="34" customHeight="1">
      <c r="A797" s="15" t="inlineStr">
        <is>
          <t>CAST-796</t>
        </is>
      </c>
      <c r="B797" s="18" t="inlineStr">
        <is>
          <t>FILM-117</t>
        </is>
      </c>
      <c r="C797" s="5" t="inlineStr">
        <is>
          <t>Tehzeeb</t>
        </is>
      </c>
      <c r="D797" s="17" t="n">
        <v>2003</v>
      </c>
      <c r="E797" s="5" t="inlineStr">
        <is>
          <t>Arjun Rampal</t>
        </is>
      </c>
      <c r="F797" s="5" t="inlineStr">
        <is>
          <t>Salim Mirza</t>
        </is>
      </c>
      <c r="G797" s="5" t="inlineStr">
        <is>
          <t>Supporting</t>
        </is>
      </c>
      <c r="H797" s="5" t="inlineStr">
        <is>
          <t>Major</t>
        </is>
      </c>
      <c r="I797" s="5" t="inlineStr">
        <is>
          <t>His son-in-law, married to the daughter against her mother's wishes.</t>
        </is>
      </c>
      <c r="J797" s="5" t="inlineStr">
        <is>
          <t>The younger marriage set against the ruined one.</t>
        </is>
      </c>
      <c r="K797" s="19" t="inlineStr">
        <is>
          <t>Tehzeeb's husband, married against her mother's wishes, with whom she lives happily while caring for her sister.</t>
        </is>
      </c>
      <c r="L797" s="5" t="n"/>
      <c r="M797" s="5" t="inlineStr">
        <is>
          <t>SOURCE-109</t>
        </is>
      </c>
    </row>
    <row r="798" ht="34" customHeight="1">
      <c r="A798" s="15" t="inlineStr">
        <is>
          <t>CAST-797</t>
        </is>
      </c>
      <c r="B798" s="18" t="inlineStr">
        <is>
          <t>FILM-117</t>
        </is>
      </c>
      <c r="C798" s="5" t="inlineStr">
        <is>
          <t>Tehzeeb</t>
        </is>
      </c>
      <c r="D798" s="17" t="n">
        <v>2003</v>
      </c>
      <c r="E798" s="5" t="inlineStr">
        <is>
          <t>Namrata Shirodkar</t>
        </is>
      </c>
      <c r="F798" s="5" t="inlineStr">
        <is>
          <t>Aloka</t>
        </is>
      </c>
      <c r="G798" s="5" t="inlineStr">
        <is>
          <t>Supporting</t>
        </is>
      </c>
      <c r="H798" s="5" t="inlineStr">
        <is>
          <t>Medium</t>
        </is>
      </c>
      <c r="I798" s="5" t="inlineStr">
        <is>
          <t>Credited in the circle around the singer and her daughters.</t>
        </is>
      </c>
      <c r="J798" s="5" t="inlineStr">
        <is>
          <t>No documented part in the pairing.</t>
        </is>
      </c>
      <c r="K798" s="19" t="inlineStr">
        <is>
          <t>Credited as Aloka, among the supporting parts of a film about a mother and two daughters.</t>
        </is>
      </c>
      <c r="L798" s="5" t="n"/>
      <c r="M798" s="5" t="inlineStr">
        <is>
          <t>SOURCE-109</t>
        </is>
      </c>
    </row>
    <row r="799" ht="34" customHeight="1">
      <c r="A799" s="15" t="inlineStr">
        <is>
          <t>CAST-798</t>
        </is>
      </c>
      <c r="B799" s="18" t="inlineStr">
        <is>
          <t>FILM-117</t>
        </is>
      </c>
      <c r="C799" s="5" t="inlineStr">
        <is>
          <t>Tehzeeb</t>
        </is>
      </c>
      <c r="D799" s="17" t="n">
        <v>2003</v>
      </c>
      <c r="E799" s="5" t="inlineStr">
        <is>
          <t>Satish Kaushik</t>
        </is>
      </c>
      <c r="F799" s="5" t="inlineStr">
        <is>
          <t>Kamal Choksi</t>
        </is>
      </c>
      <c r="G799" s="5" t="inlineStr">
        <is>
          <t>Supporting</t>
        </is>
      </c>
      <c r="H799" s="5" t="inlineStr">
        <is>
          <t>Medium</t>
        </is>
      </c>
      <c r="I799" s="5" t="inlineStr">
        <is>
          <t>Credited in the professional world of the singer's career.</t>
        </is>
      </c>
      <c r="J799" s="5" t="inlineStr">
        <is>
          <t>No documented part in the pairing.</t>
        </is>
      </c>
      <c r="K799" s="19" t="inlineStr">
        <is>
          <t>Credited as Kamal Choksi, in the music-industry ranks around Rukhsana's career.</t>
        </is>
      </c>
      <c r="L799" s="5" t="n"/>
      <c r="M799" s="5" t="inlineStr">
        <is>
          <t>SOURCE-109</t>
        </is>
      </c>
    </row>
    <row r="800" ht="19" customHeight="1">
      <c r="A800" s="15" t="inlineStr">
        <is>
          <t>CAST-799</t>
        </is>
      </c>
      <c r="B800" s="18" t="inlineStr">
        <is>
          <t>FILM-117</t>
        </is>
      </c>
      <c r="C800" s="5" t="inlineStr">
        <is>
          <t>Tehzeeb</t>
        </is>
      </c>
      <c r="D800" s="17" t="n">
        <v>2003</v>
      </c>
      <c r="E800" s="5" t="inlineStr">
        <is>
          <t>Diana Hayden</t>
        </is>
      </c>
      <c r="F800" s="5" t="inlineStr">
        <is>
          <t>Sheena Roy</t>
        </is>
      </c>
      <c r="G800" s="5" t="inlineStr">
        <is>
          <t>Supporting</t>
        </is>
      </c>
      <c r="H800" s="5" t="inlineStr">
        <is>
          <t>Minor</t>
        </is>
      </c>
      <c r="I800" s="5" t="inlineStr">
        <is>
          <t>A credited supporting presence.</t>
        </is>
      </c>
      <c r="J800" s="5" t="inlineStr">
        <is>
          <t>No documented part in the pairing.</t>
        </is>
      </c>
      <c r="K800" s="19" t="inlineStr">
        <is>
          <t>Credited as Sheena Roy, in the film's supporting ranks.</t>
        </is>
      </c>
      <c r="L800" s="5" t="n"/>
      <c r="M800" s="5" t="inlineStr">
        <is>
          <t>SOURCE-109</t>
        </is>
      </c>
    </row>
    <row r="801" ht="64" customHeight="1">
      <c r="A801" s="15" t="inlineStr">
        <is>
          <t>CAST-800</t>
        </is>
      </c>
      <c r="B801" s="18" t="inlineStr">
        <is>
          <t>FILM-118</t>
        </is>
      </c>
      <c r="C801" s="5" t="inlineStr">
        <is>
          <t>Hum Tum</t>
        </is>
      </c>
      <c r="D801" s="17" t="n">
        <v>2004</v>
      </c>
      <c r="E801" s="5" t="inlineStr">
        <is>
          <t>Saif Ali Khan</t>
        </is>
      </c>
      <c r="F801" s="5" t="inlineStr">
        <is>
          <t>Karan Kapoor</t>
        </is>
      </c>
      <c r="G801" s="5" t="inlineStr">
        <is>
          <t>Co-lead</t>
        </is>
      </c>
      <c r="H801" s="5" t="inlineStr">
        <is>
          <t>Major</t>
        </is>
      </c>
      <c r="I801" s="5" t="inlineStr">
        <is>
          <t>His son, whose nine-year pursuit of Rhea the film follows and whose family scenes Kapoor appears in.</t>
        </is>
      </c>
      <c r="J801" s="5" t="inlineStr">
        <is>
          <t>Holds the film's romance entirely; Kapoor's part is parental.</t>
        </is>
      </c>
      <c r="K801" s="19" t="inlineStr">
        <is>
          <t>A cartoonist whose comic strip 'Hum Tum' argues about men and women, who meets Rhea on a flight to New York, kisses her without consent in Amsterdam and is slapped for it, and keeps meeting her across six years and four cities.</t>
        </is>
      </c>
      <c r="L801" s="5" t="inlineStr">
        <is>
          <t>Won Saif Ali Khan the Filmfare Award for Best Actor and the National Film Award for Best Actor.</t>
        </is>
      </c>
      <c r="M801" s="5" t="inlineStr">
        <is>
          <t>SOURCE-110</t>
        </is>
      </c>
    </row>
    <row r="802" ht="64" customHeight="1">
      <c r="A802" s="15" t="inlineStr">
        <is>
          <t>CAST-801</t>
        </is>
      </c>
      <c r="B802" s="18" t="inlineStr">
        <is>
          <t>FILM-118</t>
        </is>
      </c>
      <c r="C802" s="5" t="inlineStr">
        <is>
          <t>Hum Tum</t>
        </is>
      </c>
      <c r="D802" s="17" t="n">
        <v>2004</v>
      </c>
      <c r="E802" s="5" t="inlineStr">
        <is>
          <t>Rani Mukerji</t>
        </is>
      </c>
      <c r="F802" s="5" t="inlineStr">
        <is>
          <t>Rhea Prakash</t>
        </is>
      </c>
      <c r="G802" s="5" t="inlineStr">
        <is>
          <t>Co-lead</t>
        </is>
      </c>
      <c r="H802" s="5" t="inlineStr">
        <is>
          <t>Major</t>
        </is>
      </c>
      <c r="I802" s="5" t="inlineStr">
        <is>
          <t>His son's eventual partner, met and re-met over nine years.</t>
        </is>
      </c>
      <c r="J802" s="5" t="inlineStr">
        <is>
          <t>The other half of the film's romance.</t>
        </is>
      </c>
      <c r="K802" s="19" t="inlineStr">
        <is>
          <t>A strong-willed, practical woman who slaps Karan in Amsterdam, marries Sameer, is widowed by a car accident, and is met again in Paris by the man who has been circling her for years.</t>
        </is>
      </c>
      <c r="L802" s="5" t="inlineStr">
        <is>
          <t>Won Rani Mukerji the Filmfare Award for Best Actress.</t>
        </is>
      </c>
      <c r="M802" s="5" t="inlineStr">
        <is>
          <t>SOURCE-110</t>
        </is>
      </c>
    </row>
    <row r="803" ht="49" customHeight="1">
      <c r="A803" s="15" t="inlineStr">
        <is>
          <t>CAST-802</t>
        </is>
      </c>
      <c r="B803" s="18" t="inlineStr">
        <is>
          <t>FILM-118</t>
        </is>
      </c>
      <c r="C803" s="5" t="inlineStr">
        <is>
          <t>Hum Tum</t>
        </is>
      </c>
      <c r="D803" s="17" t="n">
        <v>2004</v>
      </c>
      <c r="E803" s="5" t="inlineStr">
        <is>
          <t>Rati Agnihotri</t>
        </is>
      </c>
      <c r="F803" s="5" t="inlineStr">
        <is>
          <t>Anjali Kapoor, called Anju</t>
        </is>
      </c>
      <c r="G803" s="5" t="inlineStr">
        <is>
          <t>Family</t>
        </is>
      </c>
      <c r="H803" s="5" t="inlineStr">
        <is>
          <t>Major</t>
        </is>
      </c>
      <c r="I803" s="5" t="inlineStr">
        <is>
          <t>His wife, in the family scenes that punctuate the son's romance; the second of their four films together.</t>
        </is>
      </c>
      <c r="J803" s="5" t="inlineStr">
        <is>
          <t>The parental marriage against which the younger one is measured.</t>
        </is>
      </c>
      <c r="K803" s="19" t="inlineStr">
        <is>
          <t>Credited as Karan's mother, whose wedding preparations in Delhi bring her son to the ceremony where he finds Rhea is the bride.</t>
        </is>
      </c>
      <c r="L803" s="5" t="n"/>
      <c r="M803" s="5" t="inlineStr">
        <is>
          <t>SOURCE-110</t>
        </is>
      </c>
    </row>
    <row r="804" ht="49" customHeight="1">
      <c r="A804" s="15" t="inlineStr">
        <is>
          <t>CAST-803</t>
        </is>
      </c>
      <c r="B804" s="18" t="inlineStr">
        <is>
          <t>FILM-118</t>
        </is>
      </c>
      <c r="C804" s="5" t="inlineStr">
        <is>
          <t>Hum Tum</t>
        </is>
      </c>
      <c r="D804" s="17" t="n">
        <v>2004</v>
      </c>
      <c r="E804" s="5" t="inlineStr">
        <is>
          <t>Kirron Kher</t>
        </is>
      </c>
      <c r="F804" s="5" t="inlineStr">
        <is>
          <t>Parminder Prakash, called Bobby</t>
        </is>
      </c>
      <c r="G804" s="5" t="inlineStr">
        <is>
          <t>Family</t>
        </is>
      </c>
      <c r="H804" s="5" t="inlineStr">
        <is>
          <t>Major</t>
        </is>
      </c>
      <c r="I804" s="5" t="inlineStr">
        <is>
          <t>The heroine's mother, and the one who tells his son she has been widowed.</t>
        </is>
      </c>
      <c r="J804" s="5" t="inlineStr">
        <is>
          <t>The hinge of the film's last act, delivering the information that reopens the romance.</t>
        </is>
      </c>
      <c r="K804" s="19" t="inlineStr">
        <is>
          <t>Rhea's mother, who in Paris tells Karan that her daughter's husband died in a car accident, the disclosure the ending turns on.</t>
        </is>
      </c>
      <c r="L804" s="5" t="n"/>
      <c r="M804" s="5" t="inlineStr">
        <is>
          <t>SOURCE-110</t>
        </is>
      </c>
    </row>
    <row r="805" ht="34" customHeight="1">
      <c r="A805" s="15" t="inlineStr">
        <is>
          <t>CAST-804</t>
        </is>
      </c>
      <c r="B805" s="18" t="inlineStr">
        <is>
          <t>FILM-118</t>
        </is>
      </c>
      <c r="C805" s="5" t="inlineStr">
        <is>
          <t>Hum Tum</t>
        </is>
      </c>
      <c r="D805" s="17" t="n">
        <v>2004</v>
      </c>
      <c r="E805" s="5" t="inlineStr">
        <is>
          <t>Jimmy Sheirgill</t>
        </is>
      </c>
      <c r="F805" s="5" t="inlineStr">
        <is>
          <t>Mihir Vora</t>
        </is>
      </c>
      <c r="G805" s="5" t="inlineStr">
        <is>
          <t>Friend</t>
        </is>
      </c>
      <c r="H805" s="5" t="inlineStr">
        <is>
          <t>Medium</t>
        </is>
      </c>
      <c r="I805" s="5" t="inlineStr">
        <is>
          <t>His son's friend, in the circle around the romance.</t>
        </is>
      </c>
      <c r="J805" s="5" t="inlineStr">
        <is>
          <t>The parallel attachment beside the central one.</t>
        </is>
      </c>
      <c r="K805" s="19" t="inlineStr">
        <is>
          <t>Credited as Karan's friend, with Isha Koppikar in a special appearance as his love interest Diana Fernandez.</t>
        </is>
      </c>
      <c r="L805" s="5" t="n"/>
      <c r="M805" s="5" t="inlineStr">
        <is>
          <t>SOURCE-110</t>
        </is>
      </c>
    </row>
    <row r="806" ht="34" customHeight="1">
      <c r="A806" s="15" t="inlineStr">
        <is>
          <t>CAST-805</t>
        </is>
      </c>
      <c r="B806" s="18" t="inlineStr">
        <is>
          <t>FILM-118</t>
        </is>
      </c>
      <c r="C806" s="5" t="inlineStr">
        <is>
          <t>Hum Tum</t>
        </is>
      </c>
      <c r="D806" s="17" t="n">
        <v>2004</v>
      </c>
      <c r="E806" s="5" t="inlineStr">
        <is>
          <t>Abhishek Bachchan</t>
        </is>
      </c>
      <c r="F806" s="5" t="inlineStr">
        <is>
          <t>Sameer Khanna</t>
        </is>
      </c>
      <c r="G806" s="5" t="inlineStr">
        <is>
          <t>Cameo</t>
        </is>
      </c>
      <c r="H806" s="5" t="inlineStr">
        <is>
          <t>Minor</t>
        </is>
      </c>
      <c r="I806" s="5" t="inlineStr">
        <is>
          <t>The heroine's first husband, in a special appearance.</t>
        </is>
      </c>
      <c r="J806" s="5" t="inlineStr">
        <is>
          <t>The marriage whose end makes the central romance possible.</t>
        </is>
      </c>
      <c r="K806" s="19" t="inlineStr">
        <is>
          <t>In a special appearance as the man Rhea marries, killed in a car accident before the film's last act.</t>
        </is>
      </c>
      <c r="L806" s="5" t="n"/>
      <c r="M806" s="5" t="inlineStr">
        <is>
          <t>SOURCE-110</t>
        </is>
      </c>
    </row>
    <row r="807" ht="49" customHeight="1">
      <c r="A807" s="15" t="inlineStr">
        <is>
          <t>CAST-806</t>
        </is>
      </c>
      <c r="B807" s="18" t="inlineStr">
        <is>
          <t>FILM-118</t>
        </is>
      </c>
      <c r="C807" s="5" t="inlineStr">
        <is>
          <t>Hum Tum</t>
        </is>
      </c>
      <c r="D807" s="17" t="n">
        <v>2004</v>
      </c>
      <c r="E807" s="5" t="inlineStr">
        <is>
          <t>Shenaz Treasurywala</t>
        </is>
      </c>
      <c r="F807" s="5" t="inlineStr">
        <is>
          <t>Shalini</t>
        </is>
      </c>
      <c r="G807" s="5" t="inlineStr">
        <is>
          <t>Cameo</t>
        </is>
      </c>
      <c r="H807" s="5" t="inlineStr">
        <is>
          <t>Minor</t>
        </is>
      </c>
      <c r="I807" s="5" t="inlineStr">
        <is>
          <t>His son's girlfriend, and the heroine's childhood friend.</t>
        </is>
      </c>
      <c r="J807" s="5" t="inlineStr">
        <is>
          <t>The coincidence that forces the second meeting.</t>
        </is>
      </c>
      <c r="K807" s="19" t="inlineStr">
        <is>
          <t>In a special appearance as Karan's girlfriend in New York, revealed to be Rhea's childhood friend, which ends the relationship.</t>
        </is>
      </c>
      <c r="L807" s="5" t="n"/>
      <c r="M807" s="5" t="inlineStr">
        <is>
          <t>SOURCE-110</t>
        </is>
      </c>
    </row>
    <row r="808" ht="64" customHeight="1">
      <c r="A808" s="15" t="inlineStr">
        <is>
          <t>CAST-807</t>
        </is>
      </c>
      <c r="B808" s="18" t="inlineStr">
        <is>
          <t>FILM-119</t>
        </is>
      </c>
      <c r="C808" s="5" t="inlineStr">
        <is>
          <t>Pyaar Mein Twist</t>
        </is>
      </c>
      <c r="D808" s="17" t="n">
        <v>2005</v>
      </c>
      <c r="E808" s="5" t="inlineStr">
        <is>
          <t>Dimple Kapadia</t>
        </is>
      </c>
      <c r="F808" s="5" t="inlineStr">
        <is>
          <t>Sheetal Arya</t>
        </is>
      </c>
      <c r="G808" s="5" t="inlineStr">
        <is>
          <t>Co-lead</t>
        </is>
      </c>
      <c r="H808" s="5" t="inlineStr">
        <is>
          <t>Major</t>
        </is>
      </c>
      <c r="I808" s="5" t="inlineStr">
        <is>
          <t>The woman whose car nearly hits him and who out-argues him in the street, and whom he then falls in love with.</t>
        </is>
      </c>
      <c r="J808" s="5" t="inlineStr">
        <is>
          <t>The whole of the pairing in Romances, a late-life courtship their children read as a scandal.</t>
        </is>
      </c>
      <c r="K808" s="19" t="inlineStr">
        <is>
          <t>A widow devoted to her family, who nearly runs Yash down, points out to the policeman that walking two dogs at once is itself illegal, is planning her eldest daughter's wedding, and runs away with him when the families object.</t>
        </is>
      </c>
      <c r="L808" s="5" t="inlineStr">
        <is>
          <t>The third of her four films with Kapoor, thirty-two years after their debut together in Bobby.</t>
        </is>
      </c>
      <c r="M808" s="5" t="inlineStr">
        <is>
          <t>SOURCE-111</t>
        </is>
      </c>
    </row>
    <row r="809" ht="49" customHeight="1">
      <c r="A809" s="15" t="inlineStr">
        <is>
          <t>CAST-808</t>
        </is>
      </c>
      <c r="B809" s="18" t="inlineStr">
        <is>
          <t>FILM-119</t>
        </is>
      </c>
      <c r="C809" s="5" t="inlineStr">
        <is>
          <t>Pyaar Mein Twist</t>
        </is>
      </c>
      <c r="D809" s="17" t="n">
        <v>2005</v>
      </c>
      <c r="E809" s="5" t="inlineStr">
        <is>
          <t>Vikas Bhalla</t>
        </is>
      </c>
      <c r="F809" s="5" t="inlineStr">
        <is>
          <t>Rajiv Khurana</t>
        </is>
      </c>
      <c r="G809" s="5" t="inlineStr">
        <is>
          <t>Family</t>
        </is>
      </c>
      <c r="H809" s="5" t="inlineStr">
        <is>
          <t>Major</t>
        </is>
      </c>
      <c r="I809" s="5" t="inlineStr">
        <is>
          <t>His son, handed the company and threatened by his father's second attachment.</t>
        </is>
      </c>
      <c r="J809" s="5" t="inlineStr">
        <is>
          <t>Part of the children's opposition that the film substitutes for the usual parental kind.</t>
        </is>
      </c>
      <c r="K809" s="19" t="inlineStr">
        <is>
          <t>A well-trained but insecure executive given the running of Tejpal Industries, feeling the pressure of his father's shoes, and credited with a wife of his own in Deepshika's Parul.</t>
        </is>
      </c>
      <c r="L809" s="5" t="n"/>
      <c r="M809" s="5" t="inlineStr">
        <is>
          <t>SOURCE-111</t>
        </is>
      </c>
    </row>
    <row r="810" ht="49" customHeight="1">
      <c r="A810" s="15" t="inlineStr">
        <is>
          <t>CAST-809</t>
        </is>
      </c>
      <c r="B810" s="18" t="inlineStr">
        <is>
          <t>FILM-119</t>
        </is>
      </c>
      <c r="C810" s="5" t="inlineStr">
        <is>
          <t>Pyaar Mein Twist</t>
        </is>
      </c>
      <c r="D810" s="17" t="n">
        <v>2005</v>
      </c>
      <c r="E810" s="5" t="inlineStr">
        <is>
          <t>Soha Ali Khan</t>
        </is>
      </c>
      <c r="F810" s="5" t="inlineStr">
        <is>
          <t>Riya Arya</t>
        </is>
      </c>
      <c r="G810" s="5" t="inlineStr">
        <is>
          <t>Supporting</t>
        </is>
      </c>
      <c r="H810" s="5" t="inlineStr">
        <is>
          <t>Major</t>
        </is>
      </c>
      <c r="I810" s="5" t="inlineStr">
        <is>
          <t>The heroine's eldest daughter, whose own wedding is being arranged while her mother's romance begins.</t>
        </is>
      </c>
      <c r="J810" s="5" t="inlineStr">
        <is>
          <t>The younger marriage set beside the older one, and part of the family resistance to it.</t>
        </is>
      </c>
      <c r="K810" s="19" t="inlineStr">
        <is>
          <t>Sheetal's eldest daughter, whose marriage to Sanju her mother is planning, and who marries him at the close.</t>
        </is>
      </c>
      <c r="L810" s="5" t="n"/>
      <c r="M810" s="5" t="inlineStr">
        <is>
          <t>SOURCE-111</t>
        </is>
      </c>
    </row>
    <row r="811" ht="34" customHeight="1">
      <c r="A811" s="15" t="inlineStr">
        <is>
          <t>CAST-810</t>
        </is>
      </c>
      <c r="B811" s="18" t="inlineStr">
        <is>
          <t>FILM-119</t>
        </is>
      </c>
      <c r="C811" s="5" t="inlineStr">
        <is>
          <t>Pyaar Mein Twist</t>
        </is>
      </c>
      <c r="D811" s="17" t="n">
        <v>2005</v>
      </c>
      <c r="E811" s="5" t="inlineStr">
        <is>
          <t>Sameer Dattani</t>
        </is>
      </c>
      <c r="F811" s="5" t="inlineStr">
        <is>
          <t>Sanju Loc</t>
        </is>
      </c>
      <c r="G811" s="5" t="inlineStr">
        <is>
          <t>Supporting</t>
        </is>
      </c>
      <c r="H811" s="5" t="inlineStr">
        <is>
          <t>Major</t>
        </is>
      </c>
      <c r="I811" s="5" t="inlineStr">
        <is>
          <t>The young man marrying into the heroine's family.</t>
        </is>
      </c>
      <c r="J811" s="5" t="inlineStr">
        <is>
          <t>The conventional romance the film runs alongside its unconventional one.</t>
        </is>
      </c>
      <c r="K811" s="19" t="inlineStr">
        <is>
          <t>The son of a wealthy family, matched with Riya, in the younger couple whose courtship the older one is measured against.</t>
        </is>
      </c>
      <c r="L811" s="5" t="n"/>
      <c r="M811" s="5" t="inlineStr">
        <is>
          <t>SOURCE-111</t>
        </is>
      </c>
    </row>
    <row r="812" ht="49" customHeight="1">
      <c r="A812" s="15" t="inlineStr">
        <is>
          <t>CAST-811</t>
        </is>
      </c>
      <c r="B812" s="18" t="inlineStr">
        <is>
          <t>FILM-119</t>
        </is>
      </c>
      <c r="C812" s="5" t="inlineStr">
        <is>
          <t>Pyaar Mein Twist</t>
        </is>
      </c>
      <c r="D812" s="17" t="n">
        <v>2005</v>
      </c>
      <c r="E812" s="5" t="inlineStr">
        <is>
          <t>Farida Jalal</t>
        </is>
      </c>
      <c r="F812" s="5" t="inlineStr">
        <is>
          <t>Toshi Arya</t>
        </is>
      </c>
      <c r="G812" s="5" t="inlineStr">
        <is>
          <t>Family</t>
        </is>
      </c>
      <c r="H812" s="5" t="inlineStr">
        <is>
          <t>Medium</t>
        </is>
      </c>
      <c r="I812" s="5" t="inlineStr">
        <is>
          <t>In the heroine's household, among the family the romance has to be declared to.</t>
        </is>
      </c>
      <c r="J812" s="5" t="inlineStr">
        <is>
          <t>Part of the family reckoning the couple faces.</t>
        </is>
      </c>
      <c r="K812" s="19" t="inlineStr">
        <is>
          <t>Credited as Toshi Arya, with Delnaaz Paul's Dolly, of the family Sheetal puts first and finally has to argue with.</t>
        </is>
      </c>
      <c r="L812" s="5" t="n"/>
      <c r="M812" s="5" t="inlineStr">
        <is>
          <t>SOURCE-111</t>
        </is>
      </c>
    </row>
    <row r="813" ht="34" customHeight="1">
      <c r="A813" s="15" t="inlineStr">
        <is>
          <t>CAST-812</t>
        </is>
      </c>
      <c r="B813" s="18" t="inlineStr">
        <is>
          <t>FILM-119</t>
        </is>
      </c>
      <c r="C813" s="5" t="inlineStr">
        <is>
          <t>Pyaar Mein Twist</t>
        </is>
      </c>
      <c r="D813" s="17" t="n">
        <v>2005</v>
      </c>
      <c r="E813" s="5" t="inlineStr">
        <is>
          <t>Kishori Shahane</t>
        </is>
      </c>
      <c r="F813" s="5" t="inlineStr">
        <is>
          <t>Madhu Loc</t>
        </is>
      </c>
      <c r="G813" s="5" t="inlineStr">
        <is>
          <t>Family</t>
        </is>
      </c>
      <c r="H813" s="5" t="inlineStr">
        <is>
          <t>Medium</t>
        </is>
      </c>
      <c r="I813" s="5" t="inlineStr">
        <is>
          <t>Of the family his son's in-laws come from.</t>
        </is>
      </c>
      <c r="J813" s="5" t="inlineStr">
        <is>
          <t>Part of the social circle the late romance scandalises.</t>
        </is>
      </c>
      <c r="K813" s="19" t="inlineStr">
        <is>
          <t>Credited as Madhu Loc, with Harish Patel's Raj Loc, the family on the other side of the younger couple's match.</t>
        </is>
      </c>
      <c r="L813" s="5" t="n"/>
      <c r="M813" s="5" t="inlineStr">
        <is>
          <t>SOURCE-111</t>
        </is>
      </c>
    </row>
    <row r="814" ht="34" customHeight="1">
      <c r="A814" s="15" t="inlineStr">
        <is>
          <t>CAST-813</t>
        </is>
      </c>
      <c r="B814" s="18" t="inlineStr">
        <is>
          <t>FILM-119</t>
        </is>
      </c>
      <c r="C814" s="5" t="inlineStr">
        <is>
          <t>Pyaar Mein Twist</t>
        </is>
      </c>
      <c r="D814" s="17" t="n">
        <v>2005</v>
      </c>
      <c r="E814" s="5" t="inlineStr">
        <is>
          <t>Deepshika</t>
        </is>
      </c>
      <c r="F814" s="5" t="inlineStr">
        <is>
          <t>Parul Rajiv Khurana</t>
        </is>
      </c>
      <c r="G814" s="5" t="inlineStr">
        <is>
          <t>Family</t>
        </is>
      </c>
      <c r="H814" s="5" t="inlineStr">
        <is>
          <t>Medium</t>
        </is>
      </c>
      <c r="I814" s="5" t="inlineStr">
        <is>
          <t>His daughter-in-law, in the household that objects to his romance.</t>
        </is>
      </c>
      <c r="J814" s="5" t="inlineStr">
        <is>
          <t>Part of the younger generation's resistance.</t>
        </is>
      </c>
      <c r="K814" s="19" t="inlineStr">
        <is>
          <t>Credited as Rajiv's wife, in the Khurana household whose assumptions about the widower's conduct the film plays on.</t>
        </is>
      </c>
      <c r="L814" s="5" t="n"/>
      <c r="M814" s="5" t="inlineStr">
        <is>
          <t>SOURCE-111</t>
        </is>
      </c>
    </row>
    <row r="815" ht="34" customHeight="1">
      <c r="A815" s="15" t="inlineStr">
        <is>
          <t>CAST-814</t>
        </is>
      </c>
      <c r="B815" s="18" t="inlineStr">
        <is>
          <t>FILM-119</t>
        </is>
      </c>
      <c r="C815" s="5" t="inlineStr">
        <is>
          <t>Pyaar Mein Twist</t>
        </is>
      </c>
      <c r="D815" s="17" t="n">
        <v>2005</v>
      </c>
      <c r="E815" s="5" t="inlineStr">
        <is>
          <t>Emma Bunton</t>
        </is>
      </c>
      <c r="F815" s="5" t="inlineStr">
        <is>
          <t>Kylie Milligan</t>
        </is>
      </c>
      <c r="G815" s="5" t="inlineStr">
        <is>
          <t>Cameo</t>
        </is>
      </c>
      <c r="H815" s="5" t="inlineStr">
        <is>
          <t>Minor</t>
        </is>
      </c>
      <c r="I815" s="5" t="inlineStr">
        <is>
          <t>A guest appearance outside the family plot.</t>
        </is>
      </c>
      <c r="J815" s="5" t="inlineStr">
        <is>
          <t>No part in the central pairing.</t>
        </is>
      </c>
      <c r="K815" s="19" t="inlineStr">
        <is>
          <t>Credited as Kylie Milligan, a guest appearance by the Spice Girls singer in an Indian family comedy.</t>
        </is>
      </c>
      <c r="L815" s="5" t="n"/>
      <c r="M815" s="5" t="inlineStr">
        <is>
          <t>SOURCE-111</t>
        </is>
      </c>
    </row>
    <row r="816" ht="64" customHeight="1">
      <c r="A816" s="15" t="inlineStr">
        <is>
          <t>CAST-815</t>
        </is>
      </c>
      <c r="B816" s="18" t="inlineStr">
        <is>
          <t>FILM-120</t>
        </is>
      </c>
      <c r="C816" s="5" t="inlineStr">
        <is>
          <t>Fanaa</t>
        </is>
      </c>
      <c r="D816" s="17" t="n">
        <v>2006</v>
      </c>
      <c r="E816" s="5" t="inlineStr">
        <is>
          <t>Kajol</t>
        </is>
      </c>
      <c r="F816" s="5" t="inlineStr">
        <is>
          <t>Zooni Ali Beg</t>
        </is>
      </c>
      <c r="G816" s="5" t="inlineStr">
        <is>
          <t>Co-lead</t>
        </is>
      </c>
      <c r="H816" s="5" t="inlineStr">
        <is>
          <t>Major</t>
        </is>
      </c>
      <c r="I816" s="5" t="inlineStr">
        <is>
          <t>His daughter, whom he lets travel to Delhi and whose marriage he presides over.</t>
        </is>
      </c>
      <c r="J816" s="5" t="inlineStr">
        <is>
          <t>Holds the film's romance entirely; Kapoor's part is the father's.</t>
        </is>
      </c>
      <c r="K816" s="19" t="inlineStr">
        <is>
          <t>A blind Kashmiri woman who travels to Delhi to dance at a Republic Day ceremony, falls in love with her tour guide, has her sight restored and is told he died in a bombing, and years later takes in a wounded stranger who is him.</t>
        </is>
      </c>
      <c r="L816" s="5" t="inlineStr">
        <is>
          <t>Won Kajol the Filmfare Award for Best Actress, on her return to leading roles.</t>
        </is>
      </c>
      <c r="M816" s="5" t="inlineStr">
        <is>
          <t>SOURCE-112</t>
        </is>
      </c>
    </row>
    <row r="817" ht="64" customHeight="1">
      <c r="A817" s="15" t="inlineStr">
        <is>
          <t>CAST-816</t>
        </is>
      </c>
      <c r="B817" s="18" t="inlineStr">
        <is>
          <t>FILM-120</t>
        </is>
      </c>
      <c r="C817" s="5" t="inlineStr">
        <is>
          <t>Fanaa</t>
        </is>
      </c>
      <c r="D817" s="17" t="n">
        <v>2006</v>
      </c>
      <c r="E817" s="5" t="inlineStr">
        <is>
          <t>Aamir Khan</t>
        </is>
      </c>
      <c r="F817" s="5" t="inlineStr">
        <is>
          <t>Rehan Khan / Rehan Qadri</t>
        </is>
      </c>
      <c r="G817" s="5" t="inlineStr">
        <is>
          <t>Co-lead</t>
        </is>
      </c>
      <c r="H817" s="5" t="inlineStr">
        <is>
          <t>Major</t>
        </is>
      </c>
      <c r="I817" s="5" t="inlineStr">
        <is>
          <t>The man who marries his daughter under a false identity, and who kills him.</t>
        </is>
      </c>
      <c r="J817" s="5" t="inlineStr">
        <is>
          <t>The other half of the film's romance, and its antagonist at the same time.</t>
        </is>
      </c>
      <c r="K817" s="19" t="inlineStr">
        <is>
          <t>A flirtatious Delhi tour guide who is in fact the leader of the IKF, fakes his own death so the woman he loves will not look for him, and returns years later wounded into her house under another name.</t>
        </is>
      </c>
      <c r="L817" s="5" t="n"/>
      <c r="M817" s="5" t="inlineStr">
        <is>
          <t>SOURCE-112</t>
        </is>
      </c>
    </row>
    <row r="818" ht="49" customHeight="1">
      <c r="A818" s="15" t="inlineStr">
        <is>
          <t>CAST-817</t>
        </is>
      </c>
      <c r="B818" s="18" t="inlineStr">
        <is>
          <t>FILM-120</t>
        </is>
      </c>
      <c r="C818" s="5" t="inlineStr">
        <is>
          <t>Fanaa</t>
        </is>
      </c>
      <c r="D818" s="17" t="n">
        <v>2006</v>
      </c>
      <c r="E818" s="5" t="inlineStr">
        <is>
          <t>Kirron Kher</t>
        </is>
      </c>
      <c r="F818" s="5" t="inlineStr">
        <is>
          <t>Nafisa Ali Beg</t>
        </is>
      </c>
      <c r="G818" s="5" t="inlineStr">
        <is>
          <t>Family</t>
        </is>
      </c>
      <c r="H818" s="5" t="inlineStr">
        <is>
          <t>Major</t>
        </is>
      </c>
      <c r="I818" s="5" t="inlineStr">
        <is>
          <t>His wife, with whom he comes to Delhi to arrange their daughter's wedding.</t>
        </is>
      </c>
      <c r="J818" s="5" t="inlineStr">
        <is>
          <t>The parental consent the first marriage is made under.</t>
        </is>
      </c>
      <c r="K818" s="19" t="inlineStr">
        <is>
          <t>Zooni's mother, who travels to Delhi with her husband to make arrangements for the wedding after their daughter refuses to come home.</t>
        </is>
      </c>
      <c r="L818" s="5" t="n"/>
      <c r="M818" s="5" t="inlineStr">
        <is>
          <t>SOURCE-112</t>
        </is>
      </c>
    </row>
    <row r="819" ht="49" customHeight="1">
      <c r="A819" s="15" t="inlineStr">
        <is>
          <t>CAST-818</t>
        </is>
      </c>
      <c r="B819" s="18" t="inlineStr">
        <is>
          <t>FILM-120</t>
        </is>
      </c>
      <c r="C819" s="5" t="inlineStr">
        <is>
          <t>Fanaa</t>
        </is>
      </c>
      <c r="D819" s="17" t="n">
        <v>2006</v>
      </c>
      <c r="E819" s="5" t="inlineStr">
        <is>
          <t>Tabu</t>
        </is>
      </c>
      <c r="F819" s="5" t="inlineStr">
        <is>
          <t>Malini Tyagi</t>
        </is>
      </c>
      <c r="G819" s="5" t="inlineStr">
        <is>
          <t>Supporting</t>
        </is>
      </c>
      <c r="H819" s="5" t="inlineStr">
        <is>
          <t>Major</t>
        </is>
      </c>
      <c r="I819" s="5" t="inlineStr">
        <is>
          <t>The anti-terrorism officer pursuing the man in his house.</t>
        </is>
      </c>
      <c r="J819" s="5" t="inlineStr">
        <is>
          <t>The state's claim on the romance's second half.</t>
        </is>
      </c>
      <c r="K819" s="19" t="inlineStr">
        <is>
          <t>An anti-terrorism agent investigating the Delhi bombing and the IKF, and the pursuit that closes on the Beg household years later.</t>
        </is>
      </c>
      <c r="L819" s="5" t="n"/>
      <c r="M819" s="5" t="inlineStr">
        <is>
          <t>SOURCE-112</t>
        </is>
      </c>
    </row>
    <row r="820" ht="34" customHeight="1">
      <c r="A820" s="15" t="inlineStr">
        <is>
          <t>CAST-819</t>
        </is>
      </c>
      <c r="B820" s="18" t="inlineStr">
        <is>
          <t>FILM-120</t>
        </is>
      </c>
      <c r="C820" s="5" t="inlineStr">
        <is>
          <t>Fanaa</t>
        </is>
      </c>
      <c r="D820" s="17" t="n">
        <v>2006</v>
      </c>
      <c r="E820" s="5" t="inlineStr">
        <is>
          <t>Ali Haji</t>
        </is>
      </c>
      <c r="F820" s="5" t="inlineStr">
        <is>
          <t>Rehan Qadri Jr.</t>
        </is>
      </c>
      <c r="G820" s="5" t="inlineStr">
        <is>
          <t>Family</t>
        </is>
      </c>
      <c r="H820" s="5" t="inlineStr">
        <is>
          <t>Medium</t>
        </is>
      </c>
      <c r="I820" s="5" t="inlineStr">
        <is>
          <t>His grandson, the child of the marriage he presided over.</t>
        </is>
      </c>
      <c r="J820" s="5" t="inlineStr">
        <is>
          <t>The consequence of the romance, and the stake of its last act.</t>
        </is>
      </c>
      <c r="K820" s="19" t="inlineStr">
        <is>
          <t>Credited as the son of Rehan and Zooni, born after the supposed death and raised in his grandfather's house.</t>
        </is>
      </c>
      <c r="L820" s="5" t="n"/>
      <c r="M820" s="5" t="inlineStr">
        <is>
          <t>SOURCE-112</t>
        </is>
      </c>
    </row>
    <row r="821" ht="34" customHeight="1">
      <c r="A821" s="15" t="inlineStr">
        <is>
          <t>CAST-820</t>
        </is>
      </c>
      <c r="B821" s="18" t="inlineStr">
        <is>
          <t>FILM-120</t>
        </is>
      </c>
      <c r="C821" s="5" t="inlineStr">
        <is>
          <t>Fanaa</t>
        </is>
      </c>
      <c r="D821" s="17" t="n">
        <v>2006</v>
      </c>
      <c r="E821" s="5" t="inlineStr">
        <is>
          <t>Shiney Ahuja</t>
        </is>
      </c>
      <c r="F821" s="5" t="inlineStr">
        <is>
          <t>Major Suraj Ahuja</t>
        </is>
      </c>
      <c r="G821" s="5" t="inlineStr">
        <is>
          <t>Supporting</t>
        </is>
      </c>
      <c r="H821" s="5" t="inlineStr">
        <is>
          <t>Medium</t>
        </is>
      </c>
      <c r="I821" s="5" t="inlineStr">
        <is>
          <t>An army officer in the operation around his household.</t>
        </is>
      </c>
      <c r="J821" s="5" t="inlineStr">
        <is>
          <t>Part of the military apparatus the second half is conducted in.</t>
        </is>
      </c>
      <c r="K821" s="19" t="inlineStr">
        <is>
          <t>Credited as an army major, with Satish Shah's Colonel Maan Singh, in the Kashmir operation of the film's second half.</t>
        </is>
      </c>
      <c r="L821" s="5" t="n"/>
      <c r="M821" s="5" t="inlineStr">
        <is>
          <t>SOURCE-112</t>
        </is>
      </c>
    </row>
    <row r="822" ht="34" customHeight="1">
      <c r="A822" s="15" t="inlineStr">
        <is>
          <t>CAST-821</t>
        </is>
      </c>
      <c r="B822" s="18" t="inlineStr">
        <is>
          <t>FILM-120</t>
        </is>
      </c>
      <c r="C822" s="5" t="inlineStr">
        <is>
          <t>Fanaa</t>
        </is>
      </c>
      <c r="D822" s="17" t="n">
        <v>2006</v>
      </c>
      <c r="E822" s="5" t="inlineStr">
        <is>
          <t>Lillete Dubey</t>
        </is>
      </c>
      <c r="F822" s="5" t="inlineStr">
        <is>
          <t>Helen</t>
        </is>
      </c>
      <c r="G822" s="5" t="inlineStr">
        <is>
          <t>Mentor</t>
        </is>
      </c>
      <c r="H822" s="5" t="inlineStr">
        <is>
          <t>Medium</t>
        </is>
      </c>
      <c r="I822" s="5" t="inlineStr">
        <is>
          <t>The dance teacher he entrusts his daughter to for the Delhi trip.</t>
        </is>
      </c>
      <c r="J822" s="5" t="inlineStr">
        <is>
          <t>The chaperone whose charge the romance begins under.</t>
        </is>
      </c>
      <c r="K822" s="19" t="inlineStr">
        <is>
          <t>The dance teacher who takes Zooni and her friends to Delhi to perform at the Republic Day ceremony.</t>
        </is>
      </c>
      <c r="L822" s="5" t="n"/>
      <c r="M822" s="5" t="inlineStr">
        <is>
          <t>SOURCE-112</t>
        </is>
      </c>
    </row>
    <row r="823" ht="34" customHeight="1">
      <c r="A823" s="15" t="inlineStr">
        <is>
          <t>CAST-822</t>
        </is>
      </c>
      <c r="B823" s="18" t="inlineStr">
        <is>
          <t>FILM-120</t>
        </is>
      </c>
      <c r="C823" s="5" t="inlineStr">
        <is>
          <t>Fanaa</t>
        </is>
      </c>
      <c r="D823" s="17" t="n">
        <v>2006</v>
      </c>
      <c r="E823" s="5" t="inlineStr">
        <is>
          <t>Lara Dutta</t>
        </is>
      </c>
      <c r="F823" s="5" t="inlineStr">
        <is>
          <t>Zeenat</t>
        </is>
      </c>
      <c r="G823" s="5" t="inlineStr">
        <is>
          <t>Cameo</t>
        </is>
      </c>
      <c r="H823" s="5" t="inlineStr">
        <is>
          <t>Minor</t>
        </is>
      </c>
      <c r="I823" s="5" t="inlineStr">
        <is>
          <t>A guest appearance outside the family's story.</t>
        </is>
      </c>
      <c r="J823" s="5" t="inlineStr">
        <is>
          <t>No part in the central romance.</t>
        </is>
      </c>
      <c r="K823" s="19" t="inlineStr">
        <is>
          <t>Credited as a guest appearance, in the Delhi half of the film.</t>
        </is>
      </c>
      <c r="L823" s="5" t="n"/>
      <c r="M823" s="5" t="inlineStr">
        <is>
          <t>SOURCE-112</t>
        </is>
      </c>
    </row>
    <row r="824" ht="64" customHeight="1">
      <c r="A824" s="15" t="inlineStr">
        <is>
          <t>CAST-823</t>
        </is>
      </c>
      <c r="B824" s="18" t="inlineStr">
        <is>
          <t>FILM-121</t>
        </is>
      </c>
      <c r="C824" s="5" t="inlineStr">
        <is>
          <t>Love Ke Chakkar Mein</t>
        </is>
      </c>
      <c r="D824" s="17" t="n">
        <v>2006</v>
      </c>
      <c r="E824" s="5" t="inlineStr">
        <is>
          <t>Akshat Bhatia</t>
        </is>
      </c>
      <c r="F824" s="5" t="inlineStr">
        <is>
          <t>Vicky</t>
        </is>
      </c>
      <c r="G824" s="5" t="inlineStr">
        <is>
          <t>Co-lead</t>
        </is>
      </c>
      <c r="H824" s="5" t="inlineStr">
        <is>
          <t>Major</t>
        </is>
      </c>
      <c r="I824" s="5" t="inlineStr">
        <is>
          <t>The unemployed young man who comes to Kapoor's character for a job and is made to pay for it with his fiancee.</t>
        </is>
      </c>
      <c r="J824" s="5" t="inlineStr">
        <is>
          <t>Holds the film's romance; Kapoor's role exists to extort it.</t>
        </is>
      </c>
      <c r="K824" s="19" t="inlineStr">
        <is>
          <t>An unemployed man who meets Neha online, must find work in seven days to win her father's blessing, agrees to Armaan's price, substitutes a sex worker for his fiancee, and is fired, evicted and then accused of kidnapping.</t>
        </is>
      </c>
      <c r="L824" s="5" t="n"/>
      <c r="M824" s="5" t="inlineStr">
        <is>
          <t>SOURCE-113</t>
        </is>
      </c>
    </row>
    <row r="825" ht="49" customHeight="1">
      <c r="A825" s="15" t="inlineStr">
        <is>
          <t>CAST-824</t>
        </is>
      </c>
      <c r="B825" s="18" t="inlineStr">
        <is>
          <t>FILM-121</t>
        </is>
      </c>
      <c r="C825" s="5" t="inlineStr">
        <is>
          <t>Love Ke Chakkar Mein</t>
        </is>
      </c>
      <c r="D825" s="17" t="n">
        <v>2006</v>
      </c>
      <c r="E825" s="5" t="inlineStr">
        <is>
          <t>Namitha</t>
        </is>
      </c>
      <c r="F825" s="5" t="inlineStr">
        <is>
          <t>Neha V. Batra</t>
        </is>
      </c>
      <c r="G825" s="5" t="inlineStr">
        <is>
          <t>Co-lead</t>
        </is>
      </c>
      <c r="H825" s="5" t="inlineStr">
        <is>
          <t>Major</t>
        </is>
      </c>
      <c r="I825" s="5" t="inlineStr">
        <is>
          <t>The woman Kapoor's character demands a night with, and who never learns of the bargain.</t>
        </is>
      </c>
      <c r="J825" s="5" t="inlineStr">
        <is>
          <t>The object of both the romance and the extortion.</t>
        </is>
      </c>
      <c r="K825" s="19" t="inlineStr">
        <is>
          <t>Vishal Batra's daughter, who meets Vicky on the internet and wants to marry him, and in whose name a bargain is struck that she knows nothing about.</t>
        </is>
      </c>
      <c r="L825" s="5" t="n"/>
      <c r="M825" s="5" t="inlineStr">
        <is>
          <t>SOURCE-113</t>
        </is>
      </c>
    </row>
    <row r="826" ht="49" customHeight="1">
      <c r="A826" s="15" t="inlineStr">
        <is>
          <t>CAST-825</t>
        </is>
      </c>
      <c r="B826" s="18" t="inlineStr">
        <is>
          <t>FILM-121</t>
        </is>
      </c>
      <c r="C826" s="5" t="inlineStr">
        <is>
          <t>Love Ke Chakkar Mein</t>
        </is>
      </c>
      <c r="D826" s="17" t="n">
        <v>2006</v>
      </c>
      <c r="E826" s="5" t="inlineStr">
        <is>
          <t>Satish Shah</t>
        </is>
      </c>
      <c r="F826" s="5" t="inlineStr">
        <is>
          <t>Vishal Batra</t>
        </is>
      </c>
      <c r="G826" s="5" t="inlineStr">
        <is>
          <t>Family</t>
        </is>
      </c>
      <c r="H826" s="5" t="inlineStr">
        <is>
          <t>Major</t>
        </is>
      </c>
      <c r="I826" s="5" t="inlineStr">
        <is>
          <t>The father whose escalating conditions send the hero back to Kapoor's character again and again.</t>
        </is>
      </c>
      <c r="J826" s="5" t="inlineStr">
        <is>
          <t>The external opposition whose demands create the extortion.</t>
        </is>
      </c>
      <c r="K826" s="19" t="inlineStr">
        <is>
          <t>Neha's father, who approves the match but requires first a job within seven days and then a suitable apartment before he will bless the marriage.</t>
        </is>
      </c>
      <c r="L826" s="5" t="n"/>
      <c r="M826" s="5" t="inlineStr">
        <is>
          <t>SOURCE-113</t>
        </is>
      </c>
    </row>
    <row r="827" ht="34" customHeight="1">
      <c r="A827" s="15" t="inlineStr">
        <is>
          <t>CAST-826</t>
        </is>
      </c>
      <c r="B827" s="18" t="inlineStr">
        <is>
          <t>FILM-121</t>
        </is>
      </c>
      <c r="C827" s="5" t="inlineStr">
        <is>
          <t>Love Ke Chakkar Mein</t>
        </is>
      </c>
      <c r="D827" s="17" t="n">
        <v>2006</v>
      </c>
      <c r="E827" s="5" t="inlineStr">
        <is>
          <t>Shoma Anand</t>
        </is>
      </c>
      <c r="F827" s="5" t="inlineStr">
        <is>
          <t>Kaajal A. Kochar</t>
        </is>
      </c>
      <c r="G827" s="5" t="inlineStr">
        <is>
          <t>Family</t>
        </is>
      </c>
      <c r="H827" s="5" t="inlineStr">
        <is>
          <t>Major</t>
        </is>
      </c>
      <c r="I827" s="5" t="inlineStr">
        <is>
          <t>His wife, who accuses the hero when her husband is kidnapped.</t>
        </is>
      </c>
      <c r="J827" s="5" t="inlineStr">
        <is>
          <t>No part in the romance; the marriage the extortion is conducted behind.</t>
        </is>
      </c>
      <c r="K827" s="19" t="inlineStr">
        <is>
          <t>Armaan Kochar's wife, who after her husband's abduction for ransom holds Vicky responsible for it.</t>
        </is>
      </c>
      <c r="L827" s="5" t="n"/>
      <c r="M827" s="5" t="inlineStr">
        <is>
          <t>SOURCE-113</t>
        </is>
      </c>
    </row>
    <row r="828" ht="49" customHeight="1">
      <c r="A828" s="15" t="inlineStr">
        <is>
          <t>CAST-827</t>
        </is>
      </c>
      <c r="B828" s="18" t="inlineStr">
        <is>
          <t>FILM-121</t>
        </is>
      </c>
      <c r="C828" s="5" t="inlineStr">
        <is>
          <t>Love Ke Chakkar Mein</t>
        </is>
      </c>
      <c r="D828" s="17" t="n">
        <v>2006</v>
      </c>
      <c r="E828" s="5" t="inlineStr">
        <is>
          <t>Parmita Katkar</t>
        </is>
      </c>
      <c r="F828" s="5" t="inlineStr">
        <is>
          <t>Bijlee</t>
        </is>
      </c>
      <c r="G828" s="5" t="inlineStr">
        <is>
          <t>Supporting</t>
        </is>
      </c>
      <c r="H828" s="5" t="inlineStr">
        <is>
          <t>Major</t>
        </is>
      </c>
      <c r="I828" s="5" t="inlineStr">
        <is>
          <t>The woman hired to impersonate the fiancee, and whose discovery exposes the deception.</t>
        </is>
      </c>
      <c r="J828" s="5" t="inlineStr">
        <is>
          <t>The substitution that protects the romance and then destroys the arrangement.</t>
        </is>
      </c>
      <c r="K828" s="19" t="inlineStr">
        <is>
          <t>A sex worker hired to pass as Neha, recognised by Armaan performing at a nightclub, which is how he learns he has been deceived.</t>
        </is>
      </c>
      <c r="L828" s="5" t="n"/>
      <c r="M828" s="5" t="inlineStr">
        <is>
          <t>SOURCE-113</t>
        </is>
      </c>
    </row>
    <row r="829" ht="34" customHeight="1">
      <c r="A829" s="15" t="inlineStr">
        <is>
          <t>CAST-828</t>
        </is>
      </c>
      <c r="B829" s="18" t="inlineStr">
        <is>
          <t>FILM-121</t>
        </is>
      </c>
      <c r="C829" s="5" t="inlineStr">
        <is>
          <t>Love Ke Chakkar Mein</t>
        </is>
      </c>
      <c r="D829" s="17" t="n">
        <v>2006</v>
      </c>
      <c r="E829" s="5" t="inlineStr">
        <is>
          <t>Shashi Kiran</t>
        </is>
      </c>
      <c r="F829" s="5" t="inlineStr">
        <is>
          <t>Dr. Subhash</t>
        </is>
      </c>
      <c r="G829" s="5" t="inlineStr">
        <is>
          <t>Supporting</t>
        </is>
      </c>
      <c r="H829" s="5" t="inlineStr">
        <is>
          <t>Minor</t>
        </is>
      </c>
      <c r="I829" s="5" t="inlineStr">
        <is>
          <t>A credited supporting figure in the plot around the extortion.</t>
        </is>
      </c>
      <c r="J829" s="5" t="inlineStr">
        <is>
          <t>No documented part in the romance.</t>
        </is>
      </c>
      <c r="K829" s="19" t="inlineStr">
        <is>
          <t>Credited as Dr. Subhash, in the supporting ranks of the film.</t>
        </is>
      </c>
      <c r="L829" s="5" t="n"/>
      <c r="M829" s="5" t="inlineStr">
        <is>
          <t>SOURCE-113</t>
        </is>
      </c>
    </row>
    <row r="830" ht="64" customHeight="1">
      <c r="A830" s="15" t="inlineStr">
        <is>
          <t>CAST-829</t>
        </is>
      </c>
      <c r="B830" s="18" t="inlineStr">
        <is>
          <t>FILM-122</t>
        </is>
      </c>
      <c r="C830" s="5" t="inlineStr">
        <is>
          <t>Don't Stop Dreaming</t>
        </is>
      </c>
      <c r="D830" s="17" t="n">
        <v>2007</v>
      </c>
      <c r="E830" s="5" t="inlineStr">
        <is>
          <t>Sunil Shetty</t>
        </is>
      </c>
      <c r="F830" s="5" t="inlineStr">
        <is>
          <t>Dave</t>
        </is>
      </c>
      <c r="G830" s="5" t="inlineStr">
        <is>
          <t>Co-lead</t>
        </is>
      </c>
      <c r="H830" s="5" t="inlineStr">
        <is>
          <t>Major</t>
        </is>
      </c>
      <c r="I830" s="5" t="inlineStr">
        <is>
          <t>Credited opposite Kapoor as the film's other Indian lead; the article's plot section is empty, so the relationship is undocumented.</t>
        </is>
      </c>
      <c r="J830" s="5" t="inlineStr">
        <is>
          <t>Undocumented; Kapoor's role is recorded as having no romance.</t>
        </is>
      </c>
      <c r="K830" s="19" t="inlineStr">
        <is>
          <t>Credited as Dave in an English-language British production shot in Birmingham, whose article carries a cast list but no plot text.</t>
        </is>
      </c>
      <c r="L830" s="5" t="n"/>
      <c r="M830" s="5" t="inlineStr">
        <is>
          <t>SOURCE-115</t>
        </is>
      </c>
    </row>
    <row r="831" ht="49" customHeight="1">
      <c r="A831" s="15" t="inlineStr">
        <is>
          <t>CAST-830</t>
        </is>
      </c>
      <c r="B831" s="18" t="inlineStr">
        <is>
          <t>FILM-122</t>
        </is>
      </c>
      <c r="C831" s="5" t="inlineStr">
        <is>
          <t>Don't Stop Dreaming</t>
        </is>
      </c>
      <c r="D831" s="17" t="n">
        <v>2007</v>
      </c>
      <c r="E831" s="5" t="inlineStr">
        <is>
          <t>Michelle Collins</t>
        </is>
      </c>
      <c r="F831" s="5" t="n"/>
      <c r="G831" s="5" t="inlineStr">
        <is>
          <t>Supporting</t>
        </is>
      </c>
      <c r="H831" s="5" t="inlineStr">
        <is>
          <t>Major</t>
        </is>
      </c>
      <c r="I831" s="5" t="inlineStr">
        <is>
          <t>Credited third, with no character name given; the article documents no plot.</t>
        </is>
      </c>
      <c r="J831" s="5" t="inlineStr">
        <is>
          <t>Undocumented.</t>
        </is>
      </c>
      <c r="K831" s="19" t="inlineStr">
        <is>
          <t>The EastEnders actress, credited high in the cast of this British production without a character name.</t>
        </is>
      </c>
      <c r="L831" s="5" t="n"/>
      <c r="M831" s="5" t="inlineStr">
        <is>
          <t>SOURCE-115</t>
        </is>
      </c>
    </row>
    <row r="832" ht="34" customHeight="1">
      <c r="A832" s="15" t="inlineStr">
        <is>
          <t>CAST-831</t>
        </is>
      </c>
      <c r="B832" s="18" t="inlineStr">
        <is>
          <t>FILM-122</t>
        </is>
      </c>
      <c r="C832" s="5" t="inlineStr">
        <is>
          <t>Don't Stop Dreaming</t>
        </is>
      </c>
      <c r="D832" s="17" t="n">
        <v>2007</v>
      </c>
      <c r="E832" s="5" t="inlineStr">
        <is>
          <t>Richard Blackwood</t>
        </is>
      </c>
      <c r="F832" s="5" t="n"/>
      <c r="G832" s="5" t="inlineStr">
        <is>
          <t>Supporting</t>
        </is>
      </c>
      <c r="H832" s="5" t="inlineStr">
        <is>
          <t>Medium</t>
        </is>
      </c>
      <c r="I832" s="5" t="inlineStr">
        <is>
          <t>Credited without a character name; undocumented.</t>
        </is>
      </c>
      <c r="J832" s="5" t="inlineStr">
        <is>
          <t>Undocumented.</t>
        </is>
      </c>
      <c r="K832" s="19" t="inlineStr">
        <is>
          <t>The British television presenter and rapper, credited in the cast with no character name recorded.</t>
        </is>
      </c>
      <c r="L832" s="5" t="n"/>
      <c r="M832" s="5" t="inlineStr">
        <is>
          <t>SOURCE-115</t>
        </is>
      </c>
    </row>
    <row r="833" ht="49" customHeight="1">
      <c r="A833" s="15" t="inlineStr">
        <is>
          <t>CAST-832</t>
        </is>
      </c>
      <c r="B833" s="18" t="inlineStr">
        <is>
          <t>FILM-122</t>
        </is>
      </c>
      <c r="C833" s="5" t="inlineStr">
        <is>
          <t>Don't Stop Dreaming</t>
        </is>
      </c>
      <c r="D833" s="17" t="n">
        <v>2007</v>
      </c>
      <c r="E833" s="5" t="inlineStr">
        <is>
          <t>Taz</t>
        </is>
      </c>
      <c r="F833" s="5" t="inlineStr">
        <is>
          <t>Channi Singh</t>
        </is>
      </c>
      <c r="G833" s="5" t="inlineStr">
        <is>
          <t>Supporting</t>
        </is>
      </c>
      <c r="H833" s="5" t="inlineStr">
        <is>
          <t>Medium</t>
        </is>
      </c>
      <c r="I833" s="5" t="inlineStr">
        <is>
          <t>Credited as Channi Singh; the article gives no plot to place him.</t>
        </is>
      </c>
      <c r="J833" s="5" t="inlineStr">
        <is>
          <t>Undocumented.</t>
        </is>
      </c>
      <c r="K833" s="19" t="inlineStr">
        <is>
          <t>The British Asian singer, in his acting debut, credited as Channi Singh in a film built around a British Indian music milieu.</t>
        </is>
      </c>
      <c r="L833" s="5" t="n"/>
      <c r="M833" s="5" t="inlineStr">
        <is>
          <t>SOURCE-115</t>
        </is>
      </c>
    </row>
    <row r="834" ht="34" customHeight="1">
      <c r="A834" s="15" t="inlineStr">
        <is>
          <t>CAST-833</t>
        </is>
      </c>
      <c r="B834" s="18" t="inlineStr">
        <is>
          <t>FILM-122</t>
        </is>
      </c>
      <c r="C834" s="5" t="inlineStr">
        <is>
          <t>Don't Stop Dreaming</t>
        </is>
      </c>
      <c r="D834" s="17" t="n">
        <v>2007</v>
      </c>
      <c r="E834" s="5" t="inlineStr">
        <is>
          <t>Sigga</t>
        </is>
      </c>
      <c r="F834" s="5" t="inlineStr">
        <is>
          <t>Gabby</t>
        </is>
      </c>
      <c r="G834" s="5" t="inlineStr">
        <is>
          <t>Supporting</t>
        </is>
      </c>
      <c r="H834" s="5" t="inlineStr">
        <is>
          <t>Medium</t>
        </is>
      </c>
      <c r="I834" s="5" t="inlineStr">
        <is>
          <t>Credited as Gabby; undocumented.</t>
        </is>
      </c>
      <c r="J834" s="5" t="inlineStr">
        <is>
          <t>Undocumented.</t>
        </is>
      </c>
      <c r="K834" s="19" t="inlineStr">
        <is>
          <t>The Icelandic singer, credited as Gabby, among the film's international cast.</t>
        </is>
      </c>
      <c r="L834" s="5" t="n"/>
      <c r="M834" s="5" t="inlineStr">
        <is>
          <t>SOURCE-115</t>
        </is>
      </c>
    </row>
    <row r="835" ht="34" customHeight="1">
      <c r="A835" s="15" t="inlineStr">
        <is>
          <t>CAST-834</t>
        </is>
      </c>
      <c r="B835" s="18" t="inlineStr">
        <is>
          <t>FILM-122</t>
        </is>
      </c>
      <c r="C835" s="5" t="inlineStr">
        <is>
          <t>Don't Stop Dreaming</t>
        </is>
      </c>
      <c r="D835" s="17" t="n">
        <v>2007</v>
      </c>
      <c r="E835" s="5" t="inlineStr">
        <is>
          <t>Matt McCooey</t>
        </is>
      </c>
      <c r="F835" s="5" t="inlineStr">
        <is>
          <t>Bobby</t>
        </is>
      </c>
      <c r="G835" s="5" t="inlineStr">
        <is>
          <t>Supporting</t>
        </is>
      </c>
      <c r="H835" s="5" t="inlineStr">
        <is>
          <t>Minor</t>
        </is>
      </c>
      <c r="I835" s="5" t="inlineStr">
        <is>
          <t>Credited as Bobby; undocumented.</t>
        </is>
      </c>
      <c r="J835" s="5" t="inlineStr">
        <is>
          <t>Undocumented.</t>
        </is>
      </c>
      <c r="K835" s="19" t="inlineStr">
        <is>
          <t>Credited as Bobby, last of the named parts in an article with no synopsis.</t>
        </is>
      </c>
      <c r="L835" s="5" t="n"/>
      <c r="M835" s="5" t="inlineStr">
        <is>
          <t>SOURCE-115</t>
        </is>
      </c>
    </row>
    <row r="836" ht="64" customHeight="1">
      <c r="A836" s="15" t="inlineStr">
        <is>
          <t>CAST-835</t>
        </is>
      </c>
      <c r="B836" s="18" t="inlineStr">
        <is>
          <t>FILM-123</t>
        </is>
      </c>
      <c r="C836" s="5" t="inlineStr">
        <is>
          <t>Namastey London</t>
        </is>
      </c>
      <c r="D836" s="17" t="n">
        <v>2007</v>
      </c>
      <c r="E836" s="5" t="inlineStr">
        <is>
          <t>Katrina Kaif</t>
        </is>
      </c>
      <c r="F836" s="5" t="inlineStr">
        <is>
          <t>Jasmeet Malhotra, called Jazz</t>
        </is>
      </c>
      <c r="G836" s="5" t="inlineStr">
        <is>
          <t>Co-lead</t>
        </is>
      </c>
      <c r="H836" s="5" t="inlineStr">
        <is>
          <t>Major</t>
        </is>
      </c>
      <c r="I836" s="5" t="inlineStr">
        <is>
          <t>His daughter, raised to be English and married off in India against her will.</t>
        </is>
      </c>
      <c r="J836" s="5" t="inlineStr">
        <is>
          <t>Holds the film's principal romance; Kapoor's own pairing is the parents' marriage.</t>
        </is>
      </c>
      <c r="K836" s="19" t="inlineStr">
        <is>
          <t>A young woman educated in English schools at her mother's insistence and ashamed of her Indian heritage, forced by her father into a marriage with Arjun in India, who returns to London and announces she will marry an Englishman instead.</t>
        </is>
      </c>
      <c r="L836" s="5" t="inlineStr">
        <is>
          <t>The role that established Katrina Kaif as a leading commercial star.</t>
        </is>
      </c>
      <c r="M836" s="5" t="inlineStr">
        <is>
          <t>SOURCE-114</t>
        </is>
      </c>
    </row>
    <row r="837" ht="49" customHeight="1">
      <c r="A837" s="15" t="inlineStr">
        <is>
          <t>CAST-836</t>
        </is>
      </c>
      <c r="B837" s="18" t="inlineStr">
        <is>
          <t>FILM-123</t>
        </is>
      </c>
      <c r="C837" s="5" t="inlineStr">
        <is>
          <t>Namastey London</t>
        </is>
      </c>
      <c r="D837" s="17" t="n">
        <v>2007</v>
      </c>
      <c r="E837" s="5" t="inlineStr">
        <is>
          <t>Akshay Kumar</t>
        </is>
      </c>
      <c r="F837" s="5" t="inlineStr">
        <is>
          <t>Arjun Ballu Singh</t>
        </is>
      </c>
      <c r="G837" s="5" t="inlineStr">
        <is>
          <t>Co-lead</t>
        </is>
      </c>
      <c r="H837" s="5" t="inlineStr">
        <is>
          <t>Major</t>
        </is>
      </c>
      <c r="I837" s="5" t="inlineStr">
        <is>
          <t>The Punjabi farmer he marries his daughter to, and who then has to win her himself.</t>
        </is>
      </c>
      <c r="J837" s="5" t="inlineStr">
        <is>
          <t>The other half of the principal romance, which the father's coercion begins.</t>
        </is>
      </c>
      <c r="K837" s="19" t="inlineStr">
        <is>
          <t>A man from Punjab who falls in love with the woman he is married to in a ceremony she does not accept, and who follows her to London to be chosen rather than imposed.</t>
        </is>
      </c>
      <c r="L837" s="5" t="n"/>
      <c r="M837" s="5" t="inlineStr">
        <is>
          <t>SOURCE-114</t>
        </is>
      </c>
    </row>
    <row r="838" ht="64" customHeight="1">
      <c r="A838" s="15" t="inlineStr">
        <is>
          <t>CAST-837</t>
        </is>
      </c>
      <c r="B838" s="18" t="inlineStr">
        <is>
          <t>FILM-123</t>
        </is>
      </c>
      <c r="C838" s="5" t="inlineStr">
        <is>
          <t>Namastey London</t>
        </is>
      </c>
      <c r="D838" s="17" t="n">
        <v>2007</v>
      </c>
      <c r="E838" s="5" t="inlineStr">
        <is>
          <t>Nina Wadia</t>
        </is>
      </c>
      <c r="F838" s="5" t="inlineStr">
        <is>
          <t>Bebo Malhotra</t>
        </is>
      </c>
      <c r="G838" s="5" t="inlineStr">
        <is>
          <t>Co-lead</t>
        </is>
      </c>
      <c r="H838" s="5" t="inlineStr">
        <is>
          <t>Major</t>
        </is>
      </c>
      <c r="I838" s="5" t="inlineStr">
        <is>
          <t>His wife, brought to London on a visa after four years and then kept out of his social life.</t>
        </is>
      </c>
      <c r="J838" s="5" t="inlineStr">
        <is>
          <t>The whole of the pairing in Romances, a marriage strained by his embarrassment at her.</t>
        </is>
      </c>
      <c r="K838" s="19" t="inlineStr">
        <is>
          <t>Manmohan's wife, who could not speak English and was left out of the occasions he attended, and who had their daughter educated in English schools so she would not end up as she had.</t>
        </is>
      </c>
      <c r="L838" s="5" t="n"/>
      <c r="M838" s="5" t="inlineStr">
        <is>
          <t>SOURCE-114</t>
        </is>
      </c>
    </row>
    <row r="839" ht="49" customHeight="1">
      <c r="A839" s="15" t="inlineStr">
        <is>
          <t>CAST-838</t>
        </is>
      </c>
      <c r="B839" s="18" t="inlineStr">
        <is>
          <t>FILM-123</t>
        </is>
      </c>
      <c r="C839" s="5" t="inlineStr">
        <is>
          <t>Namastey London</t>
        </is>
      </c>
      <c r="D839" s="17" t="n">
        <v>2007</v>
      </c>
      <c r="E839" s="5" t="inlineStr">
        <is>
          <t>Jawed Sheikh</t>
        </is>
      </c>
      <c r="F839" s="5" t="inlineStr">
        <is>
          <t>Parvez Khan</t>
        </is>
      </c>
      <c r="G839" s="5" t="inlineStr">
        <is>
          <t>Friend</t>
        </is>
      </c>
      <c r="H839" s="5" t="inlineStr">
        <is>
          <t>Major</t>
        </is>
      </c>
      <c r="I839" s="5" t="inlineStr">
        <is>
          <t>His best friend, in the same predicament with a son instead of a daughter.</t>
        </is>
      </c>
      <c r="J839" s="5" t="inlineStr">
        <is>
          <t>The parallel case that generalises the film's argument about immigrant parents.</t>
        </is>
      </c>
      <c r="K839" s="19" t="inlineStr">
        <is>
          <t>Manmohan's best friend, whose son Imran also has an English partner, and who likewise disapproves.</t>
        </is>
      </c>
      <c r="L839" s="5" t="n"/>
      <c r="M839" s="5" t="inlineStr">
        <is>
          <t>SOURCE-114</t>
        </is>
      </c>
    </row>
    <row r="840" ht="34" customHeight="1">
      <c r="A840" s="15" t="inlineStr">
        <is>
          <t>CAST-839</t>
        </is>
      </c>
      <c r="B840" s="18" t="inlineStr">
        <is>
          <t>FILM-123</t>
        </is>
      </c>
      <c r="C840" s="5" t="inlineStr">
        <is>
          <t>Namastey London</t>
        </is>
      </c>
      <c r="D840" s="17" t="n">
        <v>2007</v>
      </c>
      <c r="E840" s="5" t="inlineStr">
        <is>
          <t>Upen Patel</t>
        </is>
      </c>
      <c r="F840" s="5" t="inlineStr">
        <is>
          <t>Imran Khan, called Immi</t>
        </is>
      </c>
      <c r="G840" s="5" t="inlineStr">
        <is>
          <t>Supporting</t>
        </is>
      </c>
      <c r="H840" s="5" t="inlineStr">
        <is>
          <t>Medium</t>
        </is>
      </c>
      <c r="I840" s="5" t="inlineStr">
        <is>
          <t>The son of his best friend, in the parallel generational plot.</t>
        </is>
      </c>
      <c r="J840" s="5" t="inlineStr">
        <is>
          <t>The second cross-cultural romance of the film.</t>
        </is>
      </c>
      <c r="K840" s="19" t="inlineStr">
        <is>
          <t>Parvez Khan's son, in love with the English Susan against his father's wishes.</t>
        </is>
      </c>
      <c r="L840" s="5" t="n"/>
      <c r="M840" s="5" t="inlineStr">
        <is>
          <t>SOURCE-114</t>
        </is>
      </c>
    </row>
    <row r="841" ht="34" customHeight="1">
      <c r="A841" s="15" t="inlineStr">
        <is>
          <t>CAST-840</t>
        </is>
      </c>
      <c r="B841" s="18" t="inlineStr">
        <is>
          <t>FILM-123</t>
        </is>
      </c>
      <c r="C841" s="5" t="inlineStr">
        <is>
          <t>Namastey London</t>
        </is>
      </c>
      <c r="D841" s="17" t="n">
        <v>2007</v>
      </c>
      <c r="E841" s="5" t="inlineStr">
        <is>
          <t>Clive Standen</t>
        </is>
      </c>
      <c r="F841" s="5" t="inlineStr">
        <is>
          <t>Charles Brown, called Charlie</t>
        </is>
      </c>
      <c r="G841" s="5" t="inlineStr">
        <is>
          <t>Romantic rival</t>
        </is>
      </c>
      <c r="H841" s="5" t="inlineStr">
        <is>
          <t>Medium</t>
        </is>
      </c>
      <c r="I841" s="5" t="inlineStr">
        <is>
          <t>The Englishman his daughter prefers to the husband he chose.</t>
        </is>
      </c>
      <c r="J841" s="5" t="inlineStr">
        <is>
          <t>The rival claim the father's coercion produces.</t>
        </is>
      </c>
      <c r="K841" s="19" t="inlineStr">
        <is>
          <t>The Englishman Jazz is attached to, and the marriage she announces in order to refuse the one made for her in India.</t>
        </is>
      </c>
      <c r="L841" s="5" t="n"/>
      <c r="M841" s="5" t="inlineStr">
        <is>
          <t>SOURCE-114</t>
        </is>
      </c>
    </row>
    <row r="842" ht="49" customHeight="1">
      <c r="A842" s="15" t="inlineStr">
        <is>
          <t>CAST-841</t>
        </is>
      </c>
      <c r="B842" s="18" t="inlineStr">
        <is>
          <t>FILM-123</t>
        </is>
      </c>
      <c r="C842" s="5" t="inlineStr">
        <is>
          <t>Namastey London</t>
        </is>
      </c>
      <c r="D842" s="17" t="n">
        <v>2007</v>
      </c>
      <c r="E842" s="5" t="inlineStr">
        <is>
          <t>Riteish Deshmukh</t>
        </is>
      </c>
      <c r="F842" s="5" t="inlineStr">
        <is>
          <t>Bobby Bedi</t>
        </is>
      </c>
      <c r="G842" s="5" t="inlineStr">
        <is>
          <t>Cameo</t>
        </is>
      </c>
      <c r="H842" s="5" t="inlineStr">
        <is>
          <t>Minor</t>
        </is>
      </c>
      <c r="I842" s="5" t="inlineStr">
        <is>
          <t>The suitor he arranges for his daughter before the trip to India.</t>
        </is>
      </c>
      <c r="J842" s="5" t="inlineStr">
        <is>
          <t>The failed match that convinces him no Indian son-in-law can be found in London.</t>
        </is>
      </c>
      <c r="K842" s="19" t="inlineStr">
        <is>
          <t>In a special appearance as the young man Manmohan sets his daughter to meet, a date that goes so badly he rejects her.</t>
        </is>
      </c>
      <c r="L842" s="5" t="n"/>
      <c r="M842" s="5" t="inlineStr">
        <is>
          <t>SOURCE-114</t>
        </is>
      </c>
    </row>
    <row r="843" ht="34" customHeight="1">
      <c r="A843" s="15" t="inlineStr">
        <is>
          <t>CAST-842</t>
        </is>
      </c>
      <c r="B843" s="18" t="inlineStr">
        <is>
          <t>FILM-123</t>
        </is>
      </c>
      <c r="C843" s="5" t="inlineStr">
        <is>
          <t>Namastey London</t>
        </is>
      </c>
      <c r="D843" s="17" t="n">
        <v>2007</v>
      </c>
      <c r="E843" s="5" t="inlineStr">
        <is>
          <t>Tiffany Mulheron</t>
        </is>
      </c>
      <c r="F843" s="5" t="inlineStr">
        <is>
          <t>Susan</t>
        </is>
      </c>
      <c r="G843" s="5" t="inlineStr">
        <is>
          <t>Supporting</t>
        </is>
      </c>
      <c r="H843" s="5" t="inlineStr">
        <is>
          <t>Minor</t>
        </is>
      </c>
      <c r="I843" s="5" t="inlineStr">
        <is>
          <t>The English partner of his friend's son.</t>
        </is>
      </c>
      <c r="J843" s="5" t="inlineStr">
        <is>
          <t>The second romance the older generation objects to.</t>
        </is>
      </c>
      <c r="K843" s="19" t="inlineStr">
        <is>
          <t>Credited as Imran's love interest, whom his father Parvez Khan does not approve of.</t>
        </is>
      </c>
      <c r="L843" s="5" t="n"/>
      <c r="M843" s="5" t="inlineStr">
        <is>
          <t>SOURCE-114</t>
        </is>
      </c>
    </row>
    <row r="844" ht="49" customHeight="1">
      <c r="A844" s="15" t="inlineStr">
        <is>
          <t>CAST-843</t>
        </is>
      </c>
      <c r="B844" s="18" t="inlineStr">
        <is>
          <t>FILM-124</t>
        </is>
      </c>
      <c r="C844" s="5" t="inlineStr">
        <is>
          <t>Sambar Salsa</t>
        </is>
      </c>
      <c r="D844" s="17" t="n">
        <v>2007</v>
      </c>
      <c r="E844" s="5" t="inlineStr">
        <is>
          <t>Ateesh Randev</t>
        </is>
      </c>
      <c r="F844" s="5" t="inlineStr">
        <is>
          <t>Surya</t>
        </is>
      </c>
      <c r="G844" s="5" t="inlineStr">
        <is>
          <t>Co-lead</t>
        </is>
      </c>
      <c r="H844" s="5" t="inlineStr">
        <is>
          <t>Major</t>
        </is>
      </c>
      <c r="I844" s="5" t="inlineStr">
        <is>
          <t>His son, whose choice of a Spanish partner he refuses.</t>
        </is>
      </c>
      <c r="J844" s="5" t="inlineStr">
        <is>
          <t>Holds the film's romance, which Kapoor's role exists to oppose.</t>
        </is>
      </c>
      <c r="K844" s="19" t="inlineStr">
        <is>
          <t>An Indian man in love with a Spanish woman against his parents' disapproval, in a film the article summarises in a single sentence.</t>
        </is>
      </c>
      <c r="L844" s="5" t="n"/>
      <c r="M844" s="5" t="inlineStr">
        <is>
          <t>SOURCE-117</t>
        </is>
      </c>
    </row>
    <row r="845" ht="34" customHeight="1">
      <c r="A845" s="15" t="inlineStr">
        <is>
          <t>CAST-844</t>
        </is>
      </c>
      <c r="B845" s="18" t="inlineStr">
        <is>
          <t>FILM-124</t>
        </is>
      </c>
      <c r="C845" s="5" t="inlineStr">
        <is>
          <t>Sambar Salsa</t>
        </is>
      </c>
      <c r="D845" s="17" t="n">
        <v>2007</v>
      </c>
      <c r="E845" s="5" t="inlineStr">
        <is>
          <t>Roberta Caocci</t>
        </is>
      </c>
      <c r="F845" s="5" t="inlineStr">
        <is>
          <t>Sasha</t>
        </is>
      </c>
      <c r="G845" s="5" t="inlineStr">
        <is>
          <t>Co-lead</t>
        </is>
      </c>
      <c r="H845" s="5" t="inlineStr">
        <is>
          <t>Major</t>
        </is>
      </c>
      <c r="I845" s="5" t="inlineStr">
        <is>
          <t>The Spanish woman his son loves, and the object of his disapproval.</t>
        </is>
      </c>
      <c r="J845" s="5" t="inlineStr">
        <is>
          <t>The other half of the cross-cultural romance.</t>
        </is>
      </c>
      <c r="K845" s="19" t="inlineStr">
        <is>
          <t>Credited as the Spanish woman Surya falls in love with, in an English-language Indian independent production.</t>
        </is>
      </c>
      <c r="L845" s="5" t="n"/>
      <c r="M845" s="5" t="inlineStr">
        <is>
          <t>SOURCE-117</t>
        </is>
      </c>
    </row>
    <row r="846" ht="49" customHeight="1">
      <c r="A846" s="15" t="inlineStr">
        <is>
          <t>CAST-845</t>
        </is>
      </c>
      <c r="B846" s="18" t="inlineStr">
        <is>
          <t>FILM-124</t>
        </is>
      </c>
      <c r="C846" s="5" t="inlineStr">
        <is>
          <t>Sambar Salsa</t>
        </is>
      </c>
      <c r="D846" s="17" t="n">
        <v>2007</v>
      </c>
      <c r="E846" s="5" t="inlineStr">
        <is>
          <t>Preyanka</t>
        </is>
      </c>
      <c r="F846" s="5" t="inlineStr">
        <is>
          <t>Alamelu</t>
        </is>
      </c>
      <c r="G846" s="5" t="inlineStr">
        <is>
          <t>Family</t>
        </is>
      </c>
      <c r="H846" s="5" t="inlineStr">
        <is>
          <t>Major</t>
        </is>
      </c>
      <c r="I846" s="5" t="inlineStr">
        <is>
          <t>His wife, and with him the parental opposition the article notes had itself once defied its elders.</t>
        </is>
      </c>
      <c r="J846" s="5" t="inlineStr">
        <is>
          <t>The second half of the opposition, and the irony the film is built on.</t>
        </is>
      </c>
      <c r="K846" s="19" t="inlineStr">
        <is>
          <t>Credited as Om's wife, one of the pair who disapprove of their son's choice despite having married in defiance of their own elders.</t>
        </is>
      </c>
      <c r="L846" s="5" t="n"/>
      <c r="M846" s="5" t="inlineStr">
        <is>
          <t>SOURCE-117</t>
        </is>
      </c>
    </row>
    <row r="847" ht="49" customHeight="1">
      <c r="A847" s="15" t="inlineStr">
        <is>
          <t>CAST-846</t>
        </is>
      </c>
      <c r="B847" s="18" t="inlineStr">
        <is>
          <t>FILM-124</t>
        </is>
      </c>
      <c r="C847" s="5" t="inlineStr">
        <is>
          <t>Sambar Salsa</t>
        </is>
      </c>
      <c r="D847" s="17" t="n">
        <v>2007</v>
      </c>
      <c r="E847" s="5" t="inlineStr">
        <is>
          <t>Rashami Desai</t>
        </is>
      </c>
      <c r="F847" s="5" t="n"/>
      <c r="G847" s="5" t="inlineStr">
        <is>
          <t>Supporting</t>
        </is>
      </c>
      <c r="H847" s="5" t="inlineStr">
        <is>
          <t>Minor</t>
        </is>
      </c>
      <c r="I847" s="5" t="inlineStr">
        <is>
          <t>Credited without a character name in a very short cast list; the article's plot is one sentence.</t>
        </is>
      </c>
      <c r="J847" s="5" t="inlineStr">
        <is>
          <t>Undocumented.</t>
        </is>
      </c>
      <c r="K847" s="19" t="inlineStr">
        <is>
          <t>Credited in the cast with no character name, in an early screen appearance for the actress.</t>
        </is>
      </c>
      <c r="L847" s="5" t="n"/>
      <c r="M847" s="5" t="inlineStr">
        <is>
          <t>SOURCE-117</t>
        </is>
      </c>
    </row>
    <row r="848" ht="64" customHeight="1">
      <c r="A848" s="15" t="inlineStr">
        <is>
          <t>CAST-847</t>
        </is>
      </c>
      <c r="B848" s="18" t="inlineStr">
        <is>
          <t>FILM-125</t>
        </is>
      </c>
      <c r="C848" s="5" t="inlineStr">
        <is>
          <t>Om Shanti Om</t>
        </is>
      </c>
      <c r="D848" s="17" t="n">
        <v>2007</v>
      </c>
      <c r="E848" s="5" t="inlineStr">
        <is>
          <t>Shah Rukh Khan</t>
        </is>
      </c>
      <c r="F848" s="5" t="inlineStr">
        <is>
          <t>Om Prakash Makhija / Om Kapoor</t>
        </is>
      </c>
      <c r="G848" s="5" t="inlineStr">
        <is>
          <t>Co-lead</t>
        </is>
      </c>
      <c r="H848" s="5" t="inlineStr">
        <is>
          <t>Major</t>
        </is>
      </c>
      <c r="I848" s="5" t="inlineStr">
        <is>
          <t>The film's protagonist; Kapoor appears as himself in its industry sequences.</t>
        </is>
      </c>
      <c r="J848" s="5" t="inlineStr">
        <is>
          <t>Holds the film's romance across two lifetimes.</t>
        </is>
      </c>
      <c r="K848" s="19" t="inlineStr">
        <is>
          <t>A 1977 junior artist who worships the star Shantipriya, rescues her from a fire, and is reborn as the pampered star Om Kapoor, who stages a film to force a confession out of her killer.</t>
        </is>
      </c>
      <c r="L848" s="5" t="n"/>
      <c r="M848" s="5" t="inlineStr">
        <is>
          <t>SOURCE-116</t>
        </is>
      </c>
    </row>
    <row r="849" ht="49" customHeight="1">
      <c r="A849" s="15" t="inlineStr">
        <is>
          <t>CAST-848</t>
        </is>
      </c>
      <c r="B849" s="18" t="inlineStr">
        <is>
          <t>FILM-125</t>
        </is>
      </c>
      <c r="C849" s="5" t="inlineStr">
        <is>
          <t>Om Shanti Om</t>
        </is>
      </c>
      <c r="D849" s="17" t="n">
        <v>2007</v>
      </c>
      <c r="E849" s="5" t="inlineStr">
        <is>
          <t>Deepika Padukone</t>
        </is>
      </c>
      <c r="F849" s="5" t="inlineStr">
        <is>
          <t>Shanti Priya / Sandhya Bansal</t>
        </is>
      </c>
      <c r="G849" s="5" t="inlineStr">
        <is>
          <t>Co-lead</t>
        </is>
      </c>
      <c r="H849" s="5" t="inlineStr">
        <is>
          <t>Major</t>
        </is>
      </c>
      <c r="I849" s="5" t="inlineStr">
        <is>
          <t>The star of the 1970s half of the film, in the industry Kapoor appears in as himself.</t>
        </is>
      </c>
      <c r="J849" s="5" t="inlineStr">
        <is>
          <t>The object of the romance, and the murder the second half avenges.</t>
        </is>
      </c>
      <c r="K849" s="19" t="inlineStr">
        <is>
          <t>A glamorous superstar secretly married to the producer who kills her, and the look-alike newcomer Sandhya recruited decades later to impersonate her ghost.</t>
        </is>
      </c>
      <c r="L849" s="5" t="inlineStr">
        <is>
          <t>Deepika Padukone's Hindi-film debut, which won her the Filmfare Award for Best Female Debut.</t>
        </is>
      </c>
      <c r="M849" s="5" t="inlineStr">
        <is>
          <t>SOURCE-116</t>
        </is>
      </c>
    </row>
    <row r="850" ht="49" customHeight="1">
      <c r="A850" s="15" t="inlineStr">
        <is>
          <t>CAST-849</t>
        </is>
      </c>
      <c r="B850" s="18" t="inlineStr">
        <is>
          <t>FILM-125</t>
        </is>
      </c>
      <c r="C850" s="5" t="inlineStr">
        <is>
          <t>Om Shanti Om</t>
        </is>
      </c>
      <c r="D850" s="17" t="n">
        <v>2007</v>
      </c>
      <c r="E850" s="5" t="inlineStr">
        <is>
          <t>Arjun Rampal</t>
        </is>
      </c>
      <c r="F850" s="5" t="inlineStr">
        <is>
          <t>Mukesh Mehra</t>
        </is>
      </c>
      <c r="G850" s="5" t="inlineStr">
        <is>
          <t>Antagonist</t>
        </is>
      </c>
      <c r="H850" s="5" t="inlineStr">
        <is>
          <t>Major</t>
        </is>
      </c>
      <c r="I850" s="5" t="inlineStr">
        <is>
          <t>The producer at the centre of the industry the film satirises and Kapoor appears in.</t>
        </is>
      </c>
      <c r="J850" s="5" t="inlineStr">
        <is>
          <t>The husband who destroys the romance by murdering the woman in it.</t>
        </is>
      </c>
      <c r="K850" s="19" t="inlineStr">
        <is>
          <t>An egotistical producer who launched Shanti's career, married her secretly, and killed her in a studio fire to protect his own position.</t>
        </is>
      </c>
      <c r="L850" s="5" t="n"/>
      <c r="M850" s="5" t="inlineStr">
        <is>
          <t>SOURCE-116</t>
        </is>
      </c>
    </row>
    <row r="851" ht="49" customHeight="1">
      <c r="A851" s="15" t="inlineStr">
        <is>
          <t>CAST-850</t>
        </is>
      </c>
      <c r="B851" s="18" t="inlineStr">
        <is>
          <t>FILM-125</t>
        </is>
      </c>
      <c r="C851" s="5" t="inlineStr">
        <is>
          <t>Om Shanti Om</t>
        </is>
      </c>
      <c r="D851" s="17" t="n">
        <v>2007</v>
      </c>
      <c r="E851" s="5" t="inlineStr">
        <is>
          <t>Shreyas Talpade</t>
        </is>
      </c>
      <c r="F851" s="5" t="inlineStr">
        <is>
          <t>Pappu Master</t>
        </is>
      </c>
      <c r="G851" s="5" t="inlineStr">
        <is>
          <t>Friend</t>
        </is>
      </c>
      <c r="H851" s="5" t="inlineStr">
        <is>
          <t>Major</t>
        </is>
      </c>
      <c r="I851" s="5" t="inlineStr">
        <is>
          <t>The protagonist's friend across both lifetimes.</t>
        </is>
      </c>
      <c r="J851" s="5" t="inlineStr">
        <is>
          <t>Helps arrange the courtship in the first half and the deception in the second.</t>
        </is>
      </c>
      <c r="K851" s="19" t="inlineStr">
        <is>
          <t>Omi's best friend, who sneaks into premieres with him and helps set up both the studio date and the revenge staged decades later.</t>
        </is>
      </c>
      <c r="L851" s="5" t="n"/>
      <c r="M851" s="5" t="inlineStr">
        <is>
          <t>SOURCE-116</t>
        </is>
      </c>
    </row>
    <row r="852" ht="34" customHeight="1">
      <c r="A852" s="15" t="inlineStr">
        <is>
          <t>CAST-851</t>
        </is>
      </c>
      <c r="B852" s="18" t="inlineStr">
        <is>
          <t>FILM-125</t>
        </is>
      </c>
      <c r="C852" s="5" t="inlineStr">
        <is>
          <t>Om Shanti Om</t>
        </is>
      </c>
      <c r="D852" s="17" t="n">
        <v>2007</v>
      </c>
      <c r="E852" s="5" t="inlineStr">
        <is>
          <t>Kirron Kher</t>
        </is>
      </c>
      <c r="F852" s="5" t="inlineStr">
        <is>
          <t>Bela Makhija</t>
        </is>
      </c>
      <c r="G852" s="5" t="inlineStr">
        <is>
          <t>Family</t>
        </is>
      </c>
      <c r="H852" s="5" t="inlineStr">
        <is>
          <t>Major</t>
        </is>
      </c>
      <c r="I852" s="5" t="inlineStr">
        <is>
          <t>The protagonist's widowed mother in the 1977 story.</t>
        </is>
      </c>
      <c r="J852" s="5" t="inlineStr">
        <is>
          <t>Family background to the first-life romance.</t>
        </is>
      </c>
      <c r="K852" s="19" t="inlineStr">
        <is>
          <t>Omi's widowed mother, with whom he shares a chawl room while dreaming of stardom.</t>
        </is>
      </c>
      <c r="L852" s="5" t="n"/>
      <c r="M852" s="5" t="inlineStr">
        <is>
          <t>SOURCE-116</t>
        </is>
      </c>
    </row>
    <row r="853" ht="49" customHeight="1">
      <c r="A853" s="15" t="inlineStr">
        <is>
          <t>CAST-852</t>
        </is>
      </c>
      <c r="B853" s="18" t="inlineStr">
        <is>
          <t>FILM-125</t>
        </is>
      </c>
      <c r="C853" s="5" t="inlineStr">
        <is>
          <t>Om Shanti Om</t>
        </is>
      </c>
      <c r="D853" s="17" t="n">
        <v>2007</v>
      </c>
      <c r="E853" s="5" t="inlineStr">
        <is>
          <t>Javed Sheikh</t>
        </is>
      </c>
      <c r="F853" s="5" t="inlineStr">
        <is>
          <t>Rajesh Kapoor</t>
        </is>
      </c>
      <c r="G853" s="5" t="inlineStr">
        <is>
          <t>Family</t>
        </is>
      </c>
      <c r="H853" s="5" t="inlineStr">
        <is>
          <t>Medium</t>
        </is>
      </c>
      <c r="I853" s="5" t="inlineStr">
        <is>
          <t>The star father of the reborn protagonist, in the film's industry-dynasty satire.</t>
        </is>
      </c>
      <c r="J853" s="5" t="inlineStr">
        <is>
          <t>No direct part in the romance.</t>
        </is>
      </c>
      <c r="K853" s="19" t="inlineStr">
        <is>
          <t>Credited as Om Kapoor's father, with Asavari Joshi as his mother, the film-family the reincarnated junior artist is born into.</t>
        </is>
      </c>
      <c r="L853" s="5" t="n"/>
      <c r="M853" s="5" t="inlineStr">
        <is>
          <t>SOURCE-116</t>
        </is>
      </c>
    </row>
    <row r="854" ht="34" customHeight="1">
      <c r="A854" s="15" t="inlineStr">
        <is>
          <t>CAST-853</t>
        </is>
      </c>
      <c r="B854" s="18" t="inlineStr">
        <is>
          <t>FILM-125</t>
        </is>
      </c>
      <c r="C854" s="5" t="inlineStr">
        <is>
          <t>Om Shanti Om</t>
        </is>
      </c>
      <c r="D854" s="17" t="n">
        <v>2007</v>
      </c>
      <c r="E854" s="5" t="inlineStr">
        <is>
          <t>Yuvika Chaudhary</t>
        </is>
      </c>
      <c r="F854" s="5" t="inlineStr">
        <is>
          <t>Dolly Arora</t>
        </is>
      </c>
      <c r="G854" s="5" t="inlineStr">
        <is>
          <t>Supporting</t>
        </is>
      </c>
      <c r="H854" s="5" t="inlineStr">
        <is>
          <t>Minor</t>
        </is>
      </c>
      <c r="I854" s="5" t="inlineStr">
        <is>
          <t>A young actress in the industry Kapoor appears in as himself.</t>
        </is>
      </c>
      <c r="J854" s="5" t="inlineStr">
        <is>
          <t>No part in the central romance.</t>
        </is>
      </c>
      <c r="K854" s="19" t="inlineStr">
        <is>
          <t>Credited as Om Kapoor's heroine in the film-within-the-film, with Bindu as her mother.</t>
        </is>
      </c>
      <c r="L854" s="5" t="n"/>
      <c r="M854" s="5" t="inlineStr">
        <is>
          <t>SOURCE-116</t>
        </is>
      </c>
    </row>
    <row r="855" ht="49" customHeight="1">
      <c r="A855" s="15" t="inlineStr">
        <is>
          <t>CAST-854</t>
        </is>
      </c>
      <c r="B855" s="18" t="inlineStr">
        <is>
          <t>FILM-125</t>
        </is>
      </c>
      <c r="C855" s="5" t="inlineStr">
        <is>
          <t>Om Shanti Om</t>
        </is>
      </c>
      <c r="D855" s="17" t="n">
        <v>2007</v>
      </c>
      <c r="E855" s="5" t="inlineStr">
        <is>
          <t>Farah Khan</t>
        </is>
      </c>
      <c r="F855" s="5" t="inlineStr">
        <is>
          <t>Herself</t>
        </is>
      </c>
      <c r="G855" s="5" t="inlineStr">
        <is>
          <t>Self appearance</t>
        </is>
      </c>
      <c r="H855" s="5" t="inlineStr">
        <is>
          <t>Minor</t>
        </is>
      </c>
      <c r="I855" s="5" t="inlineStr">
        <is>
          <t>The film's own director, appearing in the same self-playing register as Kapoor.</t>
        </is>
      </c>
      <c r="J855" s="5" t="inlineStr">
        <is>
          <t>No part in the romance.</t>
        </is>
      </c>
      <c r="K855" s="19" t="inlineStr">
        <is>
          <t>Credited as the woman who makes fun of Omi and again in the end credits, by the film's director, in a cast crowded with industry figures playing themselves.</t>
        </is>
      </c>
      <c r="L855" s="5" t="n"/>
      <c r="M855" s="5" t="inlineStr">
        <is>
          <t>SOURCE-116</t>
        </is>
      </c>
    </row>
    <row r="856" ht="49" customHeight="1">
      <c r="A856" s="15" t="inlineStr">
        <is>
          <t>CAST-855</t>
        </is>
      </c>
      <c r="B856" s="18" t="inlineStr">
        <is>
          <t>FILM-126</t>
        </is>
      </c>
      <c r="C856" s="5" t="inlineStr">
        <is>
          <t>Halla Bol</t>
        </is>
      </c>
      <c r="D856" s="17" t="n">
        <v>2008</v>
      </c>
      <c r="E856" s="5" t="inlineStr">
        <is>
          <t>Ajay Devgn</t>
        </is>
      </c>
      <c r="F856" s="5" t="inlineStr">
        <is>
          <t>Ashfaaq Khan / Sameer</t>
        </is>
      </c>
      <c r="G856" s="5" t="inlineStr">
        <is>
          <t>Co-lead</t>
        </is>
      </c>
      <c r="H856" s="5" t="inlineStr">
        <is>
          <t>Major</t>
        </is>
      </c>
      <c r="I856" s="5" t="inlineStr">
        <is>
          <t>The film's protagonist, in the industry Kapoor appears in as himself.</t>
        </is>
      </c>
      <c r="J856" s="5" t="inlineStr">
        <is>
          <t>Holds the film's marriage, which his corruption destroys.</t>
        </is>
      </c>
      <c r="K856" s="19" t="inlineStr">
        <is>
          <t>A small-town boy from a street-theatre group who becomes the superstar Sameer Khan, loses his own identity in the roles he plays, and is alienated from everyone including his wife.</t>
        </is>
      </c>
      <c r="L856" s="5" t="n"/>
      <c r="M856" s="5" t="inlineStr">
        <is>
          <t>SOURCE-119</t>
        </is>
      </c>
    </row>
    <row r="857" ht="34" customHeight="1">
      <c r="A857" s="15" t="inlineStr">
        <is>
          <t>CAST-856</t>
        </is>
      </c>
      <c r="B857" s="18" t="inlineStr">
        <is>
          <t>FILM-126</t>
        </is>
      </c>
      <c r="C857" s="5" t="inlineStr">
        <is>
          <t>Halla Bol</t>
        </is>
      </c>
      <c r="D857" s="17" t="n">
        <v>2008</v>
      </c>
      <c r="E857" s="5" t="inlineStr">
        <is>
          <t>Vidya Balan</t>
        </is>
      </c>
      <c r="F857" s="5" t="inlineStr">
        <is>
          <t>Sneha Khan</t>
        </is>
      </c>
      <c r="G857" s="5" t="inlineStr">
        <is>
          <t>Co-lead</t>
        </is>
      </c>
      <c r="H857" s="5" t="inlineStr">
        <is>
          <t>Major</t>
        </is>
      </c>
      <c r="I857" s="5" t="inlineStr">
        <is>
          <t>The protagonist's wife, outside Kapoor's self-appearance.</t>
        </is>
      </c>
      <c r="J857" s="5" t="inlineStr">
        <is>
          <t>The marriage the film measures his corruption by.</t>
        </is>
      </c>
      <c r="K857" s="19" t="inlineStr">
        <is>
          <t>Credited as Ashfaaq's wife, among the loved ones his rise and his corruption alienate him from.</t>
        </is>
      </c>
      <c r="L857" s="5" t="n"/>
      <c r="M857" s="5" t="inlineStr">
        <is>
          <t>SOURCE-119</t>
        </is>
      </c>
    </row>
    <row r="858" ht="49" customHeight="1">
      <c r="A858" s="15" t="inlineStr">
        <is>
          <t>CAST-857</t>
        </is>
      </c>
      <c r="B858" s="18" t="inlineStr">
        <is>
          <t>FILM-126</t>
        </is>
      </c>
      <c r="C858" s="5" t="inlineStr">
        <is>
          <t>Halla Bol</t>
        </is>
      </c>
      <c r="D858" s="17" t="n">
        <v>2008</v>
      </c>
      <c r="E858" s="5" t="inlineStr">
        <is>
          <t>Pankaj Kapur</t>
        </is>
      </c>
      <c r="F858" s="5" t="inlineStr">
        <is>
          <t>Sidhu</t>
        </is>
      </c>
      <c r="G858" s="5" t="inlineStr">
        <is>
          <t>Mentor</t>
        </is>
      </c>
      <c r="H858" s="5" t="inlineStr">
        <is>
          <t>Major</t>
        </is>
      </c>
      <c r="I858" s="5" t="inlineStr">
        <is>
          <t>The street-theatre leader who formed the protagonist.</t>
        </is>
      </c>
      <c r="J858" s="5" t="inlineStr">
        <is>
          <t>No part in the marriage.</t>
        </is>
      </c>
      <c r="K858" s="19" t="inlineStr">
        <is>
          <t>A reformed dacoit who runs a street-theatre group as a means of awakening the masses, and the conscience the star abandons.</t>
        </is>
      </c>
      <c r="L858" s="5" t="n"/>
      <c r="M858" s="5" t="inlineStr">
        <is>
          <t>SOURCE-119</t>
        </is>
      </c>
    </row>
    <row r="859" ht="34" customHeight="1">
      <c r="A859" s="15" t="inlineStr">
        <is>
          <t>CAST-858</t>
        </is>
      </c>
      <c r="B859" s="18" t="inlineStr">
        <is>
          <t>FILM-126</t>
        </is>
      </c>
      <c r="C859" s="5" t="inlineStr">
        <is>
          <t>Halla Bol</t>
        </is>
      </c>
      <c r="D859" s="17" t="n">
        <v>2008</v>
      </c>
      <c r="E859" s="5" t="inlineStr">
        <is>
          <t>Darshan Jariwala</t>
        </is>
      </c>
      <c r="F859" s="5" t="inlineStr">
        <is>
          <t>Ganpatrao Gaekwad</t>
        </is>
      </c>
      <c r="G859" s="5" t="inlineStr">
        <is>
          <t>Antagonist</t>
        </is>
      </c>
      <c r="H859" s="5" t="inlineStr">
        <is>
          <t>Major</t>
        </is>
      </c>
      <c r="I859" s="5" t="inlineStr">
        <is>
          <t>The film's political antagonist.</t>
        </is>
      </c>
      <c r="J859" s="5" t="inlineStr">
        <is>
          <t>No part in the marriage.</t>
        </is>
      </c>
      <c r="K859" s="19" t="inlineStr">
        <is>
          <t>Credited as Ganpatrao Gaekwad, the power the star finally has to speak against.</t>
        </is>
      </c>
      <c r="L859" s="5" t="n"/>
      <c r="M859" s="5" t="inlineStr">
        <is>
          <t>SOURCE-119</t>
        </is>
      </c>
    </row>
    <row r="860" ht="34" customHeight="1">
      <c r="A860" s="15" t="inlineStr">
        <is>
          <t>CAST-859</t>
        </is>
      </c>
      <c r="B860" s="18" t="inlineStr">
        <is>
          <t>FILM-126</t>
        </is>
      </c>
      <c r="C860" s="5" t="inlineStr">
        <is>
          <t>Halla Bol</t>
        </is>
      </c>
      <c r="D860" s="17" t="n">
        <v>2008</v>
      </c>
      <c r="E860" s="5" t="inlineStr">
        <is>
          <t>Anjan Srivastav</t>
        </is>
      </c>
      <c r="F860" s="5" t="inlineStr">
        <is>
          <t>Amanullah Khan</t>
        </is>
      </c>
      <c r="G860" s="5" t="inlineStr">
        <is>
          <t>Family</t>
        </is>
      </c>
      <c r="H860" s="5" t="inlineStr">
        <is>
          <t>Medium</t>
        </is>
      </c>
      <c r="I860" s="5" t="inlineStr">
        <is>
          <t>The protagonist's father, in the small-town family he leaves.</t>
        </is>
      </c>
      <c r="J860" s="5" t="inlineStr">
        <is>
          <t>No part in the marriage.</t>
        </is>
      </c>
      <c r="K860" s="19" t="inlineStr">
        <is>
          <t>Credited as Amanullah Khan, with Sulbha Arya as Nazma Khan, the parents of the boy who becomes a star.</t>
        </is>
      </c>
      <c r="L860" s="5" t="n"/>
      <c r="M860" s="5" t="inlineStr">
        <is>
          <t>SOURCE-119</t>
        </is>
      </c>
    </row>
    <row r="861" ht="34" customHeight="1">
      <c r="A861" s="15" t="inlineStr">
        <is>
          <t>CAST-860</t>
        </is>
      </c>
      <c r="B861" s="18" t="inlineStr">
        <is>
          <t>FILM-126</t>
        </is>
      </c>
      <c r="C861" s="5" t="inlineStr">
        <is>
          <t>Halla Bol</t>
        </is>
      </c>
      <c r="D861" s="17" t="n">
        <v>2008</v>
      </c>
      <c r="E861" s="5" t="inlineStr">
        <is>
          <t>Jackie Shroff</t>
        </is>
      </c>
      <c r="F861" s="5" t="inlineStr">
        <is>
          <t>Himself</t>
        </is>
      </c>
      <c r="G861" s="5" t="inlineStr">
        <is>
          <t>Self appearance</t>
        </is>
      </c>
      <c r="H861" s="5" t="inlineStr">
        <is>
          <t>Minor</t>
        </is>
      </c>
      <c r="I861" s="5" t="inlineStr">
        <is>
          <t>A film-industry figure appearing under his own name, as Kapoor does.</t>
        </is>
      </c>
      <c r="J861" s="5" t="inlineStr">
        <is>
          <t>No part in the story.</t>
        </is>
      </c>
      <c r="K861" s="19" t="inlineStr">
        <is>
          <t>Credited as himself, one of several industry figures who appear under their own names in a film about the industry.</t>
        </is>
      </c>
      <c r="L861" s="5" t="n"/>
      <c r="M861" s="5" t="inlineStr">
        <is>
          <t>SOURCE-119</t>
        </is>
      </c>
    </row>
    <row r="862" ht="34" customHeight="1">
      <c r="A862" s="15" t="inlineStr">
        <is>
          <t>CAST-861</t>
        </is>
      </c>
      <c r="B862" s="18" t="inlineStr">
        <is>
          <t>FILM-126</t>
        </is>
      </c>
      <c r="C862" s="5" t="inlineStr">
        <is>
          <t>Halla Bol</t>
        </is>
      </c>
      <c r="D862" s="17" t="n">
        <v>2008</v>
      </c>
      <c r="E862" s="5" t="inlineStr">
        <is>
          <t>Tusshar Kapoor</t>
        </is>
      </c>
      <c r="F862" s="5" t="inlineStr">
        <is>
          <t>Himself</t>
        </is>
      </c>
      <c r="G862" s="5" t="inlineStr">
        <is>
          <t>Self appearance</t>
        </is>
      </c>
      <c r="H862" s="5" t="inlineStr">
        <is>
          <t>Minor</t>
        </is>
      </c>
      <c r="I862" s="5" t="inlineStr">
        <is>
          <t>Another self-appearance in the same register as Kapoor's.</t>
        </is>
      </c>
      <c r="J862" s="5" t="inlineStr">
        <is>
          <t>No part in the story.</t>
        </is>
      </c>
      <c r="K862" s="19" t="inlineStr">
        <is>
          <t>Credited as himself, with Sana Khan, Prabhu Chawla, Lekh Tandon and Ruby Bhatia in the same register.</t>
        </is>
      </c>
      <c r="L862" s="5" t="n"/>
      <c r="M862" s="5" t="inlineStr">
        <is>
          <t>SOURCE-119</t>
        </is>
      </c>
    </row>
    <row r="863" ht="49" customHeight="1">
      <c r="A863" s="15" t="inlineStr">
        <is>
          <t>CAST-862</t>
        </is>
      </c>
      <c r="B863" s="18" t="inlineStr">
        <is>
          <t>FILM-127</t>
        </is>
      </c>
      <c r="C863" s="5" t="inlineStr">
        <is>
          <t>Thoda Pyaar Thoda Magic</t>
        </is>
      </c>
      <c r="D863" s="17" t="n">
        <v>2008</v>
      </c>
      <c r="E863" s="5" t="inlineStr">
        <is>
          <t>Saif Ali Khan</t>
        </is>
      </c>
      <c r="F863" s="5" t="inlineStr">
        <is>
          <t>Ranbir Talwar</t>
        </is>
      </c>
      <c r="G863" s="5" t="inlineStr">
        <is>
          <t>Co-lead</t>
        </is>
      </c>
      <c r="H863" s="5" t="inlineStr">
        <is>
          <t>Major</t>
        </is>
      </c>
      <c r="I863" s="5" t="inlineStr">
        <is>
          <t>The man whose household Kapoor's God sends the angel into.</t>
        </is>
      </c>
      <c r="J863" s="5" t="inlineStr">
        <is>
          <t>Holds the film's romance, with the angel.</t>
        </is>
      </c>
      <c r="K863" s="19" t="inlineStr">
        <is>
          <t>A wealthy, emotionally distant industrialist who kills a couple in a car accident and is sentenced to raise their four orphaned children until the youngest turns eighteen.</t>
        </is>
      </c>
      <c r="L863" s="5" t="n"/>
      <c r="M863" s="5" t="inlineStr">
        <is>
          <t>SOURCE-118</t>
        </is>
      </c>
    </row>
    <row r="864" ht="64" customHeight="1">
      <c r="A864" s="15" t="inlineStr">
        <is>
          <t>CAST-863</t>
        </is>
      </c>
      <c r="B864" s="18" t="inlineStr">
        <is>
          <t>FILM-127</t>
        </is>
      </c>
      <c r="C864" s="5" t="inlineStr">
        <is>
          <t>Thoda Pyaar Thoda Magic</t>
        </is>
      </c>
      <c r="D864" s="17" t="n">
        <v>2008</v>
      </c>
      <c r="E864" s="5" t="inlineStr">
        <is>
          <t>Rani Mukerji</t>
        </is>
      </c>
      <c r="F864" s="5" t="inlineStr">
        <is>
          <t>Geeta</t>
        </is>
      </c>
      <c r="G864" s="5" t="inlineStr">
        <is>
          <t>Co-lead</t>
        </is>
      </c>
      <c r="H864" s="5" t="inlineStr">
        <is>
          <t>Major</t>
        </is>
      </c>
      <c r="I864" s="5" t="inlineStr">
        <is>
          <t>The angel Kapoor's God sends down, and whom he finally makes human.</t>
        </is>
      </c>
      <c r="J864" s="5" t="inlineStr">
        <is>
          <t>The whole of the film's romance, and the wish God grants at the close.</t>
        </is>
      </c>
      <c r="K864" s="19" t="inlineStr">
        <is>
          <t>A playful, free-spirited angel sent to help four praying children, who disguises herself as a governess, uses her powers on earth despite the warning, and asks at the end to be made human.</t>
        </is>
      </c>
      <c r="L864" s="5" t="n"/>
      <c r="M864" s="5" t="inlineStr">
        <is>
          <t>SOURCE-118</t>
        </is>
      </c>
    </row>
    <row r="865" ht="49" customHeight="1">
      <c r="A865" s="15" t="inlineStr">
        <is>
          <t>CAST-864</t>
        </is>
      </c>
      <c r="B865" s="18" t="inlineStr">
        <is>
          <t>FILM-127</t>
        </is>
      </c>
      <c r="C865" s="5" t="inlineStr">
        <is>
          <t>Thoda Pyaar Thoda Magic</t>
        </is>
      </c>
      <c r="D865" s="17" t="n">
        <v>2008</v>
      </c>
      <c r="E865" s="5" t="inlineStr">
        <is>
          <t>Akshat Chopra</t>
        </is>
      </c>
      <c r="F865" s="5" t="inlineStr">
        <is>
          <t>Vashisht Walia</t>
        </is>
      </c>
      <c r="G865" s="5" t="inlineStr">
        <is>
          <t>Family</t>
        </is>
      </c>
      <c r="H865" s="5" t="inlineStr">
        <is>
          <t>Major</t>
        </is>
      </c>
      <c r="I865" s="5" t="inlineStr">
        <is>
          <t>The eldest of the four children whose prayer Kapoor's God answers.</t>
        </is>
      </c>
      <c r="J865" s="5" t="inlineStr">
        <is>
          <t>The family the romance is built around.</t>
        </is>
      </c>
      <c r="K865" s="19" t="inlineStr">
        <is>
          <t>The eldest of the four orphaned Walia children, with Iqbal, Avantika and Aditi, who resent their new guardian and pray for help.</t>
        </is>
      </c>
      <c r="L865" s="5" t="n"/>
      <c r="M865" s="5" t="inlineStr">
        <is>
          <t>SOURCE-118</t>
        </is>
      </c>
    </row>
    <row r="866" ht="34" customHeight="1">
      <c r="A866" s="15" t="inlineStr">
        <is>
          <t>CAST-865</t>
        </is>
      </c>
      <c r="B866" s="18" t="inlineStr">
        <is>
          <t>FILM-127</t>
        </is>
      </c>
      <c r="C866" s="5" t="inlineStr">
        <is>
          <t>Thoda Pyaar Thoda Magic</t>
        </is>
      </c>
      <c r="D866" s="17" t="n">
        <v>2008</v>
      </c>
      <c r="E866" s="5" t="inlineStr">
        <is>
          <t>Shriya Sharma</t>
        </is>
      </c>
      <c r="F866" s="5" t="inlineStr">
        <is>
          <t>Aditi Walia</t>
        </is>
      </c>
      <c r="G866" s="5" t="inlineStr">
        <is>
          <t>Family</t>
        </is>
      </c>
      <c r="H866" s="5" t="inlineStr">
        <is>
          <t>Medium</t>
        </is>
      </c>
      <c r="I866" s="5" t="inlineStr">
        <is>
          <t>One of the four orphans in the household.</t>
        </is>
      </c>
      <c r="J866" s="5" t="inlineStr">
        <is>
          <t>Part of the family the angel is sent to.</t>
        </is>
      </c>
      <c r="K866" s="19" t="inlineStr">
        <is>
          <t>Credited as the youngest of the four Walia children, whose eighteenth birthday is the term of the court's sentence.</t>
        </is>
      </c>
      <c r="L866" s="5" t="n"/>
      <c r="M866" s="5" t="inlineStr">
        <is>
          <t>SOURCE-118</t>
        </is>
      </c>
    </row>
    <row r="867" ht="49" customHeight="1">
      <c r="A867" s="15" t="inlineStr">
        <is>
          <t>CAST-866</t>
        </is>
      </c>
      <c r="B867" s="18" t="inlineStr">
        <is>
          <t>FILM-127</t>
        </is>
      </c>
      <c r="C867" s="5" t="inlineStr">
        <is>
          <t>Thoda Pyaar Thoda Magic</t>
        </is>
      </c>
      <c r="D867" s="17" t="n">
        <v>2008</v>
      </c>
      <c r="E867" s="5" t="inlineStr">
        <is>
          <t>Sharat Saxena</t>
        </is>
      </c>
      <c r="F867" s="5" t="inlineStr">
        <is>
          <t>Judge Jaswant Rai</t>
        </is>
      </c>
      <c r="G867" s="5" t="inlineStr">
        <is>
          <t>Authority figure</t>
        </is>
      </c>
      <c r="H867" s="5" t="inlineStr">
        <is>
          <t>Major</t>
        </is>
      </c>
      <c r="I867" s="5" t="inlineStr">
        <is>
          <t>The judge whose sentence creates the situation Kapoor's God intervenes in.</t>
        </is>
      </c>
      <c r="J867" s="5" t="inlineStr">
        <is>
          <t>The condition under which the household, and so the romance, exists.</t>
        </is>
      </c>
      <c r="K867" s="19" t="inlineStr">
        <is>
          <t>The judge who sentences Ranbir to raise the orphaned children himself, forbidding boarding school or other care on pain of twenty years without parole.</t>
        </is>
      </c>
      <c r="L867" s="5" t="n"/>
      <c r="M867" s="5" t="inlineStr">
        <is>
          <t>SOURCE-118</t>
        </is>
      </c>
    </row>
    <row r="868" ht="34" customHeight="1">
      <c r="A868" s="15" t="inlineStr">
        <is>
          <t>CAST-867</t>
        </is>
      </c>
      <c r="B868" s="18" t="inlineStr">
        <is>
          <t>FILM-127</t>
        </is>
      </c>
      <c r="C868" s="5" t="inlineStr">
        <is>
          <t>Thoda Pyaar Thoda Magic</t>
        </is>
      </c>
      <c r="D868" s="17" t="n">
        <v>2008</v>
      </c>
      <c r="E868" s="5" t="inlineStr">
        <is>
          <t>Ameesha Patel</t>
        </is>
      </c>
      <c r="F868" s="5" t="inlineStr">
        <is>
          <t>Malaika</t>
        </is>
      </c>
      <c r="G868" s="5" t="inlineStr">
        <is>
          <t>Supporting</t>
        </is>
      </c>
      <c r="H868" s="5" t="inlineStr">
        <is>
          <t>Medium</t>
        </is>
      </c>
      <c r="I868" s="5" t="inlineStr">
        <is>
          <t>A credited figure in the protagonist's world before the angel arrives.</t>
        </is>
      </c>
      <c r="J868" s="5" t="inlineStr">
        <is>
          <t>The claim the angel displaces.</t>
        </is>
      </c>
      <c r="K868" s="19" t="inlineStr">
        <is>
          <t>Credited as Malaika, in the industrialist's life as the film opens.</t>
        </is>
      </c>
      <c r="L868" s="5" t="n"/>
      <c r="M868" s="5" t="inlineStr">
        <is>
          <t>SOURCE-118</t>
        </is>
      </c>
    </row>
    <row r="869" ht="64" customHeight="1">
      <c r="A869" s="15" t="inlineStr">
        <is>
          <t>CAST-868</t>
        </is>
      </c>
      <c r="B869" s="18" t="inlineStr">
        <is>
          <t>FILM-128</t>
        </is>
      </c>
      <c r="C869" s="5" t="inlineStr">
        <is>
          <t>Luck by Chance</t>
        </is>
      </c>
      <c r="D869" s="17" t="n">
        <v>2009</v>
      </c>
      <c r="E869" s="5" t="inlineStr">
        <is>
          <t>Farhan Akhtar</t>
        </is>
      </c>
      <c r="F869" s="5" t="inlineStr">
        <is>
          <t>Vikram Jaisingh</t>
        </is>
      </c>
      <c r="G869" s="5" t="inlineStr">
        <is>
          <t>Co-lead</t>
        </is>
      </c>
      <c r="H869" s="5" t="inlineStr">
        <is>
          <t>Major</t>
        </is>
      </c>
      <c r="I869" s="5" t="inlineStr">
        <is>
          <t>The unknown Kapoor's producer casts as his film's male lead, and who climbs past everyone who helped him.</t>
        </is>
      </c>
      <c r="J869" s="5" t="inlineStr">
        <is>
          <t>Holds the film's romance, with Sona.</t>
        </is>
      </c>
      <c r="K869" s="19" t="inlineStr">
        <is>
          <t>An aspiring actor whose portfolio reaches Rolly's studio by accident, who wins the lead in his film, charms the female lead and her mother at the outdoor shoot, and leaves his girlfriend behind as he rises.</t>
        </is>
      </c>
      <c r="L869" s="5" t="inlineStr">
        <is>
          <t>Farhan Akhtar's acting debut, in a film he had previously only directed and written.</t>
        </is>
      </c>
      <c r="M869" s="5" t="inlineStr">
        <is>
          <t>SOURCE-120</t>
        </is>
      </c>
    </row>
    <row r="870" ht="49" customHeight="1">
      <c r="A870" s="15" t="inlineStr">
        <is>
          <t>CAST-869</t>
        </is>
      </c>
      <c r="B870" s="18" t="inlineStr">
        <is>
          <t>FILM-128</t>
        </is>
      </c>
      <c r="C870" s="5" t="inlineStr">
        <is>
          <t>Luck by Chance</t>
        </is>
      </c>
      <c r="D870" s="17" t="n">
        <v>2009</v>
      </c>
      <c r="E870" s="5" t="inlineStr">
        <is>
          <t>Konkona Sen Sharma</t>
        </is>
      </c>
      <c r="F870" s="5" t="inlineStr">
        <is>
          <t>Sona Mishra</t>
        </is>
      </c>
      <c r="G870" s="5" t="inlineStr">
        <is>
          <t>Co-lead</t>
        </is>
      </c>
      <c r="H870" s="5" t="inlineStr">
        <is>
          <t>Major</t>
        </is>
      </c>
      <c r="I870" s="5" t="inlineStr">
        <is>
          <t>A struggling actress in the industry Kapoor's producer presides over.</t>
        </is>
      </c>
      <c r="J870" s="5" t="inlineStr">
        <is>
          <t>The other half of the romance, and the person the hero's luck is measured against.</t>
        </is>
      </c>
      <c r="K870" s="19" t="inlineStr">
        <is>
          <t>A struggling actress who has slept with a producer for roles that never come, whose pretence of being Vikram's cousin is what puts his portfolio in front of Rolly's studio.</t>
        </is>
      </c>
      <c r="L870" s="5" t="n"/>
      <c r="M870" s="5" t="inlineStr">
        <is>
          <t>SOURCE-120</t>
        </is>
      </c>
    </row>
    <row r="871" ht="49" customHeight="1">
      <c r="A871" s="15" t="inlineStr">
        <is>
          <t>CAST-870</t>
        </is>
      </c>
      <c r="B871" s="18" t="inlineStr">
        <is>
          <t>FILM-128</t>
        </is>
      </c>
      <c r="C871" s="5" t="inlineStr">
        <is>
          <t>Luck by Chance</t>
        </is>
      </c>
      <c r="D871" s="17" t="n">
        <v>2009</v>
      </c>
      <c r="E871" s="5" t="inlineStr">
        <is>
          <t>Juhi Chawla</t>
        </is>
      </c>
      <c r="F871" s="5" t="inlineStr">
        <is>
          <t>Minty Rolly</t>
        </is>
      </c>
      <c r="G871" s="5" t="inlineStr">
        <is>
          <t>Family</t>
        </is>
      </c>
      <c r="H871" s="5" t="inlineStr">
        <is>
          <t>Major</t>
        </is>
      </c>
      <c r="I871" s="5" t="inlineStr">
        <is>
          <t>His wife, inside the producer's household; the last of their eight films together.</t>
        </is>
      </c>
      <c r="J871" s="5" t="inlineStr">
        <is>
          <t>No part in the central romance.</t>
        </is>
      </c>
      <c r="K871" s="19" t="inlineStr">
        <is>
          <t>Credited as the producer's wife, in the industry family the film anatomises.</t>
        </is>
      </c>
      <c r="L871" s="5" t="n"/>
      <c r="M871" s="5" t="inlineStr">
        <is>
          <t>SOURCE-120</t>
        </is>
      </c>
    </row>
    <row r="872" ht="49" customHeight="1">
      <c r="A872" s="15" t="inlineStr">
        <is>
          <t>CAST-871</t>
        </is>
      </c>
      <c r="B872" s="18" t="inlineStr">
        <is>
          <t>FILM-128</t>
        </is>
      </c>
      <c r="C872" s="5" t="inlineStr">
        <is>
          <t>Luck by Chance</t>
        </is>
      </c>
      <c r="D872" s="17" t="n">
        <v>2009</v>
      </c>
      <c r="E872" s="5" t="inlineStr">
        <is>
          <t>Dimple Kapadia</t>
        </is>
      </c>
      <c r="F872" s="5" t="inlineStr">
        <is>
          <t>Neena Walia</t>
        </is>
      </c>
      <c r="G872" s="5" t="inlineStr">
        <is>
          <t>Supporting</t>
        </is>
      </c>
      <c r="H872" s="5" t="inlineStr">
        <is>
          <t>Major</t>
        </is>
      </c>
      <c r="I872" s="5" t="inlineStr">
        <is>
          <t>A former star managing her daughter's launch in his film.</t>
        </is>
      </c>
      <c r="J872" s="5" t="inlineStr">
        <is>
          <t>The mother whose favour the hero's rise depends on.</t>
        </is>
      </c>
      <c r="K872" s="19" t="inlineStr">
        <is>
          <t>A legendary actress of a former era, managing the career of her daughter Nikki, and won over by the newcomer at the outdoor shoot.</t>
        </is>
      </c>
      <c r="L872" s="5" t="n"/>
      <c r="M872" s="5" t="inlineStr">
        <is>
          <t>SOURCE-120</t>
        </is>
      </c>
    </row>
    <row r="873" ht="34" customHeight="1">
      <c r="A873" s="15" t="inlineStr">
        <is>
          <t>CAST-872</t>
        </is>
      </c>
      <c r="B873" s="18" t="inlineStr">
        <is>
          <t>FILM-128</t>
        </is>
      </c>
      <c r="C873" s="5" t="inlineStr">
        <is>
          <t>Luck by Chance</t>
        </is>
      </c>
      <c r="D873" s="17" t="n">
        <v>2009</v>
      </c>
      <c r="E873" s="5" t="inlineStr">
        <is>
          <t>Sanjay Kapoor</t>
        </is>
      </c>
      <c r="F873" s="5" t="inlineStr">
        <is>
          <t>Ranjit Rolly</t>
        </is>
      </c>
      <c r="G873" s="5" t="inlineStr">
        <is>
          <t>Family</t>
        </is>
      </c>
      <c r="H873" s="5" t="inlineStr">
        <is>
          <t>Major</t>
        </is>
      </c>
      <c r="I873" s="5" t="inlineStr">
        <is>
          <t>His brother, directing the film he is producing.</t>
        </is>
      </c>
      <c r="J873" s="5" t="inlineStr">
        <is>
          <t>No part in the central romance.</t>
        </is>
      </c>
      <c r="K873" s="19" t="inlineStr">
        <is>
          <t>Credited as the producer's brother, directing the picture the newcomer is cast in.</t>
        </is>
      </c>
      <c r="L873" s="5" t="n"/>
      <c r="M873" s="5" t="inlineStr">
        <is>
          <t>SOURCE-120</t>
        </is>
      </c>
    </row>
    <row r="874" ht="49" customHeight="1">
      <c r="A874" s="15" t="inlineStr">
        <is>
          <t>CAST-873</t>
        </is>
      </c>
      <c r="B874" s="18" t="inlineStr">
        <is>
          <t>FILM-128</t>
        </is>
      </c>
      <c r="C874" s="5" t="inlineStr">
        <is>
          <t>Luck by Chance</t>
        </is>
      </c>
      <c r="D874" s="17" t="n">
        <v>2009</v>
      </c>
      <c r="E874" s="5" t="inlineStr">
        <is>
          <t>Isha Sharvani</t>
        </is>
      </c>
      <c r="F874" s="5" t="inlineStr">
        <is>
          <t>Nikki Walia</t>
        </is>
      </c>
      <c r="G874" s="5" t="inlineStr">
        <is>
          <t>Supporting</t>
        </is>
      </c>
      <c r="H874" s="5" t="inlineStr">
        <is>
          <t>Medium</t>
        </is>
      </c>
      <c r="I874" s="5" t="inlineStr">
        <is>
          <t>The female lead of his film, and the daughter of a former star.</t>
        </is>
      </c>
      <c r="J874" s="5" t="inlineStr">
        <is>
          <t>The attachment the hero forms on the shoot, against the one he came with.</t>
        </is>
      </c>
      <c r="K874" s="19" t="inlineStr">
        <is>
          <t>Neena Walia's daughter and the female lead of Rolly's film, won over by Vikram during the outdoor schedule.</t>
        </is>
      </c>
      <c r="L874" s="5" t="n"/>
      <c r="M874" s="5" t="inlineStr">
        <is>
          <t>SOURCE-120</t>
        </is>
      </c>
    </row>
    <row r="875" ht="49" customHeight="1">
      <c r="A875" s="15" t="inlineStr">
        <is>
          <t>CAST-874</t>
        </is>
      </c>
      <c r="B875" s="18" t="inlineStr">
        <is>
          <t>FILM-128</t>
        </is>
      </c>
      <c r="C875" s="5" t="inlineStr">
        <is>
          <t>Luck by Chance</t>
        </is>
      </c>
      <c r="D875" s="17" t="n">
        <v>2009</v>
      </c>
      <c r="E875" s="5" t="inlineStr">
        <is>
          <t>Alyy Khan</t>
        </is>
      </c>
      <c r="F875" s="5" t="inlineStr">
        <is>
          <t>Satish Chaudhary</t>
        </is>
      </c>
      <c r="G875" s="5" t="inlineStr">
        <is>
          <t>Antagonist</t>
        </is>
      </c>
      <c r="H875" s="5" t="inlineStr">
        <is>
          <t>Medium</t>
        </is>
      </c>
      <c r="I875" s="5" t="inlineStr">
        <is>
          <t>A smaller producer at the other end of the industry from Kapoor's character.</t>
        </is>
      </c>
      <c r="J875" s="5" t="inlineStr">
        <is>
          <t>The exploitation the heroine has already been through.</t>
        </is>
      </c>
      <c r="K875" s="19" t="inlineStr">
        <is>
          <t>A producer of low-budget regional films who takes advantage of Sona's ambition and withholds the break he promised, credited with Sheeba Chaddha as his wife Pinky.</t>
        </is>
      </c>
      <c r="L875" s="5" t="n"/>
      <c r="M875" s="5" t="inlineStr">
        <is>
          <t>SOURCE-120</t>
        </is>
      </c>
    </row>
    <row r="876" ht="49" customHeight="1">
      <c r="A876" s="15" t="inlineStr">
        <is>
          <t>CAST-875</t>
        </is>
      </c>
      <c r="B876" s="18" t="inlineStr">
        <is>
          <t>FILM-128</t>
        </is>
      </c>
      <c r="C876" s="5" t="inlineStr">
        <is>
          <t>Luck by Chance</t>
        </is>
      </c>
      <c r="D876" s="17" t="n">
        <v>2009</v>
      </c>
      <c r="E876" s="5" t="inlineStr">
        <is>
          <t>Saurabh Shukla</t>
        </is>
      </c>
      <c r="F876" s="5" t="inlineStr">
        <is>
          <t>Nand Kishore</t>
        </is>
      </c>
      <c r="G876" s="5" t="inlineStr">
        <is>
          <t>Mentor</t>
        </is>
      </c>
      <c r="H876" s="5" t="inlineStr">
        <is>
          <t>Medium</t>
        </is>
      </c>
      <c r="I876" s="5" t="inlineStr">
        <is>
          <t>The acting teacher at the bottom of the industry the producer sits at the top of.</t>
        </is>
      </c>
      <c r="J876" s="5" t="inlineStr">
        <is>
          <t>No direct part in the romance.</t>
        </is>
      </c>
      <c r="K876" s="19" t="inlineStr">
        <is>
          <t>An acting school instructor, among the figures through whom the film maps the industry's hierarchy.</t>
        </is>
      </c>
      <c r="L876" s="5" t="n"/>
      <c r="M876" s="5" t="inlineStr">
        <is>
          <t>SOURCE-120</t>
        </is>
      </c>
    </row>
    <row r="877" ht="49" customHeight="1">
      <c r="A877" s="15" t="inlineStr">
        <is>
          <t>CAST-876</t>
        </is>
      </c>
      <c r="B877" s="18" t="inlineStr">
        <is>
          <t>FILM-128</t>
        </is>
      </c>
      <c r="C877" s="5" t="inlineStr">
        <is>
          <t>Luck by Chance</t>
        </is>
      </c>
      <c r="D877" s="17" t="n">
        <v>2009</v>
      </c>
      <c r="E877" s="5" t="inlineStr">
        <is>
          <t>Hrithik Roshan</t>
        </is>
      </c>
      <c r="F877" s="5" t="inlineStr">
        <is>
          <t>Zafar Khan</t>
        </is>
      </c>
      <c r="G877" s="5" t="inlineStr">
        <is>
          <t>Cameo</t>
        </is>
      </c>
      <c r="H877" s="5" t="inlineStr">
        <is>
          <t>Medium</t>
        </is>
      </c>
      <c r="I877" s="5" t="inlineStr">
        <is>
          <t>The star who turns down his film, which is why an unknown is cast at all.</t>
        </is>
      </c>
      <c r="J877" s="5" t="inlineStr">
        <is>
          <t>No part in the romance.</t>
        </is>
      </c>
      <c r="K877" s="19" t="inlineStr">
        <is>
          <t>In a substantial guest role as a Bollywood star who refuses Rolly's picture, the refusal on which the newcomer's whole chance depends.</t>
        </is>
      </c>
      <c r="L877" s="5" t="n"/>
      <c r="M877" s="5" t="inlineStr">
        <is>
          <t>SOURCE-120</t>
        </is>
      </c>
    </row>
    <row r="878" ht="64" customHeight="1">
      <c r="A878" s="15" t="inlineStr">
        <is>
          <t>CAST-877</t>
        </is>
      </c>
      <c r="B878" s="18" t="inlineStr">
        <is>
          <t>FILM-129</t>
        </is>
      </c>
      <c r="C878" s="5" t="inlineStr">
        <is>
          <t>Delhi-6</t>
        </is>
      </c>
      <c r="D878" s="17" t="n">
        <v>2009</v>
      </c>
      <c r="E878" s="5" t="inlineStr">
        <is>
          <t>Abhishek Bachchan</t>
        </is>
      </c>
      <c r="F878" s="5" t="inlineStr">
        <is>
          <t>Roshan Mehra</t>
        </is>
      </c>
      <c r="G878" s="5" t="inlineStr">
        <is>
          <t>Co-lead</t>
        </is>
      </c>
      <c r="H878" s="5" t="inlineStr">
        <is>
          <t>Major</t>
        </is>
      </c>
      <c r="I878" s="5" t="inlineStr">
        <is>
          <t>The young visitor to the lane, and the son of the woman Kapoor's character loved.</t>
        </is>
      </c>
      <c r="J878" s="5" t="inlineStr">
        <is>
          <t>Learns of the old unconsummated attachment in passing.</t>
        </is>
      </c>
      <c r="K878" s="19" t="inlineStr">
        <is>
          <t>An American-raised young man who brings his dying grandmother to her ancestral house in Old Delhi, is absorbed into the lane's life, and is caught in the communal violence that follows.</t>
        </is>
      </c>
      <c r="L878" s="5" t="n"/>
      <c r="M878" s="5" t="inlineStr">
        <is>
          <t>SOURCE-121</t>
        </is>
      </c>
    </row>
    <row r="879" ht="49" customHeight="1">
      <c r="A879" s="15" t="inlineStr">
        <is>
          <t>CAST-878</t>
        </is>
      </c>
      <c r="B879" s="18" t="inlineStr">
        <is>
          <t>FILM-129</t>
        </is>
      </c>
      <c r="C879" s="5" t="inlineStr">
        <is>
          <t>Delhi-6</t>
        </is>
      </c>
      <c r="D879" s="17" t="n">
        <v>2009</v>
      </c>
      <c r="E879" s="5" t="inlineStr">
        <is>
          <t>Tanvi Azmi</t>
        </is>
      </c>
      <c r="F879" s="5" t="inlineStr">
        <is>
          <t>Fatima Mehra</t>
        </is>
      </c>
      <c r="G879" s="5" t="inlineStr">
        <is>
          <t>Supporting</t>
        </is>
      </c>
      <c r="H879" s="5" t="inlineStr">
        <is>
          <t>Major</t>
        </is>
      </c>
      <c r="I879" s="5" t="inlineStr">
        <is>
          <t>The woman Kapoor's character loved and never married.</t>
        </is>
      </c>
      <c r="J879" s="5" t="inlineStr">
        <is>
          <t>The whole of the pairing in Romances, an attachment that was never acted on.</t>
        </is>
      </c>
      <c r="K879" s="19" t="inlineStr">
        <is>
          <t>Roshan's mother, the woman Ali Beg loved years before, and the reason he has remained unmarried since.</t>
        </is>
      </c>
      <c r="L879" s="5" t="n"/>
      <c r="M879" s="5" t="inlineStr">
        <is>
          <t>SOURCE-121</t>
        </is>
      </c>
    </row>
    <row r="880" ht="64" customHeight="1">
      <c r="A880" s="15" t="inlineStr">
        <is>
          <t>CAST-879</t>
        </is>
      </c>
      <c r="B880" s="18" t="inlineStr">
        <is>
          <t>FILM-129</t>
        </is>
      </c>
      <c r="C880" s="5" t="inlineStr">
        <is>
          <t>Delhi-6</t>
        </is>
      </c>
      <c r="D880" s="17" t="n">
        <v>2009</v>
      </c>
      <c r="E880" s="5" t="inlineStr">
        <is>
          <t>Waheeda Rehman</t>
        </is>
      </c>
      <c r="F880" s="5" t="inlineStr">
        <is>
          <t>Annapurna Mehra</t>
        </is>
      </c>
      <c r="G880" s="5" t="inlineStr">
        <is>
          <t>Family</t>
        </is>
      </c>
      <c r="H880" s="5" t="inlineStr">
        <is>
          <t>Major</t>
        </is>
      </c>
      <c r="I880" s="5" t="inlineStr">
        <is>
          <t>The dying grandmother whose return to the lane brings the family back into his world.</t>
        </is>
      </c>
      <c r="J880" s="5" t="inlineStr">
        <is>
          <t>The occasion of the reunion in which the old attachment surfaces.</t>
        </is>
      </c>
      <c r="K880" s="19" t="inlineStr">
        <is>
          <t>The grandmother who asks to be brought to her ancestral property in Old Delhi, whose collapse the choked streets delay treatment of, and who stops in her stupor to seek a cow's blessing.</t>
        </is>
      </c>
      <c r="L880" s="5" t="n"/>
      <c r="M880" s="5" t="inlineStr">
        <is>
          <t>SOURCE-121</t>
        </is>
      </c>
    </row>
    <row r="881" ht="34" customHeight="1">
      <c r="A881" s="15" t="inlineStr">
        <is>
          <t>CAST-880</t>
        </is>
      </c>
      <c r="B881" s="18" t="inlineStr">
        <is>
          <t>FILM-129</t>
        </is>
      </c>
      <c r="C881" s="5" t="inlineStr">
        <is>
          <t>Delhi-6</t>
        </is>
      </c>
      <c r="D881" s="17" t="n">
        <v>2009</v>
      </c>
      <c r="E881" s="5" t="inlineStr">
        <is>
          <t>Sonam Kapoor</t>
        </is>
      </c>
      <c r="F881" s="5" t="inlineStr">
        <is>
          <t>Bittu Sharma</t>
        </is>
      </c>
      <c r="G881" s="5" t="inlineStr">
        <is>
          <t>Co-lead</t>
        </is>
      </c>
      <c r="H881" s="5" t="inlineStr">
        <is>
          <t>Major</t>
        </is>
      </c>
      <c r="I881" s="5" t="inlineStr">
        <is>
          <t>A young woman of the same lane he belongs to.</t>
        </is>
      </c>
      <c r="J881" s="5" t="inlineStr">
        <is>
          <t>The lane's young romance, set against his unspoken one.</t>
        </is>
      </c>
      <c r="K881" s="19" t="inlineStr">
        <is>
          <t>Madangopal's daughter, in love with the visitor and wanting a life beyond the lane; the actress's debut.</t>
        </is>
      </c>
      <c r="L881" s="5" t="n"/>
      <c r="M881" s="5" t="inlineStr">
        <is>
          <t>SOURCE-121</t>
        </is>
      </c>
    </row>
    <row r="882" ht="49" customHeight="1">
      <c r="A882" s="15" t="inlineStr">
        <is>
          <t>CAST-881</t>
        </is>
      </c>
      <c r="B882" s="18" t="inlineStr">
        <is>
          <t>FILM-129</t>
        </is>
      </c>
      <c r="C882" s="5" t="inlineStr">
        <is>
          <t>Delhi-6</t>
        </is>
      </c>
      <c r="D882" s="17" t="n">
        <v>2009</v>
      </c>
      <c r="E882" s="5" t="inlineStr">
        <is>
          <t>Om Puri</t>
        </is>
      </c>
      <c r="F882" s="5" t="inlineStr">
        <is>
          <t>Madangopal Sharma</t>
        </is>
      </c>
      <c r="G882" s="5" t="inlineStr">
        <is>
          <t>Family</t>
        </is>
      </c>
      <c r="H882" s="5" t="inlineStr">
        <is>
          <t>Major</t>
        </is>
      </c>
      <c r="I882" s="5" t="inlineStr">
        <is>
          <t>One of the feuding brothers whose quarrel is part of the lane he presides over.</t>
        </is>
      </c>
      <c r="J882" s="5" t="inlineStr">
        <is>
          <t>No direct part in the pairing.</t>
        </is>
      </c>
      <c r="K882" s="19" t="inlineStr">
        <is>
          <t>One of two brothers at war across the same house, father of Bittu and of an unwed daughter, in the neighbourhood portrait the film is built from.</t>
        </is>
      </c>
      <c r="L882" s="5" t="n"/>
      <c r="M882" s="5" t="inlineStr">
        <is>
          <t>SOURCE-121</t>
        </is>
      </c>
    </row>
    <row r="883" ht="34" customHeight="1">
      <c r="A883" s="15" t="inlineStr">
        <is>
          <t>CAST-882</t>
        </is>
      </c>
      <c r="B883" s="18" t="inlineStr">
        <is>
          <t>FILM-129</t>
        </is>
      </c>
      <c r="C883" s="5" t="inlineStr">
        <is>
          <t>Delhi-6</t>
        </is>
      </c>
      <c r="D883" s="17" t="n">
        <v>2009</v>
      </c>
      <c r="E883" s="5" t="inlineStr">
        <is>
          <t>Pavan Malhotra</t>
        </is>
      </c>
      <c r="F883" s="5" t="inlineStr">
        <is>
          <t>Jai Gopal Sharma</t>
        </is>
      </c>
      <c r="G883" s="5" t="inlineStr">
        <is>
          <t>Family</t>
        </is>
      </c>
      <c r="H883" s="5" t="inlineStr">
        <is>
          <t>Medium</t>
        </is>
      </c>
      <c r="I883" s="5" t="inlineStr">
        <is>
          <t>The other feuding brother of the lane.</t>
        </is>
      </c>
      <c r="J883" s="5" t="inlineStr">
        <is>
          <t>No direct part in the pairing.</t>
        </is>
      </c>
      <c r="K883" s="19" t="inlineStr">
        <is>
          <t>Madangopal's brother, whose failing electrical business is one of the lane's standing grievances.</t>
        </is>
      </c>
      <c r="L883" s="5" t="n"/>
      <c r="M883" s="5" t="inlineStr">
        <is>
          <t>SOURCE-121</t>
        </is>
      </c>
    </row>
    <row r="884" ht="49" customHeight="1">
      <c r="A884" s="15" t="inlineStr">
        <is>
          <t>CAST-883</t>
        </is>
      </c>
      <c r="B884" s="18" t="inlineStr">
        <is>
          <t>FILM-129</t>
        </is>
      </c>
      <c r="C884" s="5" t="inlineStr">
        <is>
          <t>Delhi-6</t>
        </is>
      </c>
      <c r="D884" s="17" t="n">
        <v>2009</v>
      </c>
      <c r="E884" s="5" t="inlineStr">
        <is>
          <t>Prem Chopra</t>
        </is>
      </c>
      <c r="F884" s="5" t="inlineStr">
        <is>
          <t>Lala Bhairam</t>
        </is>
      </c>
      <c r="G884" s="5" t="inlineStr">
        <is>
          <t>Antagonist</t>
        </is>
      </c>
      <c r="H884" s="5" t="inlineStr">
        <is>
          <t>Medium</t>
        </is>
      </c>
      <c r="I884" s="5" t="inlineStr">
        <is>
          <t>The moneylender of the lane, its resident predator.</t>
        </is>
      </c>
      <c r="J884" s="5" t="inlineStr">
        <is>
          <t>No part in the pairing.</t>
        </is>
      </c>
      <c r="K884" s="19" t="inlineStr">
        <is>
          <t>The lecherous old moneylender of the neighbourhood, among the social ills the film sets against its affection for the place.</t>
        </is>
      </c>
      <c r="L884" s="5" t="n"/>
      <c r="M884" s="5" t="inlineStr">
        <is>
          <t>SOURCE-121</t>
        </is>
      </c>
    </row>
    <row r="885" ht="34" customHeight="1">
      <c r="A885" s="15" t="inlineStr">
        <is>
          <t>CAST-884</t>
        </is>
      </c>
      <c r="B885" s="18" t="inlineStr">
        <is>
          <t>FILM-129</t>
        </is>
      </c>
      <c r="C885" s="5" t="inlineStr">
        <is>
          <t>Delhi-6</t>
        </is>
      </c>
      <c r="D885" s="17" t="n">
        <v>2009</v>
      </c>
      <c r="E885" s="5" t="inlineStr">
        <is>
          <t>Atul Kulkarni</t>
        </is>
      </c>
      <c r="F885" s="5" t="inlineStr">
        <is>
          <t>Gobar</t>
        </is>
      </c>
      <c r="G885" s="5" t="inlineStr">
        <is>
          <t>Supporting</t>
        </is>
      </c>
      <c r="H885" s="5" t="inlineStr">
        <is>
          <t>Medium</t>
        </is>
      </c>
      <c r="I885" s="5" t="inlineStr">
        <is>
          <t>One of the lane's residents, in the community he belongs to.</t>
        </is>
      </c>
      <c r="J885" s="5" t="inlineStr">
        <is>
          <t>No part in the pairing.</t>
        </is>
      </c>
      <c r="K885" s="19" t="inlineStr">
        <is>
          <t>The simpleton of the lane, one of the figures through whom the film builds its portrait of the neighbourhood.</t>
        </is>
      </c>
      <c r="L885" s="5" t="n"/>
      <c r="M885" s="5" t="inlineStr">
        <is>
          <t>SOURCE-121</t>
        </is>
      </c>
    </row>
    <row r="886" ht="34" customHeight="1">
      <c r="A886" s="15" t="inlineStr">
        <is>
          <t>CAST-885</t>
        </is>
      </c>
      <c r="B886" s="18" t="inlineStr">
        <is>
          <t>FILM-129</t>
        </is>
      </c>
      <c r="C886" s="5" t="inlineStr">
        <is>
          <t>Delhi-6</t>
        </is>
      </c>
      <c r="D886" s="17" t="n">
        <v>2009</v>
      </c>
      <c r="E886" s="5" t="inlineStr">
        <is>
          <t>Divya Dutta</t>
        </is>
      </c>
      <c r="F886" s="5" t="inlineStr">
        <is>
          <t>Jalebi</t>
        </is>
      </c>
      <c r="G886" s="5" t="inlineStr">
        <is>
          <t>Supporting</t>
        </is>
      </c>
      <c r="H886" s="5" t="inlineStr">
        <is>
          <t>Medium</t>
        </is>
      </c>
      <c r="I886" s="5" t="inlineStr">
        <is>
          <t>A neighbour in the same lane.</t>
        </is>
      </c>
      <c r="J886" s="5" t="inlineStr">
        <is>
          <t>No part in the pairing.</t>
        </is>
      </c>
      <c r="K886" s="19" t="inlineStr">
        <is>
          <t>Credited as Jalebi, among the residents of the Old Delhi lane the film is named for.</t>
        </is>
      </c>
      <c r="L886" s="5" t="n"/>
      <c r="M886" s="5" t="inlineStr">
        <is>
          <t>SOURCE-121</t>
        </is>
      </c>
    </row>
    <row r="887" ht="64" customHeight="1">
      <c r="A887" s="15" t="inlineStr">
        <is>
          <t>CAST-886</t>
        </is>
      </c>
      <c r="B887" s="18" t="inlineStr">
        <is>
          <t>FILM-130</t>
        </is>
      </c>
      <c r="C887" s="5" t="inlineStr">
        <is>
          <t>Kal Kissne Dekha</t>
        </is>
      </c>
      <c r="D887" s="17" t="n">
        <v>2009</v>
      </c>
      <c r="E887" s="5" t="inlineStr">
        <is>
          <t>Jackky Bhagnani</t>
        </is>
      </c>
      <c r="F887" s="5" t="inlineStr">
        <is>
          <t>Nihaal Singh</t>
        </is>
      </c>
      <c r="G887" s="5" t="inlineStr">
        <is>
          <t>Co-lead</t>
        </is>
      </c>
      <c r="H887" s="5" t="inlineStr">
        <is>
          <t>Major</t>
        </is>
      </c>
      <c r="I887" s="5" t="inlineStr">
        <is>
          <t>The gifted student who charms Kapoor's warden and finally exposes him.</t>
        </is>
      </c>
      <c r="J887" s="5" t="inlineStr">
        <is>
          <t>Holds the film's romance; Kapoor's role has none.</t>
        </is>
      </c>
      <c r="K887" s="19" t="inlineStr">
        <is>
          <t>A Chandigarh teenager who builds gadgets and wins a place at an elite Mumbai institute, discovers he can see the future, saves lives at a mall explosion, and uncovers who is behind the bombings; the actor's debut.</t>
        </is>
      </c>
      <c r="L887" s="5" t="n"/>
      <c r="M887" s="5" t="inlineStr">
        <is>
          <t>SOURCE-122</t>
        </is>
      </c>
    </row>
    <row r="888" ht="49" customHeight="1">
      <c r="A888" s="15" t="inlineStr">
        <is>
          <t>CAST-887</t>
        </is>
      </c>
      <c r="B888" s="18" t="inlineStr">
        <is>
          <t>FILM-130</t>
        </is>
      </c>
      <c r="C888" s="5" t="inlineStr">
        <is>
          <t>Kal Kissne Dekha</t>
        </is>
      </c>
      <c r="D888" s="17" t="n">
        <v>2009</v>
      </c>
      <c r="E888" s="5" t="inlineStr">
        <is>
          <t>Vaishali Desai</t>
        </is>
      </c>
      <c r="F888" s="5" t="inlineStr">
        <is>
          <t>Misha Kapoor</t>
        </is>
      </c>
      <c r="G888" s="5" t="inlineStr">
        <is>
          <t>Co-lead</t>
        </is>
      </c>
      <c r="H888" s="5" t="inlineStr">
        <is>
          <t>Major</t>
        </is>
      </c>
      <c r="I888" s="5" t="inlineStr">
        <is>
          <t>A student in the college Kapoor's character is warden of.</t>
        </is>
      </c>
      <c r="J888" s="5" t="inlineStr">
        <is>
          <t>The film's romance, outside Kapoor's part.</t>
        </is>
      </c>
      <c r="K888" s="19" t="inlineStr">
        <is>
          <t>A proud, rude student who resents the newcomer's popularity, is saved by him from the danger he foresees, and falls in love with him.</t>
        </is>
      </c>
      <c r="L888" s="5" t="n"/>
      <c r="M888" s="5" t="inlineStr">
        <is>
          <t>SOURCE-122</t>
        </is>
      </c>
    </row>
    <row r="889" ht="34" customHeight="1">
      <c r="A889" s="15" t="inlineStr">
        <is>
          <t>CAST-888</t>
        </is>
      </c>
      <c r="B889" s="18" t="inlineStr">
        <is>
          <t>FILM-130</t>
        </is>
      </c>
      <c r="C889" s="5" t="inlineStr">
        <is>
          <t>Kal Kissne Dekha</t>
        </is>
      </c>
      <c r="D889" s="17" t="n">
        <v>2009</v>
      </c>
      <c r="E889" s="5" t="inlineStr">
        <is>
          <t>Akshay Kapoor</t>
        </is>
      </c>
      <c r="F889" s="5" t="inlineStr">
        <is>
          <t>Kabir Ahuja</t>
        </is>
      </c>
      <c r="G889" s="5" t="inlineStr">
        <is>
          <t>Friend</t>
        </is>
      </c>
      <c r="H889" s="5" t="inlineStr">
        <is>
          <t>Medium</t>
        </is>
      </c>
      <c r="I889" s="5" t="inlineStr">
        <is>
          <t>One of the students in the college.</t>
        </is>
      </c>
      <c r="J889" s="5" t="inlineStr">
        <is>
          <t>Part of the student circle around the romance.</t>
        </is>
      </c>
      <c r="K889" s="19" t="inlineStr">
        <is>
          <t>Credited as Kabir Ahuja, among the friends in the college plot, one of whom turns out to be behind the attack.</t>
        </is>
      </c>
      <c r="L889" s="5" t="n"/>
      <c r="M889" s="5" t="inlineStr">
        <is>
          <t>SOURCE-122</t>
        </is>
      </c>
    </row>
    <row r="890" ht="34" customHeight="1">
      <c r="A890" s="15" t="inlineStr">
        <is>
          <t>CAST-889</t>
        </is>
      </c>
      <c r="B890" s="18" t="inlineStr">
        <is>
          <t>FILM-130</t>
        </is>
      </c>
      <c r="C890" s="5" t="inlineStr">
        <is>
          <t>Kal Kissne Dekha</t>
        </is>
      </c>
      <c r="D890" s="17" t="n">
        <v>2009</v>
      </c>
      <c r="E890" s="5" t="inlineStr">
        <is>
          <t>Archana Puran Singh</t>
        </is>
      </c>
      <c r="F890" s="5" t="inlineStr">
        <is>
          <t>Bebe</t>
        </is>
      </c>
      <c r="G890" s="5" t="inlineStr">
        <is>
          <t>Family</t>
        </is>
      </c>
      <c r="H890" s="5" t="inlineStr">
        <is>
          <t>Medium</t>
        </is>
      </c>
      <c r="I890" s="5" t="inlineStr">
        <is>
          <t>The protagonist's mother, outside the college world.</t>
        </is>
      </c>
      <c r="J890" s="5" t="inlineStr">
        <is>
          <t>Family background to the student romance.</t>
        </is>
      </c>
      <c r="K890" s="19" t="inlineStr">
        <is>
          <t>Credited as Nihaal's mother, in the Chandigarh family the student leaves for Mumbai.</t>
        </is>
      </c>
      <c r="L890" s="5" t="n"/>
      <c r="M890" s="5" t="inlineStr">
        <is>
          <t>SOURCE-122</t>
        </is>
      </c>
    </row>
    <row r="891" ht="34" customHeight="1">
      <c r="A891" s="15" t="inlineStr">
        <is>
          <t>CAST-890</t>
        </is>
      </c>
      <c r="B891" s="18" t="inlineStr">
        <is>
          <t>FILM-130</t>
        </is>
      </c>
      <c r="C891" s="5" t="inlineStr">
        <is>
          <t>Kal Kissne Dekha</t>
        </is>
      </c>
      <c r="D891" s="17" t="n">
        <v>2009</v>
      </c>
      <c r="E891" s="5" t="inlineStr">
        <is>
          <t>Satish Shah</t>
        </is>
      </c>
      <c r="F891" s="5" t="inlineStr">
        <is>
          <t>Vinod Kapoor</t>
        </is>
      </c>
      <c r="G891" s="5" t="inlineStr">
        <is>
          <t>Family</t>
        </is>
      </c>
      <c r="H891" s="5" t="inlineStr">
        <is>
          <t>Medium</t>
        </is>
      </c>
      <c r="I891" s="5" t="inlineStr">
        <is>
          <t>The heroine's father.</t>
        </is>
      </c>
      <c r="J891" s="5" t="inlineStr">
        <is>
          <t>Family background to the romance.</t>
        </is>
      </c>
      <c r="K891" s="19" t="inlineStr">
        <is>
          <t>Credited as Misha's father, in the family the student romance has to be settled with.</t>
        </is>
      </c>
      <c r="L891" s="5" t="n"/>
      <c r="M891" s="5" t="inlineStr">
        <is>
          <t>SOURCE-122</t>
        </is>
      </c>
    </row>
    <row r="892" ht="34" customHeight="1">
      <c r="A892" s="15" t="inlineStr">
        <is>
          <t>CAST-891</t>
        </is>
      </c>
      <c r="B892" s="18" t="inlineStr">
        <is>
          <t>FILM-130</t>
        </is>
      </c>
      <c r="C892" s="5" t="inlineStr">
        <is>
          <t>Kal Kissne Dekha</t>
        </is>
      </c>
      <c r="D892" s="17" t="n">
        <v>2009</v>
      </c>
      <c r="E892" s="5" t="inlineStr">
        <is>
          <t>Rahul Dev</t>
        </is>
      </c>
      <c r="F892" s="5" t="inlineStr">
        <is>
          <t>Marshal</t>
        </is>
      </c>
      <c r="G892" s="5" t="inlineStr">
        <is>
          <t>Antagonist</t>
        </is>
      </c>
      <c r="H892" s="5" t="inlineStr">
        <is>
          <t>Medium</t>
        </is>
      </c>
      <c r="I892" s="5" t="inlineStr">
        <is>
          <t>Credited in the conspiracy Kapoor's professor turns out to be behind.</t>
        </is>
      </c>
      <c r="J892" s="5" t="inlineStr">
        <is>
          <t>No part in the romance.</t>
        </is>
      </c>
      <c r="K892" s="19" t="inlineStr">
        <is>
          <t>Credited as Marshal, among the anti-social elements drawn by the student's media exposure.</t>
        </is>
      </c>
      <c r="L892" s="5" t="n"/>
      <c r="M892" s="5" t="inlineStr">
        <is>
          <t>SOURCE-122</t>
        </is>
      </c>
    </row>
    <row r="893" ht="34" customHeight="1">
      <c r="A893" s="15" t="inlineStr">
        <is>
          <t>CAST-892</t>
        </is>
      </c>
      <c r="B893" s="18" t="inlineStr">
        <is>
          <t>FILM-130</t>
        </is>
      </c>
      <c r="C893" s="5" t="inlineStr">
        <is>
          <t>Kal Kissne Dekha</t>
        </is>
      </c>
      <c r="D893" s="17" t="n">
        <v>2009</v>
      </c>
      <c r="E893" s="5" t="inlineStr">
        <is>
          <t>Sanjay Dutt</t>
        </is>
      </c>
      <c r="F893" s="5" t="inlineStr">
        <is>
          <t>DJ</t>
        </is>
      </c>
      <c r="G893" s="5" t="inlineStr">
        <is>
          <t>Cameo</t>
        </is>
      </c>
      <c r="H893" s="5" t="inlineStr">
        <is>
          <t>Minor</t>
        </is>
      </c>
      <c r="I893" s="5" t="inlineStr">
        <is>
          <t>A star special appearance outside the main plot.</t>
        </is>
      </c>
      <c r="J893" s="5" t="inlineStr">
        <is>
          <t>No part in the romance.</t>
        </is>
      </c>
      <c r="K893" s="19" t="inlineStr">
        <is>
          <t>In a special appearance as a DJ, with Juhi Chawla also credited for a guest appearance.</t>
        </is>
      </c>
      <c r="L893" s="5" t="n"/>
      <c r="M893" s="5" t="inlineStr">
        <is>
          <t>SOURCE-122</t>
        </is>
      </c>
    </row>
    <row r="894" ht="64" customHeight="1">
      <c r="A894" s="15" t="inlineStr">
        <is>
          <t>CAST-893</t>
        </is>
      </c>
      <c r="B894" s="18" t="inlineStr">
        <is>
          <t>FILM-131</t>
        </is>
      </c>
      <c r="C894" s="5" t="inlineStr">
        <is>
          <t>Love Aaj Kal</t>
        </is>
      </c>
      <c r="D894" s="17" t="n">
        <v>2009</v>
      </c>
      <c r="E894" s="5" t="inlineStr">
        <is>
          <t>Saif Ali Khan</t>
        </is>
      </c>
      <c r="F894" s="5" t="inlineStr">
        <is>
          <t>Jai Vardhan Singh, and the young Veer Singh Panesar</t>
        </is>
      </c>
      <c r="G894" s="5" t="inlineStr">
        <is>
          <t>Co-lead</t>
        </is>
      </c>
      <c r="H894" s="5" t="inlineStr">
        <is>
          <t>Major</t>
        </is>
      </c>
      <c r="I894" s="5" t="inlineStr">
        <is>
          <t>Plays both the modern man Kapoor's character counsels and the younger form of Kapoor's own character.</t>
        </is>
      </c>
      <c r="J894" s="5" t="inlineStr">
        <is>
          <t>Holds both of the film's romances, the present-day one and the remembered one Kapoor narrates.</t>
        </is>
      </c>
      <c r="K894" s="19" t="inlineStr">
        <is>
          <t>Credited in a dual role: a Londoner who breaks up with his girlfriend on principle and takes career opportunities instead, and the young Veer of the 1960s, who decides to marry a woman he has never spoken to.</t>
        </is>
      </c>
      <c r="L894" s="5" t="n"/>
      <c r="M894" s="5" t="inlineStr">
        <is>
          <t>SOURCE-123</t>
        </is>
      </c>
    </row>
    <row r="895" ht="49" customHeight="1">
      <c r="A895" s="15" t="inlineStr">
        <is>
          <t>CAST-894</t>
        </is>
      </c>
      <c r="B895" s="18" t="inlineStr">
        <is>
          <t>FILM-131</t>
        </is>
      </c>
      <c r="C895" s="5" t="inlineStr">
        <is>
          <t>Love Aaj Kal</t>
        </is>
      </c>
      <c r="D895" s="17" t="n">
        <v>2009</v>
      </c>
      <c r="E895" s="5" t="inlineStr">
        <is>
          <t>Giselli Monteiro</t>
        </is>
      </c>
      <c r="F895" s="5" t="inlineStr">
        <is>
          <t>Harleen Kaur</t>
        </is>
      </c>
      <c r="G895" s="5" t="inlineStr">
        <is>
          <t>Co-lead</t>
        </is>
      </c>
      <c r="H895" s="5" t="inlineStr">
        <is>
          <t>Major</t>
        </is>
      </c>
      <c r="I895" s="5" t="inlineStr">
        <is>
          <t>The young form of the woman Kapoor's character married.</t>
        </is>
      </c>
      <c r="J895" s="5" t="inlineStr">
        <is>
          <t>The first face of the pairing in Romances, and the whole of its courtship.</t>
        </is>
      </c>
      <c r="K895" s="19" t="inlineStr">
        <is>
          <t>The young Harleen of the remembered romance, loved at first sight, pursued without a word spoken and against her family's violence; her voice dubbed by Mona Ghosh Shetty.</t>
        </is>
      </c>
      <c r="L895" s="5" t="n"/>
      <c r="M895" s="5" t="inlineStr">
        <is>
          <t>SOURCE-123</t>
        </is>
      </c>
    </row>
    <row r="896" ht="64" customHeight="1">
      <c r="A896" s="15" t="inlineStr">
        <is>
          <t>CAST-895</t>
        </is>
      </c>
      <c r="B896" s="18" t="inlineStr">
        <is>
          <t>FILM-131</t>
        </is>
      </c>
      <c r="C896" s="5" t="inlineStr">
        <is>
          <t>Love Aaj Kal</t>
        </is>
      </c>
      <c r="D896" s="17" t="n">
        <v>2009</v>
      </c>
      <c r="E896" s="5" t="inlineStr">
        <is>
          <t>Neetu Kapoor</t>
        </is>
      </c>
      <c r="F896" s="5" t="inlineStr">
        <is>
          <t>Harleen Kaur Panesar</t>
        </is>
      </c>
      <c r="G896" s="5" t="inlineStr">
        <is>
          <t>Co-lead</t>
        </is>
      </c>
      <c r="H896" s="5" t="inlineStr">
        <is>
          <t>Major</t>
        </is>
      </c>
      <c r="I896" s="5" t="inlineStr">
        <is>
          <t>His wife in the present-day frame, played by Kapoor's own wife in a special appearance.</t>
        </is>
      </c>
      <c r="J896" s="5" t="inlineStr">
        <is>
          <t>The second face of the same pairing, and the proof of the story he tells.</t>
        </is>
      </c>
      <c r="K896" s="19" t="inlineStr">
        <is>
          <t>The older Harleen, married to Veer for decades, appearing in the present-day frame of the narration; Neetu Kapoor's first screen appearance opposite her husband since the 1980s and the second of their late-career pairings.</t>
        </is>
      </c>
      <c r="L896" s="5" t="n"/>
      <c r="M896" s="5" t="inlineStr">
        <is>
          <t>SOURCE-123</t>
        </is>
      </c>
    </row>
    <row r="897" ht="64" customHeight="1">
      <c r="A897" s="15" t="inlineStr">
        <is>
          <t>CAST-896</t>
        </is>
      </c>
      <c r="B897" s="18" t="inlineStr">
        <is>
          <t>FILM-131</t>
        </is>
      </c>
      <c r="C897" s="5" t="inlineStr">
        <is>
          <t>Love Aaj Kal</t>
        </is>
      </c>
      <c r="D897" s="17" t="n">
        <v>2009</v>
      </c>
      <c r="E897" s="5" t="inlineStr">
        <is>
          <t>Deepika Padukone</t>
        </is>
      </c>
      <c r="F897" s="5" t="inlineStr">
        <is>
          <t>Meera Pandit</t>
        </is>
      </c>
      <c r="G897" s="5" t="inlineStr">
        <is>
          <t>Co-lead</t>
        </is>
      </c>
      <c r="H897" s="5" t="inlineStr">
        <is>
          <t>Major</t>
        </is>
      </c>
      <c r="I897" s="5" t="inlineStr">
        <is>
          <t>The woman in the present-day romance his narration is aimed at saving.</t>
        </is>
      </c>
      <c r="J897" s="5" t="inlineStr">
        <is>
          <t>The other half of the modern romance, set against the remembered one.</t>
        </is>
      </c>
      <c r="K897" s="19" t="inlineStr">
        <is>
          <t>A restorer of monuments who breaks up with Jai amicably so that neither holds the other back, moves to India, becomes attached to her boss, and is stunned when Jai arrives at Veer's insistence.</t>
        </is>
      </c>
      <c r="L897" s="5" t="n"/>
      <c r="M897" s="5" t="inlineStr">
        <is>
          <t>SOURCE-123</t>
        </is>
      </c>
    </row>
    <row r="898" ht="49" customHeight="1">
      <c r="A898" s="15" t="inlineStr">
        <is>
          <t>CAST-897</t>
        </is>
      </c>
      <c r="B898" s="18" t="inlineStr">
        <is>
          <t>FILM-131</t>
        </is>
      </c>
      <c r="C898" s="5" t="inlineStr">
        <is>
          <t>Love Aaj Kal</t>
        </is>
      </c>
      <c r="D898" s="17" t="n">
        <v>2009</v>
      </c>
      <c r="E898" s="5" t="inlineStr">
        <is>
          <t>Raj Zutshi</t>
        </is>
      </c>
      <c r="F898" s="5" t="inlineStr">
        <is>
          <t>Vinod Singh</t>
        </is>
      </c>
      <c r="G898" s="5" t="inlineStr">
        <is>
          <t>Antagonist</t>
        </is>
      </c>
      <c r="H898" s="5" t="inlineStr">
        <is>
          <t>Medium</t>
        </is>
      </c>
      <c r="I898" s="5" t="inlineStr">
        <is>
          <t>The father of the woman he courted, and the source of the beating he took for declaring it.</t>
        </is>
      </c>
      <c r="J898" s="5" t="inlineStr">
        <is>
          <t>The external opposition to the remembered romance.</t>
        </is>
      </c>
      <c r="K898" s="19" t="inlineStr">
        <is>
          <t>Harleen's father, whose family answered the young Veer's declaration with violence.</t>
        </is>
      </c>
      <c r="L898" s="5" t="n"/>
      <c r="M898" s="5" t="inlineStr">
        <is>
          <t>SOURCE-123</t>
        </is>
      </c>
    </row>
    <row r="899" ht="49" customHeight="1">
      <c r="A899" s="15" t="inlineStr">
        <is>
          <t>CAST-898</t>
        </is>
      </c>
      <c r="B899" s="18" t="inlineStr">
        <is>
          <t>FILM-131</t>
        </is>
      </c>
      <c r="C899" s="5" t="inlineStr">
        <is>
          <t>Love Aaj Kal</t>
        </is>
      </c>
      <c r="D899" s="17" t="n">
        <v>2009</v>
      </c>
      <c r="E899" s="5" t="inlineStr">
        <is>
          <t>Rahul Khanna</t>
        </is>
      </c>
      <c r="F899" s="5" t="inlineStr">
        <is>
          <t>Vikram Joshi</t>
        </is>
      </c>
      <c r="G899" s="5" t="inlineStr">
        <is>
          <t>Romantic rival</t>
        </is>
      </c>
      <c r="H899" s="5" t="inlineStr">
        <is>
          <t>Medium</t>
        </is>
      </c>
      <c r="I899" s="5" t="inlineStr">
        <is>
          <t>The rival claim in the present-day romance he is arguing against.</t>
        </is>
      </c>
      <c r="J899" s="5" t="inlineStr">
        <is>
          <t>The attachment the modern heroine forms while believing she has moved on.</t>
        </is>
      </c>
      <c r="K899" s="19" t="inlineStr">
        <is>
          <t>Meera's employer in India, whom she develops feelings for and later marries, in the romance Veer's story is set against.</t>
        </is>
      </c>
      <c r="L899" s="5" t="n"/>
      <c r="M899" s="5" t="inlineStr">
        <is>
          <t>SOURCE-123</t>
        </is>
      </c>
    </row>
    <row r="900" ht="34" customHeight="1">
      <c r="A900" s="15" t="inlineStr">
        <is>
          <t>CAST-899</t>
        </is>
      </c>
      <c r="B900" s="18" t="inlineStr">
        <is>
          <t>FILM-131</t>
        </is>
      </c>
      <c r="C900" s="5" t="inlineStr">
        <is>
          <t>Love Aaj Kal</t>
        </is>
      </c>
      <c r="D900" s="17" t="n">
        <v>2009</v>
      </c>
      <c r="E900" s="5" t="inlineStr">
        <is>
          <t>Dolly Ahluwalia</t>
        </is>
      </c>
      <c r="F900" s="5" t="inlineStr">
        <is>
          <t>Mrs. Neha Kaur</t>
        </is>
      </c>
      <c r="G900" s="5" t="inlineStr">
        <is>
          <t>Family</t>
        </is>
      </c>
      <c r="H900" s="5" t="inlineStr">
        <is>
          <t>Minor</t>
        </is>
      </c>
      <c r="I900" s="5" t="inlineStr">
        <is>
          <t>His wife's grandmother, in the family that opposed him.</t>
        </is>
      </c>
      <c r="J900" s="5" t="inlineStr">
        <is>
          <t>Part of the household the remembered courtship was conducted against.</t>
        </is>
      </c>
      <c r="K900" s="19" t="inlineStr">
        <is>
          <t>Credited as Harleen's grandmother, in the Punjabi family the young Veer presented himself to.</t>
        </is>
      </c>
      <c r="L900" s="5" t="n"/>
      <c r="M900" s="5" t="inlineStr">
        <is>
          <t>SOURCE-123</t>
        </is>
      </c>
    </row>
    <row r="901" ht="34" customHeight="1">
      <c r="A901" s="15" t="inlineStr">
        <is>
          <t>CAST-900</t>
        </is>
      </c>
      <c r="B901" s="18" t="inlineStr">
        <is>
          <t>FILM-131</t>
        </is>
      </c>
      <c r="C901" s="5" t="inlineStr">
        <is>
          <t>Love Aaj Kal</t>
        </is>
      </c>
      <c r="D901" s="17" t="n">
        <v>2009</v>
      </c>
      <c r="E901" s="5" t="inlineStr">
        <is>
          <t>Vir Das</t>
        </is>
      </c>
      <c r="F901" s="5" t="inlineStr">
        <is>
          <t>Shonty</t>
        </is>
      </c>
      <c r="G901" s="5" t="inlineStr">
        <is>
          <t>Friend</t>
        </is>
      </c>
      <c r="H901" s="5" t="inlineStr">
        <is>
          <t>Minor</t>
        </is>
      </c>
      <c r="I901" s="5" t="inlineStr">
        <is>
          <t>A friend in the present-day London circle he counsels.</t>
        </is>
      </c>
      <c r="J901" s="5" t="inlineStr">
        <is>
          <t>Part of the modern world the older romance is held up against.</t>
        </is>
      </c>
      <c r="K901" s="19" t="inlineStr">
        <is>
          <t>Credited as Shonty, in Jai's circle of friends in the film's present-day half.</t>
        </is>
      </c>
      <c r="L901" s="5" t="n"/>
      <c r="M901" s="5" t="inlineStr">
        <is>
          <t>SOURCE-123</t>
        </is>
      </c>
    </row>
    <row r="902" ht="49" customHeight="1">
      <c r="A902" s="15" t="inlineStr">
        <is>
          <t>CAST-901</t>
        </is>
      </c>
      <c r="B902" s="18" t="inlineStr">
        <is>
          <t>FILM-132</t>
        </is>
      </c>
      <c r="C902" s="5" t="inlineStr">
        <is>
          <t>Chintu Ji</t>
        </is>
      </c>
      <c r="D902" s="17" t="n">
        <v>2009</v>
      </c>
      <c r="E902" s="5" t="inlineStr">
        <is>
          <t>Priyanshu Chatterjee</t>
        </is>
      </c>
      <c r="F902" s="5" t="inlineStr">
        <is>
          <t>Arun Bakshi</t>
        </is>
      </c>
      <c r="G902" s="5" t="inlineStr">
        <is>
          <t>Co-lead</t>
        </is>
      </c>
      <c r="H902" s="5" t="inlineStr">
        <is>
          <t>Major</t>
        </is>
      </c>
      <c r="I902" s="5" t="inlineStr">
        <is>
          <t>The villager whose life the star's arrival overturns.</t>
        </is>
      </c>
      <c r="J902" s="5" t="inlineStr">
        <is>
          <t>Holds the film's romance; Kapoor's own role has none.</t>
        </is>
      </c>
      <c r="K902" s="19" t="inlineStr">
        <is>
          <t>Credited in a double identity as Arun Bakshi and Mohit Baghel, the young man of Hadbahedi through whom the village's dealings with the visiting star are conducted.</t>
        </is>
      </c>
      <c r="L902" s="5" t="n"/>
      <c r="M902" s="5" t="inlineStr">
        <is>
          <t>SOURCE-124</t>
        </is>
      </c>
    </row>
    <row r="903" ht="49" customHeight="1">
      <c r="A903" s="15" t="inlineStr">
        <is>
          <t>CAST-902</t>
        </is>
      </c>
      <c r="B903" s="18" t="inlineStr">
        <is>
          <t>FILM-132</t>
        </is>
      </c>
      <c r="C903" s="5" t="inlineStr">
        <is>
          <t>Chintu Ji</t>
        </is>
      </c>
      <c r="D903" s="17" t="n">
        <v>2009</v>
      </c>
      <c r="E903" s="5" t="inlineStr">
        <is>
          <t>Kulraj Randhawa</t>
        </is>
      </c>
      <c r="F903" s="5" t="inlineStr">
        <is>
          <t>Devika Malhotra / Mohini Bakshi</t>
        </is>
      </c>
      <c r="G903" s="5" t="inlineStr">
        <is>
          <t>Co-lead</t>
        </is>
      </c>
      <c r="H903" s="5" t="inlineStr">
        <is>
          <t>Major</t>
        </is>
      </c>
      <c r="I903" s="5" t="inlineStr">
        <is>
          <t>The film's heroine, in the village the star has come to exploit.</t>
        </is>
      </c>
      <c r="J903" s="5" t="inlineStr">
        <is>
          <t>The romance of the village plot.</t>
        </is>
      </c>
      <c r="K903" s="19" t="inlineStr">
        <is>
          <t>Credited in two names, as Devika Malhotra and Mohini Bakshi, the heroine of the village story the star's film shoot disrupts.</t>
        </is>
      </c>
      <c r="L903" s="5" t="n"/>
      <c r="M903" s="5" t="inlineStr">
        <is>
          <t>SOURCE-124</t>
        </is>
      </c>
    </row>
    <row r="904" ht="49" customHeight="1">
      <c r="A904" s="15" t="inlineStr">
        <is>
          <t>CAST-903</t>
        </is>
      </c>
      <c r="B904" s="18" t="inlineStr">
        <is>
          <t>FILM-132</t>
        </is>
      </c>
      <c r="C904" s="5" t="inlineStr">
        <is>
          <t>Chintu Ji</t>
        </is>
      </c>
      <c r="D904" s="17" t="n">
        <v>2009</v>
      </c>
      <c r="E904" s="5" t="inlineStr">
        <is>
          <t>Saurabh Shukla</t>
        </is>
      </c>
      <c r="F904" s="5" t="inlineStr">
        <is>
          <t>Malkani</t>
        </is>
      </c>
      <c r="G904" s="5" t="inlineStr">
        <is>
          <t>Supporting</t>
        </is>
      </c>
      <c r="H904" s="5" t="inlineStr">
        <is>
          <t>Major</t>
        </is>
      </c>
      <c r="I904" s="5" t="inlineStr">
        <is>
          <t>The producer-director with whom he shoots his film in the village.</t>
        </is>
      </c>
      <c r="J904" s="5" t="inlineStr">
        <is>
          <t>No part in the romance.</t>
        </is>
      </c>
      <c r="K904" s="19" t="inlineStr">
        <is>
          <t>The producer and director of 'Khooni Khazana', the film the star shoots in Hadbahedi while pursuing his political ambitions.</t>
        </is>
      </c>
      <c r="L904" s="5" t="n"/>
      <c r="M904" s="5" t="inlineStr">
        <is>
          <t>SOURCE-124</t>
        </is>
      </c>
    </row>
    <row r="905" ht="49" customHeight="1">
      <c r="A905" s="15" t="inlineStr">
        <is>
          <t>CAST-904</t>
        </is>
      </c>
      <c r="B905" s="18" t="inlineStr">
        <is>
          <t>FILM-132</t>
        </is>
      </c>
      <c r="C905" s="5" t="inlineStr">
        <is>
          <t>Chintu Ji</t>
        </is>
      </c>
      <c r="D905" s="17" t="n">
        <v>2009</v>
      </c>
      <c r="E905" s="5" t="inlineStr">
        <is>
          <t>Swadesh Badhu</t>
        </is>
      </c>
      <c r="F905" s="5" t="inlineStr">
        <is>
          <t>Chaudhryji</t>
        </is>
      </c>
      <c r="G905" s="5" t="inlineStr">
        <is>
          <t>Authority figure</t>
        </is>
      </c>
      <c r="H905" s="5" t="inlineStr">
        <is>
          <t>Medium</t>
        </is>
      </c>
      <c r="I905" s="5" t="inlineStr">
        <is>
          <t>A village elder among the people he misleads.</t>
        </is>
      </c>
      <c r="J905" s="5" t="inlineStr">
        <is>
          <t>No part in the romance.</t>
        </is>
      </c>
      <c r="K905" s="19" t="inlineStr">
        <is>
          <t>Credited as Chaudhryji, among the villagers who assist the star with all their might on the promise that he means to stay.</t>
        </is>
      </c>
      <c r="L905" s="5" t="n"/>
      <c r="M905" s="5" t="inlineStr">
        <is>
          <t>SOURCE-124</t>
        </is>
      </c>
    </row>
    <row r="906" ht="34" customHeight="1">
      <c r="A906" s="15" t="inlineStr">
        <is>
          <t>CAST-905</t>
        </is>
      </c>
      <c r="B906" s="18" t="inlineStr">
        <is>
          <t>FILM-132</t>
        </is>
      </c>
      <c r="C906" s="5" t="inlineStr">
        <is>
          <t>Chintu Ji</t>
        </is>
      </c>
      <c r="D906" s="17" t="n">
        <v>2009</v>
      </c>
      <c r="E906" s="5" t="inlineStr">
        <is>
          <t>Annu Kapoor</t>
        </is>
      </c>
      <c r="F906" s="5" t="inlineStr">
        <is>
          <t>Amar Sanghvi</t>
        </is>
      </c>
      <c r="G906" s="5" t="inlineStr">
        <is>
          <t>Supporting</t>
        </is>
      </c>
      <c r="H906" s="5" t="inlineStr">
        <is>
          <t>Medium</t>
        </is>
      </c>
      <c r="I906" s="5" t="inlineStr">
        <is>
          <t>A credited figure in the dealings around the star's arrangements.</t>
        </is>
      </c>
      <c r="J906" s="5" t="inlineStr">
        <is>
          <t>No part in the romance.</t>
        </is>
      </c>
      <c r="K906" s="19" t="inlineStr">
        <is>
          <t>Credited as Amar Sanghvi, in the business and political dealings the star conducts behind the village's back.</t>
        </is>
      </c>
      <c r="L906" s="5" t="n"/>
      <c r="M906" s="5" t="inlineStr">
        <is>
          <t>SOURCE-124</t>
        </is>
      </c>
    </row>
    <row r="907" ht="34" customHeight="1">
      <c r="A907" s="15" t="inlineStr">
        <is>
          <t>CAST-906</t>
        </is>
      </c>
      <c r="B907" s="18" t="inlineStr">
        <is>
          <t>FILM-132</t>
        </is>
      </c>
      <c r="C907" s="5" t="inlineStr">
        <is>
          <t>Chintu Ji</t>
        </is>
      </c>
      <c r="D907" s="17" t="n">
        <v>2009</v>
      </c>
      <c r="E907" s="5" t="inlineStr">
        <is>
          <t>Grusha Kapoor</t>
        </is>
      </c>
      <c r="F907" s="5" t="inlineStr">
        <is>
          <t>Kanta</t>
        </is>
      </c>
      <c r="G907" s="5" t="inlineStr">
        <is>
          <t>Supporting</t>
        </is>
      </c>
      <c r="H907" s="5" t="inlineStr">
        <is>
          <t>Medium</t>
        </is>
      </c>
      <c r="I907" s="5" t="inlineStr">
        <is>
          <t>A villager in the community the film crew offends.</t>
        </is>
      </c>
      <c r="J907" s="5" t="inlineStr">
        <is>
          <t>No part in the romance.</t>
        </is>
      </c>
      <c r="K907" s="19" t="inlineStr">
        <is>
          <t>Credited as Kanta, among the villagers whose valuables are stolen and whose women are molested by the visiting crew.</t>
        </is>
      </c>
      <c r="L907" s="5" t="n"/>
      <c r="M907" s="5" t="inlineStr">
        <is>
          <t>SOURCE-124</t>
        </is>
      </c>
    </row>
    <row r="908" ht="34" customHeight="1">
      <c r="A908" s="15" t="inlineStr">
        <is>
          <t>CAST-907</t>
        </is>
      </c>
      <c r="B908" s="18" t="inlineStr">
        <is>
          <t>FILM-132</t>
        </is>
      </c>
      <c r="C908" s="5" t="inlineStr">
        <is>
          <t>Chintu Ji</t>
        </is>
      </c>
      <c r="D908" s="17" t="n">
        <v>2009</v>
      </c>
      <c r="E908" s="5" t="inlineStr">
        <is>
          <t>Sophie Choudry</t>
        </is>
      </c>
      <c r="F908" s="5" t="inlineStr">
        <is>
          <t>Menka</t>
        </is>
      </c>
      <c r="G908" s="5" t="inlineStr">
        <is>
          <t>Cameo</t>
        </is>
      </c>
      <c r="H908" s="5" t="inlineStr">
        <is>
          <t>Minor</t>
        </is>
      </c>
      <c r="I908" s="5" t="inlineStr">
        <is>
          <t>A credited appearance in the film-within-the-film's world.</t>
        </is>
      </c>
      <c r="J908" s="5" t="inlineStr">
        <is>
          <t>No part in the romance.</t>
        </is>
      </c>
      <c r="K908" s="19" t="inlineStr">
        <is>
          <t>Credited as Menka, in the film-shoot half of a satire about a star's village politics.</t>
        </is>
      </c>
      <c r="L908" s="5" t="n"/>
      <c r="M908" s="5" t="inlineStr">
        <is>
          <t>SOURCE-124</t>
        </is>
      </c>
    </row>
    <row r="909" ht="79" customHeight="1">
      <c r="A909" s="15" t="inlineStr">
        <is>
          <t>CAST-908</t>
        </is>
      </c>
      <c r="B909" s="18" t="inlineStr">
        <is>
          <t>FILM-133</t>
        </is>
      </c>
      <c r="C909" s="5" t="inlineStr">
        <is>
          <t>Sadiyaan</t>
        </is>
      </c>
      <c r="D909" s="17" t="n">
        <v>2010</v>
      </c>
      <c r="E909" s="5" t="inlineStr">
        <is>
          <t>Rekha</t>
        </is>
      </c>
      <c r="F909" s="5" t="inlineStr">
        <is>
          <t>Amrit R. Singh</t>
        </is>
      </c>
      <c r="G909" s="5" t="inlineStr">
        <is>
          <t>Co-lead</t>
        </is>
      </c>
      <c r="H909" s="5" t="inlineStr">
        <is>
          <t>Major</t>
        </is>
      </c>
      <c r="I909" s="5" t="inlineStr">
        <is>
          <t>His wife, with whom he raises the foundling and later goes to find the boy's real parents.</t>
        </is>
      </c>
      <c r="J909" s="5" t="inlineStr">
        <is>
          <t>The filmography records only a minor romance for Kapoor here, and the article describes the couple as parents rather than lovers, which is why there is no Romances row.</t>
        </is>
      </c>
      <c r="K909" s="19" t="inlineStr">
        <is>
          <t>Displaced from Lahore in 1947, she finds an abandoned Muslim infant in the Amritsar house allotted to them, raises him as her own son Ishaan, and twenty years later tells him the truth and sets out to trace his birth family.</t>
        </is>
      </c>
      <c r="L909" s="5" t="n"/>
      <c r="M909" s="5" t="inlineStr">
        <is>
          <t>SOURCE-125</t>
        </is>
      </c>
    </row>
    <row r="910" ht="64" customHeight="1">
      <c r="A910" s="15" t="inlineStr">
        <is>
          <t>CAST-909</t>
        </is>
      </c>
      <c r="B910" s="18" t="inlineStr">
        <is>
          <t>FILM-133</t>
        </is>
      </c>
      <c r="C910" s="5" t="inlineStr">
        <is>
          <t>Sadiyaan</t>
        </is>
      </c>
      <c r="D910" s="17" t="n">
        <v>2010</v>
      </c>
      <c r="E910" s="5" t="inlineStr">
        <is>
          <t>Luv Sinha</t>
        </is>
      </c>
      <c r="F910" s="5" t="inlineStr">
        <is>
          <t>Ishaan R. Singh</t>
        </is>
      </c>
      <c r="G910" s="5" t="inlineStr">
        <is>
          <t>Co-lead</t>
        </is>
      </c>
      <c r="H910" s="5" t="inlineStr">
        <is>
          <t>Major</t>
        </is>
      </c>
      <c r="I910" s="5" t="inlineStr">
        <is>
          <t>The foundling he raised as his son, and who refuses to believe he is not.</t>
        </is>
      </c>
      <c r="J910" s="5" t="inlineStr">
        <is>
          <t>Holds the film's romance; Kapoor's part is the father's.</t>
        </is>
      </c>
      <c r="K910" s="19" t="inlineStr">
        <is>
          <t>A boy found abandoned in a Partition-emptied house and raised a Sikh, who falls in love with a Kashmiri Muslim girl and is told, when her family refuses him, that he was born a Muslim himself; the actor's debut.</t>
        </is>
      </c>
      <c r="L910" s="5" t="n"/>
      <c r="M910" s="5" t="inlineStr">
        <is>
          <t>SOURCE-125</t>
        </is>
      </c>
    </row>
    <row r="911" ht="64" customHeight="1">
      <c r="A911" s="15" t="inlineStr">
        <is>
          <t>CAST-910</t>
        </is>
      </c>
      <c r="B911" s="18" t="inlineStr">
        <is>
          <t>FILM-133</t>
        </is>
      </c>
      <c r="C911" s="5" t="inlineStr">
        <is>
          <t>Sadiyaan</t>
        </is>
      </c>
      <c r="D911" s="17" t="n">
        <v>2010</v>
      </c>
      <c r="E911" s="5" t="inlineStr">
        <is>
          <t>Feryna Wazheir</t>
        </is>
      </c>
      <c r="F911" s="5" t="inlineStr">
        <is>
          <t>Chandni Noor Mohammed</t>
        </is>
      </c>
      <c r="G911" s="5" t="inlineStr">
        <is>
          <t>Co-lead</t>
        </is>
      </c>
      <c r="H911" s="5" t="inlineStr">
        <is>
          <t>Major</t>
        </is>
      </c>
      <c r="I911" s="5" t="inlineStr">
        <is>
          <t>The woman his son loves, whose family refuses a Sikh.</t>
        </is>
      </c>
      <c r="J911" s="5" t="inlineStr">
        <is>
          <t>The film's romance, which his disclosure is meant to rescue.</t>
        </is>
      </c>
      <c r="K911" s="19" t="inlineStr">
        <is>
          <t>A Kashmiri girl met at a summer camp, whose father and uncle tell her suitor to forget her because he is a Sikh, and whose parents will not accept the truth about him without proof.</t>
        </is>
      </c>
      <c r="L911" s="5" t="n"/>
      <c r="M911" s="5" t="inlineStr">
        <is>
          <t>SOURCE-125</t>
        </is>
      </c>
    </row>
    <row r="912" ht="49" customHeight="1">
      <c r="A912" s="15" t="inlineStr">
        <is>
          <t>CAST-911</t>
        </is>
      </c>
      <c r="B912" s="18" t="inlineStr">
        <is>
          <t>FILM-133</t>
        </is>
      </c>
      <c r="C912" s="5" t="inlineStr">
        <is>
          <t>Sadiyaan</t>
        </is>
      </c>
      <c r="D912" s="17" t="n">
        <v>2010</v>
      </c>
      <c r="E912" s="5" t="inlineStr">
        <is>
          <t>Hema Malini</t>
        </is>
      </c>
      <c r="F912" s="5" t="inlineStr">
        <is>
          <t>Benazir Shahbuddin</t>
        </is>
      </c>
      <c r="G912" s="5" t="inlineStr">
        <is>
          <t>Family</t>
        </is>
      </c>
      <c r="H912" s="5" t="inlineStr">
        <is>
          <t>Major</t>
        </is>
      </c>
      <c r="I912" s="5" t="inlineStr">
        <is>
          <t>The boy's birth mother, whom he and his wife track down.</t>
        </is>
      </c>
      <c r="J912" s="5" t="inlineStr">
        <is>
          <t>The proof the romance requires.</t>
        </is>
      </c>
      <c r="K912" s="19" t="inlineStr">
        <is>
          <t>Ishaan's real mother, who fled to Pakistan in the riots leaving her infant behind, and who comes with his father when the old couple find them.</t>
        </is>
      </c>
      <c r="L912" s="5" t="n"/>
      <c r="M912" s="5" t="inlineStr">
        <is>
          <t>SOURCE-125</t>
        </is>
      </c>
    </row>
    <row r="913" ht="34" customHeight="1">
      <c r="A913" s="15" t="inlineStr">
        <is>
          <t>CAST-912</t>
        </is>
      </c>
      <c r="B913" s="18" t="inlineStr">
        <is>
          <t>FILM-133</t>
        </is>
      </c>
      <c r="C913" s="5" t="inlineStr">
        <is>
          <t>Sadiyaan</t>
        </is>
      </c>
      <c r="D913" s="17" t="n">
        <v>2010</v>
      </c>
      <c r="E913" s="5" t="inlineStr">
        <is>
          <t>Jawed Sheikh</t>
        </is>
      </c>
      <c r="F913" s="5" t="inlineStr">
        <is>
          <t>Pervez Shahbuddin</t>
        </is>
      </c>
      <c r="G913" s="5" t="inlineStr">
        <is>
          <t>Family</t>
        </is>
      </c>
      <c r="H913" s="5" t="inlineStr">
        <is>
          <t>Major</t>
        </is>
      </c>
      <c r="I913" s="5" t="inlineStr">
        <is>
          <t>The boy's birth father, traced across the border.</t>
        </is>
      </c>
      <c r="J913" s="5" t="inlineStr">
        <is>
          <t>The other half of the proof the romance needs.</t>
        </is>
      </c>
      <c r="K913" s="19" t="inlineStr">
        <is>
          <t>Ishaan's real father, who owned the Amritsar house the Singhs were given and fled to Pakistan in the communal violence.</t>
        </is>
      </c>
      <c r="L913" s="5" t="n"/>
      <c r="M913" s="5" t="inlineStr">
        <is>
          <t>SOURCE-125</t>
        </is>
      </c>
    </row>
    <row r="914" ht="49" customHeight="1">
      <c r="A914" s="15" t="inlineStr">
        <is>
          <t>CAST-913</t>
        </is>
      </c>
      <c r="B914" s="18" t="inlineStr">
        <is>
          <t>FILM-133</t>
        </is>
      </c>
      <c r="C914" s="5" t="inlineStr">
        <is>
          <t>Sadiyaan</t>
        </is>
      </c>
      <c r="D914" s="17" t="n">
        <v>2010</v>
      </c>
      <c r="E914" s="5" t="inlineStr">
        <is>
          <t>Deep Dhillon</t>
        </is>
      </c>
      <c r="F914" s="5" t="inlineStr">
        <is>
          <t>Imran Noor Mohammed</t>
        </is>
      </c>
      <c r="G914" s="5" t="inlineStr">
        <is>
          <t>Antagonist</t>
        </is>
      </c>
      <c r="H914" s="5" t="inlineStr">
        <is>
          <t>Medium</t>
        </is>
      </c>
      <c r="I914" s="5" t="inlineStr">
        <is>
          <t>The father of his son's beloved, who refuses the match on religious grounds.</t>
        </is>
      </c>
      <c r="J914" s="5" t="inlineStr">
        <is>
          <t>The external opposition the disclosure is aimed at.</t>
        </is>
      </c>
      <c r="K914" s="19" t="inlineStr">
        <is>
          <t>Chandni's father, who with her uncle tells Ishaan to forget her because he is a Sikh.</t>
        </is>
      </c>
      <c r="L914" s="5" t="n"/>
      <c r="M914" s="5" t="inlineStr">
        <is>
          <t>SOURCE-125</t>
        </is>
      </c>
    </row>
    <row r="915" ht="34" customHeight="1">
      <c r="A915" s="15" t="inlineStr">
        <is>
          <t>CAST-914</t>
        </is>
      </c>
      <c r="B915" s="18" t="inlineStr">
        <is>
          <t>FILM-133</t>
        </is>
      </c>
      <c r="C915" s="5" t="inlineStr">
        <is>
          <t>Sadiyaan</t>
        </is>
      </c>
      <c r="D915" s="17" t="n">
        <v>2010</v>
      </c>
      <c r="E915" s="5" t="inlineStr">
        <is>
          <t>Gurpreet Ghuggi</t>
        </is>
      </c>
      <c r="F915" s="5" t="inlineStr">
        <is>
          <t>Professor Harbhajan Chandok</t>
        </is>
      </c>
      <c r="G915" s="5" t="inlineStr">
        <is>
          <t>Comic support</t>
        </is>
      </c>
      <c r="H915" s="5" t="inlineStr">
        <is>
          <t>Minor</t>
        </is>
      </c>
      <c r="I915" s="5" t="inlineStr">
        <is>
          <t>A comic figure in the Amritsar world of the family.</t>
        </is>
      </c>
      <c r="J915" s="5" t="inlineStr">
        <is>
          <t>Comic attendance on the romance.</t>
        </is>
      </c>
      <c r="K915" s="19" t="inlineStr">
        <is>
          <t>Credited as Professor Harbhajan Chandok, with Vivek Shauq and Shakeel Siddiqui in the same register.</t>
        </is>
      </c>
      <c r="L915" s="5" t="n"/>
      <c r="M915" s="5" t="inlineStr">
        <is>
          <t>SOURCE-125</t>
        </is>
      </c>
    </row>
    <row r="916" ht="64" customHeight="1">
      <c r="A916" s="15" t="inlineStr">
        <is>
          <t>CAST-915</t>
        </is>
      </c>
      <c r="B916" s="18" t="inlineStr">
        <is>
          <t>FILM-134</t>
        </is>
      </c>
      <c r="C916" s="5" t="inlineStr">
        <is>
          <t>Do Dooni Chaar</t>
        </is>
      </c>
      <c r="D916" s="17" t="n">
        <v>2010</v>
      </c>
      <c r="E916" s="5" t="inlineStr">
        <is>
          <t>Neetu Kapoor</t>
        </is>
      </c>
      <c r="F916" s="5" t="inlineStr">
        <is>
          <t>Kusum Duggal</t>
        </is>
      </c>
      <c r="G916" s="5" t="inlineStr">
        <is>
          <t>Co-lead</t>
        </is>
      </c>
      <c r="H916" s="5" t="inlineStr">
        <is>
          <t>Major</t>
        </is>
      </c>
      <c r="I916" s="5" t="inlineStr">
        <is>
          <t>His wife, who gave up her job at his insistence and runs the household on his teacher's salary.</t>
        </is>
      </c>
      <c r="J916" s="5" t="inlineStr">
        <is>
          <t>The whole of the pairing in Romances, a long settled marriage under ordinary financial strain.</t>
        </is>
      </c>
      <c r="K916" s="19" t="inlineStr">
        <is>
          <t>A stay-at-home housewife who left her job when her husband asked her to, penny-pinching through a hand-to-mouth existence in a one-bedroom Lajpat Nagar flat with two teenage children.</t>
        </is>
      </c>
      <c r="L916" s="5" t="inlineStr">
        <is>
          <t>Neetu Kapoor's return to the screen after decades, opposite her husband, in the pairing the film's publicity was built on.</t>
        </is>
      </c>
      <c r="M916" s="5" t="inlineStr">
        <is>
          <t>SOURCE-126</t>
        </is>
      </c>
    </row>
    <row r="917" ht="49" customHeight="1">
      <c r="A917" s="15" t="inlineStr">
        <is>
          <t>CAST-916</t>
        </is>
      </c>
      <c r="B917" s="18" t="inlineStr">
        <is>
          <t>FILM-134</t>
        </is>
      </c>
      <c r="C917" s="5" t="inlineStr">
        <is>
          <t>Do Dooni Chaar</t>
        </is>
      </c>
      <c r="D917" s="17" t="n">
        <v>2010</v>
      </c>
      <c r="E917" s="5" t="inlineStr">
        <is>
          <t>Aditi Vasudev</t>
        </is>
      </c>
      <c r="F917" s="5" t="inlineStr">
        <is>
          <t>Payal Duggal</t>
        </is>
      </c>
      <c r="G917" s="5" t="inlineStr">
        <is>
          <t>Family</t>
        </is>
      </c>
      <c r="H917" s="5" t="inlineStr">
        <is>
          <t>Major</t>
        </is>
      </c>
      <c r="I917" s="5" t="inlineStr">
        <is>
          <t>His college-going daughter, and the film's narrator.</t>
        </is>
      </c>
      <c r="J917" s="5" t="inlineStr">
        <is>
          <t>Narrates the marriage from inside the household.</t>
        </is>
      </c>
      <c r="K917" s="19" t="inlineStr">
        <is>
          <t>The tomboyish college-going daughter who narrates the film, one of the two children whose expectations of a comfortable life their father keeps falling short of.</t>
        </is>
      </c>
      <c r="L917" s="5" t="n"/>
      <c r="M917" s="5" t="inlineStr">
        <is>
          <t>SOURCE-126</t>
        </is>
      </c>
    </row>
    <row r="918" ht="34" customHeight="1">
      <c r="A918" s="15" t="inlineStr">
        <is>
          <t>CAST-917</t>
        </is>
      </c>
      <c r="B918" s="18" t="inlineStr">
        <is>
          <t>FILM-134</t>
        </is>
      </c>
      <c r="C918" s="5" t="inlineStr">
        <is>
          <t>Do Dooni Chaar</t>
        </is>
      </c>
      <c r="D918" s="17" t="n">
        <v>2010</v>
      </c>
      <c r="E918" s="5" t="inlineStr">
        <is>
          <t>Archit Krishna</t>
        </is>
      </c>
      <c r="F918" s="5" t="inlineStr">
        <is>
          <t>Sandeep Duggal</t>
        </is>
      </c>
      <c r="G918" s="5" t="inlineStr">
        <is>
          <t>Family</t>
        </is>
      </c>
      <c r="H918" s="5" t="inlineStr">
        <is>
          <t>Major</t>
        </is>
      </c>
      <c r="I918" s="5" t="inlineStr">
        <is>
          <t>His school-going son, in the one-bedroom flat.</t>
        </is>
      </c>
      <c r="J918" s="5" t="inlineStr">
        <is>
          <t>Part of the household the marriage is measured through.</t>
        </is>
      </c>
      <c r="K918" s="19" t="inlineStr">
        <is>
          <t>The high-schooler son, called Deepu or Sandy, whose wants are part of the pressure on his father's salary.</t>
        </is>
      </c>
      <c r="L918" s="5" t="n"/>
      <c r="M918" s="5" t="inlineStr">
        <is>
          <t>SOURCE-126</t>
        </is>
      </c>
    </row>
    <row r="919" ht="49" customHeight="1">
      <c r="A919" s="15" t="inlineStr">
        <is>
          <t>CAST-918</t>
        </is>
      </c>
      <c r="B919" s="18" t="inlineStr">
        <is>
          <t>FILM-134</t>
        </is>
      </c>
      <c r="C919" s="5" t="inlineStr">
        <is>
          <t>Do Dooni Chaar</t>
        </is>
      </c>
      <c r="D919" s="17" t="n">
        <v>2010</v>
      </c>
      <c r="E919" s="5" t="inlineStr">
        <is>
          <t>Supriya Shukla</t>
        </is>
      </c>
      <c r="F919" s="5" t="inlineStr">
        <is>
          <t>Urmi, called Fuppu</t>
        </is>
      </c>
      <c r="G919" s="5" t="inlineStr">
        <is>
          <t>Family</t>
        </is>
      </c>
      <c r="H919" s="5" t="inlineStr">
        <is>
          <t>Major</t>
        </is>
      </c>
      <c r="I919" s="5" t="inlineStr">
        <is>
          <t>His sister, whose wedding invitation and expectations start the film's crisis.</t>
        </is>
      </c>
      <c r="J919" s="5" t="inlineStr">
        <is>
          <t>The external pressure the marriage has to absorb.</t>
        </is>
      </c>
      <c r="K919" s="19" t="inlineStr">
        <is>
          <t>Santosh's sister in Meerut, whose telephone call about her sister-in-law's wedding sets off the question of how the family will arrive and what they will arrive in.</t>
        </is>
      </c>
      <c r="L919" s="5" t="n"/>
      <c r="M919" s="5" t="inlineStr">
        <is>
          <t>SOURCE-126</t>
        </is>
      </c>
    </row>
    <row r="920" ht="34" customHeight="1">
      <c r="A920" s="15" t="inlineStr">
        <is>
          <t>CAST-919</t>
        </is>
      </c>
      <c r="B920" s="18" t="inlineStr">
        <is>
          <t>FILM-134</t>
        </is>
      </c>
      <c r="C920" s="5" t="inlineStr">
        <is>
          <t>Do Dooni Chaar</t>
        </is>
      </c>
      <c r="D920" s="17" t="n">
        <v>2010</v>
      </c>
      <c r="E920" s="5" t="inlineStr">
        <is>
          <t>Akhilendra Mishra</t>
        </is>
      </c>
      <c r="F920" s="5" t="inlineStr">
        <is>
          <t>Farooqui</t>
        </is>
      </c>
      <c r="G920" s="5" t="inlineStr">
        <is>
          <t>Supporting</t>
        </is>
      </c>
      <c r="H920" s="5" t="inlineStr">
        <is>
          <t>Medium</t>
        </is>
      </c>
      <c r="I920" s="5" t="inlineStr">
        <is>
          <t>A credited figure in the family's neighbourhood and school world.</t>
        </is>
      </c>
      <c r="J920" s="5" t="inlineStr">
        <is>
          <t>No direct part in the pairing.</t>
        </is>
      </c>
      <c r="K920" s="19" t="inlineStr">
        <is>
          <t>Credited as Farooqui, with Natasha Rastogi as Salma Farooqui, in the world around the teacher's household.</t>
        </is>
      </c>
      <c r="L920" s="5" t="n"/>
      <c r="M920" s="5" t="inlineStr">
        <is>
          <t>SOURCE-126</t>
        </is>
      </c>
    </row>
    <row r="921" ht="34" customHeight="1">
      <c r="A921" s="15" t="inlineStr">
        <is>
          <t>CAST-920</t>
        </is>
      </c>
      <c r="B921" s="18" t="inlineStr">
        <is>
          <t>FILM-134</t>
        </is>
      </c>
      <c r="C921" s="5" t="inlineStr">
        <is>
          <t>Do Dooni Chaar</t>
        </is>
      </c>
      <c r="D921" s="17" t="n">
        <v>2010</v>
      </c>
      <c r="E921" s="5" t="inlineStr">
        <is>
          <t>Natasha Rastogi</t>
        </is>
      </c>
      <c r="F921" s="5" t="inlineStr">
        <is>
          <t>Salma Farooqui</t>
        </is>
      </c>
      <c r="G921" s="5" t="inlineStr">
        <is>
          <t>Supporting</t>
        </is>
      </c>
      <c r="H921" s="5" t="inlineStr">
        <is>
          <t>Medium</t>
        </is>
      </c>
      <c r="I921" s="5" t="inlineStr">
        <is>
          <t>A credited neighbour of the household.</t>
        </is>
      </c>
      <c r="J921" s="5" t="inlineStr">
        <is>
          <t>No direct part in the pairing.</t>
        </is>
      </c>
      <c r="K921" s="19" t="inlineStr">
        <is>
          <t>Credited as Salma Farooqui, opposite Akhilendra Mishra's Farooqui, in the film's neighbourhood texture.</t>
        </is>
      </c>
      <c r="L921" s="5" t="n"/>
      <c r="M921" s="5" t="inlineStr">
        <is>
          <t>SOURCE-126</t>
        </is>
      </c>
    </row>
    <row r="922" ht="34" customHeight="1">
      <c r="A922" s="15" t="inlineStr">
        <is>
          <t>CAST-921</t>
        </is>
      </c>
      <c r="B922" s="18" t="inlineStr">
        <is>
          <t>FILM-134</t>
        </is>
      </c>
      <c r="C922" s="5" t="inlineStr">
        <is>
          <t>Do Dooni Chaar</t>
        </is>
      </c>
      <c r="D922" s="17" t="n">
        <v>2010</v>
      </c>
      <c r="E922" s="5" t="inlineStr">
        <is>
          <t>Mohit Chadda</t>
        </is>
      </c>
      <c r="F922" s="5" t="inlineStr">
        <is>
          <t>Rahul</t>
        </is>
      </c>
      <c r="G922" s="5" t="inlineStr">
        <is>
          <t>Supporting</t>
        </is>
      </c>
      <c r="H922" s="5" t="inlineStr">
        <is>
          <t>Minor</t>
        </is>
      </c>
      <c r="I922" s="5" t="inlineStr">
        <is>
          <t>A credited figure in the daughter's college world.</t>
        </is>
      </c>
      <c r="J922" s="5" t="inlineStr">
        <is>
          <t>No direct part in the pairing.</t>
        </is>
      </c>
      <c r="K922" s="19" t="inlineStr">
        <is>
          <t>Credited as Rahul, in the younger generation's half of a domestic film.</t>
        </is>
      </c>
      <c r="L922" s="5" t="n"/>
      <c r="M922" s="5" t="inlineStr">
        <is>
          <t>SOURCE-126</t>
        </is>
      </c>
    </row>
    <row r="923" ht="64" customHeight="1">
      <c r="A923" s="15" t="inlineStr">
        <is>
          <t>CAST-922</t>
        </is>
      </c>
      <c r="B923" s="18" t="inlineStr">
        <is>
          <t>FILM-135</t>
        </is>
      </c>
      <c r="C923" s="5" t="inlineStr">
        <is>
          <t>Patiala House</t>
        </is>
      </c>
      <c r="D923" s="17" t="n">
        <v>2011</v>
      </c>
      <c r="E923" s="5" t="inlineStr">
        <is>
          <t>Akshay Kumar</t>
        </is>
      </c>
      <c r="F923" s="5" t="inlineStr">
        <is>
          <t>Parghat Singh Kahlon, called Gattu or Kaali</t>
        </is>
      </c>
      <c r="G923" s="5" t="inlineStr">
        <is>
          <t>Co-lead</t>
        </is>
      </c>
      <c r="H923" s="5" t="inlineStr">
        <is>
          <t>Major</t>
        </is>
      </c>
      <c r="I923" s="5" t="inlineStr">
        <is>
          <t>His son, whose cricket career he forbade and whose England place gives him a heart attack.</t>
        </is>
      </c>
      <c r="J923" s="5" t="inlineStr">
        <is>
          <t>Holds the film's younger romance; Kapoor's own pairing is the marriage.</t>
        </is>
      </c>
      <c r="K923" s="19" t="inlineStr">
        <is>
          <t>A gifted fast bowler who gave up playing for England because his father threatened suicide, living the life chosen for him, and persuaded by his siblings and his childhood friend to try again in secret.</t>
        </is>
      </c>
      <c r="L923" s="5" t="n"/>
      <c r="M923" s="5" t="inlineStr">
        <is>
          <t>SOURCE-127</t>
        </is>
      </c>
    </row>
    <row r="924" ht="49" customHeight="1">
      <c r="A924" s="15" t="inlineStr">
        <is>
          <t>CAST-923</t>
        </is>
      </c>
      <c r="B924" s="18" t="inlineStr">
        <is>
          <t>FILM-135</t>
        </is>
      </c>
      <c r="C924" s="5" t="inlineStr">
        <is>
          <t>Patiala House</t>
        </is>
      </c>
      <c r="D924" s="17" t="n">
        <v>2011</v>
      </c>
      <c r="E924" s="5" t="inlineStr">
        <is>
          <t>Dimple Kapadia</t>
        </is>
      </c>
      <c r="F924" s="5" t="inlineStr">
        <is>
          <t>Guneet Kaur Kahlon, called Bebe</t>
        </is>
      </c>
      <c r="G924" s="5" t="inlineStr">
        <is>
          <t>Co-lead</t>
        </is>
      </c>
      <c r="H924" s="5" t="inlineStr">
        <is>
          <t>Major</t>
        </is>
      </c>
      <c r="I924" s="5" t="inlineStr">
        <is>
          <t>His wife, who finally moves him; the fourth and last of their films together.</t>
        </is>
      </c>
      <c r="J924" s="5" t="inlineStr">
        <is>
          <t>The whole of the pairing in Romances, a long marriage that becomes the instrument of the reconciliation.</t>
        </is>
      </c>
      <c r="K924" s="19" t="inlineStr">
        <is>
          <t>The mother of the Kahlon house, who holds the family together across its father's prohibition and brings him to the stadium where he apologises to his son.</t>
        </is>
      </c>
      <c r="L924" s="5" t="inlineStr">
        <is>
          <t>The last of four films with Kapoor, thirty-eight years after Bobby.</t>
        </is>
      </c>
      <c r="M924" s="5" t="inlineStr">
        <is>
          <t>SOURCE-127</t>
        </is>
      </c>
    </row>
    <row r="925" ht="64" customHeight="1">
      <c r="A925" s="15" t="inlineStr">
        <is>
          <t>CAST-924</t>
        </is>
      </c>
      <c r="B925" s="18" t="inlineStr">
        <is>
          <t>FILM-135</t>
        </is>
      </c>
      <c r="C925" s="5" t="inlineStr">
        <is>
          <t>Patiala House</t>
        </is>
      </c>
      <c r="D925" s="17" t="n">
        <v>2011</v>
      </c>
      <c r="E925" s="5" t="inlineStr">
        <is>
          <t>Anushka Sharma</t>
        </is>
      </c>
      <c r="F925" s="5" t="inlineStr">
        <is>
          <t>Simran Chaggal</t>
        </is>
      </c>
      <c r="G925" s="5" t="inlineStr">
        <is>
          <t>Supporting</t>
        </is>
      </c>
      <c r="H925" s="5" t="inlineStr">
        <is>
          <t>Major</t>
        </is>
      </c>
      <c r="I925" s="5" t="inlineStr">
        <is>
          <t>The childhood friend of his son, and one of those who talk him into playing.</t>
        </is>
      </c>
      <c r="J925" s="5" t="inlineStr">
        <is>
          <t>The younger romance, separate from Kapoor's marriage.</t>
        </is>
      </c>
      <c r="K925" s="19" t="inlineStr">
        <is>
          <t>Gattu's half-English, half-Punjabi childhood friend and later love interest, guardian to her adoptive younger brother Zeeshan, and one of the voices that persuades him to try for the team.</t>
        </is>
      </c>
      <c r="L925" s="5" t="n"/>
      <c r="M925" s="5" t="inlineStr">
        <is>
          <t>SOURCE-127</t>
        </is>
      </c>
    </row>
    <row r="926" ht="49" customHeight="1">
      <c r="A926" s="15" t="inlineStr">
        <is>
          <t>CAST-925</t>
        </is>
      </c>
      <c r="B926" s="18" t="inlineStr">
        <is>
          <t>FILM-135</t>
        </is>
      </c>
      <c r="C926" s="5" t="inlineStr">
        <is>
          <t>Patiala House</t>
        </is>
      </c>
      <c r="D926" s="17" t="n">
        <v>2011</v>
      </c>
      <c r="E926" s="5" t="inlineStr">
        <is>
          <t>Kumud Mishra</t>
        </is>
      </c>
      <c r="F926" s="5" t="inlineStr">
        <is>
          <t>Young Gurtej Singh Kahlon</t>
        </is>
      </c>
      <c r="G926" s="5" t="inlineStr">
        <is>
          <t>Cameo</t>
        </is>
      </c>
      <c r="H926" s="5" t="inlineStr">
        <is>
          <t>Minor</t>
        </is>
      </c>
      <c r="I926" s="5" t="inlineStr">
        <is>
          <t>Plays the younger form of Kapoor's own character, with Kapoor supplying the voice.</t>
        </is>
      </c>
      <c r="J926" s="5" t="inlineStr">
        <is>
          <t>Belongs to the flashbacks that explain the marriage and the prohibition.</t>
        </is>
      </c>
      <c r="K926" s="19" t="inlineStr">
        <is>
          <t>Credited as the young Bauji in the film's flashbacks to the racist attacks that shaped him, dubbed by Kapoor himself.</t>
        </is>
      </c>
      <c r="L926" s="5" t="n"/>
      <c r="M926" s="5" t="inlineStr">
        <is>
          <t>SOURCE-127</t>
        </is>
      </c>
    </row>
    <row r="927" ht="49" customHeight="1">
      <c r="A927" s="15" t="inlineStr">
        <is>
          <t>CAST-926</t>
        </is>
      </c>
      <c r="B927" s="18" t="inlineStr">
        <is>
          <t>FILM-135</t>
        </is>
      </c>
      <c r="C927" s="5" t="inlineStr">
        <is>
          <t>Patiala House</t>
        </is>
      </c>
      <c r="D927" s="17" t="n">
        <v>2011</v>
      </c>
      <c r="E927" s="5" t="inlineStr">
        <is>
          <t>Soni Razdan</t>
        </is>
      </c>
      <c r="F927" s="5" t="inlineStr">
        <is>
          <t>Dimple Bua</t>
        </is>
      </c>
      <c r="G927" s="5" t="inlineStr">
        <is>
          <t>Family</t>
        </is>
      </c>
      <c r="H927" s="5" t="inlineStr">
        <is>
          <t>Medium</t>
        </is>
      </c>
      <c r="I927" s="5" t="inlineStr">
        <is>
          <t>One of the extended household whose own ambitions his authority has suppressed.</t>
        </is>
      </c>
      <c r="J927" s="5" t="inlineStr">
        <is>
          <t>Part of the family the reconciliation frees.</t>
        </is>
      </c>
      <c r="K927" s="19" t="inlineStr">
        <is>
          <t>Credited as Dimple Bua, one of the Kahlon household whose plans are held back by the patriarch and released at the end.</t>
        </is>
      </c>
      <c r="L927" s="5" t="n"/>
      <c r="M927" s="5" t="inlineStr">
        <is>
          <t>SOURCE-127</t>
        </is>
      </c>
    </row>
    <row r="928" ht="34" customHeight="1">
      <c r="A928" s="15" t="inlineStr">
        <is>
          <t>CAST-927</t>
        </is>
      </c>
      <c r="B928" s="18" t="inlineStr">
        <is>
          <t>FILM-135</t>
        </is>
      </c>
      <c r="C928" s="5" t="inlineStr">
        <is>
          <t>Patiala House</t>
        </is>
      </c>
      <c r="D928" s="17" t="n">
        <v>2011</v>
      </c>
      <c r="E928" s="5" t="inlineStr">
        <is>
          <t>Devansh Daswani</t>
        </is>
      </c>
      <c r="F928" s="5" t="inlineStr">
        <is>
          <t>Zeeshan Chaggal</t>
        </is>
      </c>
      <c r="G928" s="5" t="inlineStr">
        <is>
          <t>Family</t>
        </is>
      </c>
      <c r="H928" s="5" t="inlineStr">
        <is>
          <t>Minor</t>
        </is>
      </c>
      <c r="I928" s="5" t="inlineStr">
        <is>
          <t>The child in the household of his son's friend.</t>
        </is>
      </c>
      <c r="J928" s="5" t="inlineStr">
        <is>
          <t>Part of the younger romance's family.</t>
        </is>
      </c>
      <c r="K928" s="19" t="inlineStr">
        <is>
          <t>Credited as Simran's adoptive younger brother, the child she is guardian to.</t>
        </is>
      </c>
      <c r="L928" s="5" t="n"/>
      <c r="M928" s="5" t="inlineStr">
        <is>
          <t>SOURCE-127</t>
        </is>
      </c>
    </row>
    <row r="929" ht="34" customHeight="1">
      <c r="A929" s="15" t="inlineStr">
        <is>
          <t>CAST-928</t>
        </is>
      </c>
      <c r="B929" s="18" t="inlineStr">
        <is>
          <t>FILM-135</t>
        </is>
      </c>
      <c r="C929" s="5" t="inlineStr">
        <is>
          <t>Patiala House</t>
        </is>
      </c>
      <c r="D929" s="17" t="n">
        <v>2011</v>
      </c>
      <c r="E929" s="5" t="inlineStr">
        <is>
          <t>Tinu Anand</t>
        </is>
      </c>
      <c r="F929" s="5" t="inlineStr">
        <is>
          <t>Vishal Bedi</t>
        </is>
      </c>
      <c r="G929" s="5" t="inlineStr">
        <is>
          <t>Authority figure</t>
        </is>
      </c>
      <c r="H929" s="5" t="inlineStr">
        <is>
          <t>Minor</t>
        </is>
      </c>
      <c r="I929" s="5" t="inlineStr">
        <is>
          <t>A cricket selector, on the institutional side of his son's ambition.</t>
        </is>
      </c>
      <c r="J929" s="5" t="inlineStr">
        <is>
          <t>No part in the marriage.</t>
        </is>
      </c>
      <c r="K929" s="19" t="inlineStr">
        <is>
          <t>Credited as a selector, part of the apparatus that puts Gattu back in contention for the England team.</t>
        </is>
      </c>
      <c r="L929" s="5" t="n"/>
      <c r="M929" s="5" t="inlineStr">
        <is>
          <t>SOURCE-127</t>
        </is>
      </c>
    </row>
    <row r="930" ht="34" customHeight="1">
      <c r="A930" s="15" t="inlineStr">
        <is>
          <t>CAST-929</t>
        </is>
      </c>
      <c r="B930" s="18" t="inlineStr">
        <is>
          <t>FILM-135</t>
        </is>
      </c>
      <c r="C930" s="5" t="inlineStr">
        <is>
          <t>Patiala House</t>
        </is>
      </c>
      <c r="D930" s="17" t="n">
        <v>2011</v>
      </c>
      <c r="E930" s="5" t="inlineStr">
        <is>
          <t>Prem Chopra</t>
        </is>
      </c>
      <c r="F930" s="5" t="inlineStr">
        <is>
          <t>Virendra Singh Saini</t>
        </is>
      </c>
      <c r="G930" s="5" t="inlineStr">
        <is>
          <t>Cameo</t>
        </is>
      </c>
      <c r="H930" s="5" t="inlineStr">
        <is>
          <t>Minor</t>
        </is>
      </c>
      <c r="I930" s="5" t="inlineStr">
        <is>
          <t>A cameo in the Southall community around the family.</t>
        </is>
      </c>
      <c r="J930" s="5" t="inlineStr">
        <is>
          <t>No part in the marriage.</t>
        </is>
      </c>
      <c r="K930" s="19" t="inlineStr">
        <is>
          <t>In a cameo appearance as Virendra Singh Saini, in the last of his many films with Kapoor.</t>
        </is>
      </c>
      <c r="L930" s="5" t="n"/>
      <c r="M930" s="5" t="inlineStr">
        <is>
          <t>SOURCE-127</t>
        </is>
      </c>
    </row>
    <row r="931" ht="64" customHeight="1">
      <c r="A931" s="15" t="inlineStr">
        <is>
          <t>CAST-930</t>
        </is>
      </c>
      <c r="B931" s="18" t="inlineStr">
        <is>
          <t>FILM-136</t>
        </is>
      </c>
      <c r="C931" s="5" t="inlineStr">
        <is>
          <t>Tell Me O Kkhuda</t>
        </is>
      </c>
      <c r="D931" s="17" t="n">
        <v>2011</v>
      </c>
      <c r="E931" s="5" t="inlineStr">
        <is>
          <t>Esha Deol</t>
        </is>
      </c>
      <c r="F931" s="5" t="inlineStr">
        <is>
          <t>Tania R. Kapoor</t>
        </is>
      </c>
      <c r="G931" s="5" t="inlineStr">
        <is>
          <t>Co-lead</t>
        </is>
      </c>
      <c r="H931" s="5" t="inlineStr">
        <is>
          <t>Major</t>
        </is>
      </c>
      <c r="I931" s="5" t="inlineStr">
        <is>
          <t>The young woman who comes to Turkey to ask whether he is her father.</t>
        </is>
      </c>
      <c r="J931" s="5" t="inlineStr">
        <is>
          <t>The film's search narrative rather than a romance; Kapoor's pairing is his own marriage.</t>
        </is>
      </c>
      <c r="K931" s="19" t="inlineStr">
        <is>
          <t>A woman who learns she was adopted by Colonel Ravi Kapoor after he rescued her from a burning hospital, and travels between Rajasthan, Turkey and India in search of her biological parents.</t>
        </is>
      </c>
      <c r="L931" s="5" t="n"/>
      <c r="M931" s="5" t="inlineStr">
        <is>
          <t>SOURCE-128</t>
        </is>
      </c>
    </row>
    <row r="932" ht="64" customHeight="1">
      <c r="A932" s="15" t="inlineStr">
        <is>
          <t>CAST-931</t>
        </is>
      </c>
      <c r="B932" s="18" t="inlineStr">
        <is>
          <t>FILM-136</t>
        </is>
      </c>
      <c r="C932" s="5" t="inlineStr">
        <is>
          <t>Tell Me O Kkhuda</t>
        </is>
      </c>
      <c r="D932" s="17" t="n">
        <v>2011</v>
      </c>
      <c r="E932" s="5" t="inlineStr">
        <is>
          <t>Meltem Cumbul</t>
        </is>
      </c>
      <c r="F932" s="5" t="inlineStr">
        <is>
          <t>Zainab Zardari</t>
        </is>
      </c>
      <c r="G932" s="5" t="inlineStr">
        <is>
          <t>Family</t>
        </is>
      </c>
      <c r="H932" s="5" t="inlineStr">
        <is>
          <t>Major</t>
        </is>
      </c>
      <c r="I932" s="5" t="inlineStr">
        <is>
          <t>His non-Indian wife, who cannot remember the child she lost in the hospital fire.</t>
        </is>
      </c>
      <c r="J932" s="5" t="inlineStr">
        <is>
          <t>The marriage the visit disturbs and then settles.</t>
        </is>
      </c>
      <c r="K932" s="19" t="inlineStr">
        <is>
          <t>Altaf Zardari's wife, living quietly with him in Turkey with no memory of losing a baby girl in the fire, whose memory the visitor helps her recover so that she can accept the child's death.</t>
        </is>
      </c>
      <c r="L932" s="5" t="n"/>
      <c r="M932" s="5" t="inlineStr">
        <is>
          <t>SOURCE-128</t>
        </is>
      </c>
    </row>
    <row r="933" ht="64" customHeight="1">
      <c r="A933" s="15" t="inlineStr">
        <is>
          <t>CAST-932</t>
        </is>
      </c>
      <c r="B933" s="18" t="inlineStr">
        <is>
          <t>FILM-136</t>
        </is>
      </c>
      <c r="C933" s="5" t="inlineStr">
        <is>
          <t>Tell Me O Kkhuda</t>
        </is>
      </c>
      <c r="D933" s="17" t="n">
        <v>2011</v>
      </c>
      <c r="E933" s="5" t="inlineStr">
        <is>
          <t>Vinod Khanna</t>
        </is>
      </c>
      <c r="F933" s="5" t="inlineStr">
        <is>
          <t>Abhay Rana Pratap Singh</t>
        </is>
      </c>
      <c r="G933" s="5" t="inlineStr">
        <is>
          <t>Supporting</t>
        </is>
      </c>
      <c r="H933" s="5" t="inlineStr">
        <is>
          <t>Major</t>
        </is>
      </c>
      <c r="I933" s="5" t="inlineStr">
        <is>
          <t>The first of the possible fathers the heroine visits, before she reaches him.</t>
        </is>
      </c>
      <c r="J933" s="5" t="inlineStr">
        <is>
          <t>A parallel case in the film's sequence of paternities.</t>
        </is>
      </c>
      <c r="K933" s="19" t="inlineStr">
        <is>
          <t>The ruler of a patriarchal Rajasthan district where female infanticide is common, who did not know his wife had borne a daughter before dying in a fire, and whose own child was raised as his niece.</t>
        </is>
      </c>
      <c r="L933" s="5" t="n"/>
      <c r="M933" s="5" t="inlineStr">
        <is>
          <t>SOURCE-128</t>
        </is>
      </c>
    </row>
    <row r="934" ht="49" customHeight="1">
      <c r="A934" s="15" t="inlineStr">
        <is>
          <t>CAST-933</t>
        </is>
      </c>
      <c r="B934" s="18" t="inlineStr">
        <is>
          <t>FILM-136</t>
        </is>
      </c>
      <c r="C934" s="5" t="inlineStr">
        <is>
          <t>Tell Me O Kkhuda</t>
        </is>
      </c>
      <c r="D934" s="17" t="n">
        <v>2011</v>
      </c>
      <c r="E934" s="5" t="inlineStr">
        <is>
          <t>Farooq Sheikh</t>
        </is>
      </c>
      <c r="F934" s="5" t="inlineStr">
        <is>
          <t>Ravi Kapoor</t>
        </is>
      </c>
      <c r="G934" s="5" t="inlineStr">
        <is>
          <t>Family</t>
        </is>
      </c>
      <c r="H934" s="5" t="inlineStr">
        <is>
          <t>Major</t>
        </is>
      </c>
      <c r="I934" s="5" t="inlineStr">
        <is>
          <t>The colonel who adopted the heroine, and the father she returns to.</t>
        </is>
      </c>
      <c r="J934" s="5" t="inlineStr">
        <is>
          <t>The family the search is conducted away from and back to.</t>
        </is>
      </c>
      <c r="K934" s="19" t="inlineStr">
        <is>
          <t>The colonel who rescued the infant Tania from a burning hospital and raised her as his own, and to whom she comes home heartbroken.</t>
        </is>
      </c>
      <c r="L934" s="5" t="n"/>
      <c r="M934" s="5" t="inlineStr">
        <is>
          <t>SOURCE-128</t>
        </is>
      </c>
    </row>
    <row r="935" ht="34" customHeight="1">
      <c r="A935" s="15" t="inlineStr">
        <is>
          <t>CAST-934</t>
        </is>
      </c>
      <c r="B935" s="18" t="inlineStr">
        <is>
          <t>FILM-136</t>
        </is>
      </c>
      <c r="C935" s="5" t="inlineStr">
        <is>
          <t>Tell Me O Kkhuda</t>
        </is>
      </c>
      <c r="D935" s="17" t="n">
        <v>2011</v>
      </c>
      <c r="E935" s="5" t="inlineStr">
        <is>
          <t>Deepti Naval</t>
        </is>
      </c>
      <c r="F935" s="5" t="inlineStr">
        <is>
          <t>Mrs. R. Kapoor</t>
        </is>
      </c>
      <c r="G935" s="5" t="inlineStr">
        <is>
          <t>Family</t>
        </is>
      </c>
      <c r="H935" s="5" t="inlineStr">
        <is>
          <t>Medium</t>
        </is>
      </c>
      <c r="I935" s="5" t="inlineStr">
        <is>
          <t>The adoptive mother of the woman who visits him.</t>
        </is>
      </c>
      <c r="J935" s="5" t="inlineStr">
        <is>
          <t>Part of the family the search returns to.</t>
        </is>
      </c>
      <c r="K935" s="19" t="inlineStr">
        <is>
          <t>Credited as the colonel's wife, the adoptive mother the heroine comes back to.</t>
        </is>
      </c>
      <c r="L935" s="5" t="n"/>
      <c r="M935" s="5" t="inlineStr">
        <is>
          <t>SOURCE-128</t>
        </is>
      </c>
    </row>
    <row r="936" ht="49" customHeight="1">
      <c r="A936" s="15" t="inlineStr">
        <is>
          <t>CAST-935</t>
        </is>
      </c>
      <c r="B936" s="18" t="inlineStr">
        <is>
          <t>FILM-136</t>
        </is>
      </c>
      <c r="C936" s="5" t="inlineStr">
        <is>
          <t>Tell Me O Kkhuda</t>
        </is>
      </c>
      <c r="D936" s="17" t="n">
        <v>2011</v>
      </c>
      <c r="E936" s="5" t="inlineStr">
        <is>
          <t>Dharmendra</t>
        </is>
      </c>
      <c r="F936" s="5" t="inlineStr">
        <is>
          <t>Anthony Costello</t>
        </is>
      </c>
      <c r="G936" s="5" t="inlineStr">
        <is>
          <t>Supporting</t>
        </is>
      </c>
      <c r="H936" s="5" t="inlineStr">
        <is>
          <t>Major</t>
        </is>
      </c>
      <c r="I936" s="5" t="inlineStr">
        <is>
          <t>Another of the men in the heroine's search, in a separate strand from his.</t>
        </is>
      </c>
      <c r="J936" s="5" t="inlineStr">
        <is>
          <t>A parallel paternity in the same sequence.</t>
        </is>
      </c>
      <c r="K936" s="19" t="inlineStr">
        <is>
          <t>Credited as a don named Anthony Costello, one of the men the search takes in, opposite Hema Malini's Susan D'Mello.</t>
        </is>
      </c>
      <c r="L936" s="5" t="n"/>
      <c r="M936" s="5" t="inlineStr">
        <is>
          <t>SOURCE-128</t>
        </is>
      </c>
    </row>
    <row r="937" ht="34" customHeight="1">
      <c r="A937" s="15" t="inlineStr">
        <is>
          <t>CAST-936</t>
        </is>
      </c>
      <c r="B937" s="18" t="inlineStr">
        <is>
          <t>FILM-136</t>
        </is>
      </c>
      <c r="C937" s="5" t="inlineStr">
        <is>
          <t>Tell Me O Kkhuda</t>
        </is>
      </c>
      <c r="D937" s="17" t="n">
        <v>2011</v>
      </c>
      <c r="E937" s="5" t="inlineStr">
        <is>
          <t>Hema Malini</t>
        </is>
      </c>
      <c r="F937" s="5" t="inlineStr">
        <is>
          <t>Susan D'Mello</t>
        </is>
      </c>
      <c r="G937" s="5" t="inlineStr">
        <is>
          <t>Supporting</t>
        </is>
      </c>
      <c r="H937" s="5" t="inlineStr">
        <is>
          <t>Major</t>
        </is>
      </c>
      <c r="I937" s="5" t="inlineStr">
        <is>
          <t>A figure in the heroine's search, played by the film's own director.</t>
        </is>
      </c>
      <c r="J937" s="5" t="inlineStr">
        <is>
          <t>A parallel strand to his own marriage.</t>
        </is>
      </c>
      <c r="K937" s="19" t="inlineStr">
        <is>
          <t>Credited as Susan D'Mello, by the film's director, in the sequence of households the adopted heroine investigates.</t>
        </is>
      </c>
      <c r="L937" s="5" t="n"/>
      <c r="M937" s="5" t="inlineStr">
        <is>
          <t>SOURCE-128</t>
        </is>
      </c>
    </row>
    <row r="938" ht="34" customHeight="1">
      <c r="A938" s="15" t="inlineStr">
        <is>
          <t>CAST-937</t>
        </is>
      </c>
      <c r="B938" s="18" t="inlineStr">
        <is>
          <t>FILM-136</t>
        </is>
      </c>
      <c r="C938" s="5" t="inlineStr">
        <is>
          <t>Tell Me O Kkhuda</t>
        </is>
      </c>
      <c r="D938" s="17" t="n">
        <v>2011</v>
      </c>
      <c r="E938" s="5" t="inlineStr">
        <is>
          <t>Arjan Bajwa</t>
        </is>
      </c>
      <c r="F938" s="5" t="inlineStr">
        <is>
          <t>Jai Vishal Singh</t>
        </is>
      </c>
      <c r="G938" s="5" t="inlineStr">
        <is>
          <t>Supporting</t>
        </is>
      </c>
      <c r="H938" s="5" t="inlineStr">
        <is>
          <t>Medium</t>
        </is>
      </c>
      <c r="I938" s="5" t="inlineStr">
        <is>
          <t>The heroine's companion in the search.</t>
        </is>
      </c>
      <c r="J938" s="5" t="inlineStr">
        <is>
          <t>The film's own romance, outside Kapoor's marriage.</t>
        </is>
      </c>
      <c r="K938" s="19" t="inlineStr">
        <is>
          <t>Credited as Tanya's friend and the male lead of the search narrative.</t>
        </is>
      </c>
      <c r="L938" s="5" t="n"/>
      <c r="M938" s="5" t="inlineStr">
        <is>
          <t>SOURCE-128</t>
        </is>
      </c>
    </row>
    <row r="939" ht="34" customHeight="1">
      <c r="A939" s="15" t="inlineStr">
        <is>
          <t>CAST-938</t>
        </is>
      </c>
      <c r="B939" s="18" t="inlineStr">
        <is>
          <t>FILM-136</t>
        </is>
      </c>
      <c r="C939" s="5" t="inlineStr">
        <is>
          <t>Tell Me O Kkhuda</t>
        </is>
      </c>
      <c r="D939" s="17" t="n">
        <v>2011</v>
      </c>
      <c r="E939" s="5" t="inlineStr">
        <is>
          <t>Salman Khan</t>
        </is>
      </c>
      <c r="F939" s="5" t="inlineStr">
        <is>
          <t>Himself</t>
        </is>
      </c>
      <c r="G939" s="5" t="inlineStr">
        <is>
          <t>Cameo</t>
        </is>
      </c>
      <c r="H939" s="5" t="inlineStr">
        <is>
          <t>Minor</t>
        </is>
      </c>
      <c r="I939" s="5" t="inlineStr">
        <is>
          <t>A song appearance outside the story.</t>
        </is>
      </c>
      <c r="J939" s="5" t="inlineStr">
        <is>
          <t>No part in the marriage.</t>
        </is>
      </c>
      <c r="K939" s="19" t="inlineStr">
        <is>
          <t>Credited for a guest appearance in the song 'Somebody Somebody'.</t>
        </is>
      </c>
      <c r="L939" s="5" t="n"/>
      <c r="M939" s="5" t="inlineStr">
        <is>
          <t>SOURCE-128</t>
        </is>
      </c>
    </row>
    <row r="940" ht="49" customHeight="1">
      <c r="A940" s="15" t="inlineStr">
        <is>
          <t>CAST-939</t>
        </is>
      </c>
      <c r="B940" s="18" t="inlineStr">
        <is>
          <t>FILM-137</t>
        </is>
      </c>
      <c r="C940" s="5" t="inlineStr">
        <is>
          <t>Agneepath</t>
        </is>
      </c>
      <c r="D940" s="17" t="n">
        <v>2012</v>
      </c>
      <c r="E940" s="5" t="inlineStr">
        <is>
          <t>Hrithik Roshan</t>
        </is>
      </c>
      <c r="F940" s="5" t="inlineStr">
        <is>
          <t>Vijay Deenanath Chauhan</t>
        </is>
      </c>
      <c r="G940" s="5" t="inlineStr">
        <is>
          <t>Co-lead</t>
        </is>
      </c>
      <c r="H940" s="5" t="inlineStr">
        <is>
          <t>Major</t>
        </is>
      </c>
      <c r="I940" s="5" t="inlineStr">
        <is>
          <t>The protege he raises up, and the man who destroys him.</t>
        </is>
      </c>
      <c r="J940" s="5" t="inlineStr">
        <is>
          <t>Holds the film's romance; Kapoor's role has none.</t>
        </is>
      </c>
      <c r="K940" s="19" t="inlineStr">
        <is>
          <t>The son of a lynched schoolteacher, who joins Rauf Lala's organisation to gain power, is rewarded with Dongri, and then has Lala's son killed and takes the empire.</t>
        </is>
      </c>
      <c r="L940" s="5" t="n"/>
      <c r="M940" s="5" t="inlineStr">
        <is>
          <t>SOURCE-129</t>
        </is>
      </c>
    </row>
    <row r="941" ht="49" customHeight="1">
      <c r="A941" s="15" t="inlineStr">
        <is>
          <t>CAST-940</t>
        </is>
      </c>
      <c r="B941" s="18" t="inlineStr">
        <is>
          <t>FILM-137</t>
        </is>
      </c>
      <c r="C941" s="5" t="inlineStr">
        <is>
          <t>Agneepath</t>
        </is>
      </c>
      <c r="D941" s="17" t="n">
        <v>2012</v>
      </c>
      <c r="E941" s="5" t="inlineStr">
        <is>
          <t>Sanjay Dutt</t>
        </is>
      </c>
      <c r="F941" s="5" t="inlineStr">
        <is>
          <t>Kancha Cheena</t>
        </is>
      </c>
      <c r="G941" s="5" t="inlineStr">
        <is>
          <t>Antagonist</t>
        </is>
      </c>
      <c r="H941" s="5" t="inlineStr">
        <is>
          <t>Major</t>
        </is>
      </c>
      <c r="I941" s="5" t="inlineStr">
        <is>
          <t>The film's other antagonist, against whom the protagonist's revenge is actually aimed.</t>
        </is>
      </c>
      <c r="J941" s="5" t="inlineStr">
        <is>
          <t>No part in the romance.</t>
        </is>
      </c>
      <c r="K941" s="19" t="inlineStr">
        <is>
          <t>The village chief's son, who frames the schoolteacher for rape and murder and has him lynched, and who rules Mandwa as a drug baron.</t>
        </is>
      </c>
      <c r="L941" s="5" t="n"/>
      <c r="M941" s="5" t="inlineStr">
        <is>
          <t>SOURCE-129</t>
        </is>
      </c>
    </row>
    <row r="942" ht="49" customHeight="1">
      <c r="A942" s="15" t="inlineStr">
        <is>
          <t>CAST-941</t>
        </is>
      </c>
      <c r="B942" s="18" t="inlineStr">
        <is>
          <t>FILM-137</t>
        </is>
      </c>
      <c r="C942" s="5" t="inlineStr">
        <is>
          <t>Agneepath</t>
        </is>
      </c>
      <c r="D942" s="17" t="n">
        <v>2012</v>
      </c>
      <c r="E942" s="5" t="inlineStr">
        <is>
          <t>Priyanka Chopra</t>
        </is>
      </c>
      <c r="F942" s="5" t="inlineStr">
        <is>
          <t>Kaali Gawde</t>
        </is>
      </c>
      <c r="G942" s="5" t="inlineStr">
        <is>
          <t>Co-lead</t>
        </is>
      </c>
      <c r="H942" s="5" t="inlineStr">
        <is>
          <t>Major</t>
        </is>
      </c>
      <c r="I942" s="5" t="inlineStr">
        <is>
          <t>The protagonist's attachment, in the Dongri world Kapoor's character controls.</t>
        </is>
      </c>
      <c r="J942" s="5" t="inlineStr">
        <is>
          <t>The film's romance, which Kapoor's part stands outside.</t>
        </is>
      </c>
      <c r="K942" s="19" t="inlineStr">
        <is>
          <t>A Dongri woman attached to Vijay since childhood, credited with Madhurjeet Sarghi as her mother Lachhi.</t>
        </is>
      </c>
      <c r="L942" s="5" t="n"/>
      <c r="M942" s="5" t="inlineStr">
        <is>
          <t>SOURCE-129</t>
        </is>
      </c>
    </row>
    <row r="943" ht="49" customHeight="1">
      <c r="A943" s="15" t="inlineStr">
        <is>
          <t>CAST-942</t>
        </is>
      </c>
      <c r="B943" s="18" t="inlineStr">
        <is>
          <t>FILM-137</t>
        </is>
      </c>
      <c r="C943" s="5" t="inlineStr">
        <is>
          <t>Agneepath</t>
        </is>
      </c>
      <c r="D943" s="17" t="n">
        <v>2012</v>
      </c>
      <c r="E943" s="5" t="inlineStr">
        <is>
          <t>Rajesh Tandon</t>
        </is>
      </c>
      <c r="F943" s="5" t="inlineStr">
        <is>
          <t>Mazhar Lala</t>
        </is>
      </c>
      <c r="G943" s="5" t="inlineStr">
        <is>
          <t>Family</t>
        </is>
      </c>
      <c r="H943" s="5" t="inlineStr">
        <is>
          <t>Medium</t>
        </is>
      </c>
      <c r="I943" s="5" t="inlineStr">
        <is>
          <t>His son, killed by the protege he had promoted.</t>
        </is>
      </c>
      <c r="J943" s="5" t="inlineStr">
        <is>
          <t>No part in the romance.</t>
        </is>
      </c>
      <c r="K943" s="19" t="inlineStr">
        <is>
          <t>Rauf Lala's son, whose murder Vijay engineers, the blow that puts his father in hospital and hands over the organisation.</t>
        </is>
      </c>
      <c r="L943" s="5" t="n"/>
      <c r="M943" s="5" t="inlineStr">
        <is>
          <t>SOURCE-129</t>
        </is>
      </c>
    </row>
    <row r="944" ht="34" customHeight="1">
      <c r="A944" s="15" t="inlineStr">
        <is>
          <t>CAST-943</t>
        </is>
      </c>
      <c r="B944" s="18" t="inlineStr">
        <is>
          <t>FILM-137</t>
        </is>
      </c>
      <c r="C944" s="5" t="inlineStr">
        <is>
          <t>Agneepath</t>
        </is>
      </c>
      <c r="D944" s="17" t="n">
        <v>2012</v>
      </c>
      <c r="E944" s="5" t="inlineStr">
        <is>
          <t>Deven Bhojani</t>
        </is>
      </c>
      <c r="F944" s="5" t="inlineStr">
        <is>
          <t>Azhar Lala</t>
        </is>
      </c>
      <c r="G944" s="5" t="inlineStr">
        <is>
          <t>Family</t>
        </is>
      </c>
      <c r="H944" s="5" t="inlineStr">
        <is>
          <t>Medium</t>
        </is>
      </c>
      <c r="I944" s="5" t="inlineStr">
        <is>
          <t>His other son, in the family business of the organisation.</t>
        </is>
      </c>
      <c r="J944" s="5" t="inlineStr">
        <is>
          <t>No part in the romance.</t>
        </is>
      </c>
      <c r="K944" s="19" t="inlineStr">
        <is>
          <t>Credited as Azhar Lala, the second of Rauf Lala's sons in the syndicate he runs out of Dongri.</t>
        </is>
      </c>
      <c r="L944" s="5" t="n"/>
      <c r="M944" s="5" t="inlineStr">
        <is>
          <t>SOURCE-129</t>
        </is>
      </c>
    </row>
    <row r="945" ht="49" customHeight="1">
      <c r="A945" s="15" t="inlineStr">
        <is>
          <t>CAST-944</t>
        </is>
      </c>
      <c r="B945" s="18" t="inlineStr">
        <is>
          <t>FILM-137</t>
        </is>
      </c>
      <c r="C945" s="5" t="inlineStr">
        <is>
          <t>Agneepath</t>
        </is>
      </c>
      <c r="D945" s="17" t="n">
        <v>2012</v>
      </c>
      <c r="E945" s="5" t="inlineStr">
        <is>
          <t>Zarina Wahab</t>
        </is>
      </c>
      <c r="F945" s="5" t="inlineStr">
        <is>
          <t>Suhasini Deenanath Chauhan</t>
        </is>
      </c>
      <c r="G945" s="5" t="inlineStr">
        <is>
          <t>Family</t>
        </is>
      </c>
      <c r="H945" s="5" t="inlineStr">
        <is>
          <t>Major</t>
        </is>
      </c>
      <c r="I945" s="5" t="inlineStr">
        <is>
          <t>The protagonist's mother, estranged from him for the life he takes up with Kapoor's character.</t>
        </is>
      </c>
      <c r="J945" s="5" t="inlineStr">
        <is>
          <t>No part in the romance.</t>
        </is>
      </c>
      <c r="K945" s="19" t="inlineStr">
        <is>
          <t>The lynched schoolteacher's pregnant widow, who flees Mandwa with her son, bears a daughter in a Dongri chawl, and becomes estranged from the boy once he joins Rauf Lala.</t>
        </is>
      </c>
      <c r="L945" s="5" t="n"/>
      <c r="M945" s="5" t="inlineStr">
        <is>
          <t>SOURCE-129</t>
        </is>
      </c>
    </row>
    <row r="946" ht="49" customHeight="1">
      <c r="A946" s="15" t="inlineStr">
        <is>
          <t>CAST-945</t>
        </is>
      </c>
      <c r="B946" s="18" t="inlineStr">
        <is>
          <t>FILM-137</t>
        </is>
      </c>
      <c r="C946" s="5" t="inlineStr">
        <is>
          <t>Agneepath</t>
        </is>
      </c>
      <c r="D946" s="17" t="n">
        <v>2012</v>
      </c>
      <c r="E946" s="5" t="inlineStr">
        <is>
          <t>Chetan Pandit</t>
        </is>
      </c>
      <c r="F946" s="5" t="inlineStr">
        <is>
          <t>Master Deenanath Chauhan</t>
        </is>
      </c>
      <c r="G946" s="5" t="inlineStr">
        <is>
          <t>Family</t>
        </is>
      </c>
      <c r="H946" s="5" t="inlineStr">
        <is>
          <t>Medium</t>
        </is>
      </c>
      <c r="I946" s="5" t="inlineStr">
        <is>
          <t>The teacher whose murder begins the plot Kapoor's character profits from.</t>
        </is>
      </c>
      <c r="J946" s="5" t="inlineStr">
        <is>
          <t>No part in the romance.</t>
        </is>
      </c>
      <c r="K946" s="19" t="inlineStr">
        <is>
          <t>The revered schoolteacher who warns the villagers against surrendering their land, is framed for a girl's rape and murder, and is lynched by the mob he was protecting.</t>
        </is>
      </c>
      <c r="L946" s="5" t="n"/>
      <c r="M946" s="5" t="inlineStr">
        <is>
          <t>SOURCE-129</t>
        </is>
      </c>
    </row>
    <row r="947" ht="34" customHeight="1">
      <c r="A947" s="15" t="inlineStr">
        <is>
          <t>CAST-946</t>
        </is>
      </c>
      <c r="B947" s="18" t="inlineStr">
        <is>
          <t>FILM-137</t>
        </is>
      </c>
      <c r="C947" s="5" t="inlineStr">
        <is>
          <t>Agneepath</t>
        </is>
      </c>
      <c r="D947" s="17" t="n">
        <v>2012</v>
      </c>
      <c r="E947" s="5" t="inlineStr">
        <is>
          <t>Om Puri</t>
        </is>
      </c>
      <c r="F947" s="5" t="inlineStr">
        <is>
          <t>Commissioner Gaitonde</t>
        </is>
      </c>
      <c r="G947" s="5" t="inlineStr">
        <is>
          <t>Authority figure</t>
        </is>
      </c>
      <c r="H947" s="5" t="inlineStr">
        <is>
          <t>Major</t>
        </is>
      </c>
      <c r="I947" s="5" t="inlineStr">
        <is>
          <t>The police authority over the city his syndicate operates in.</t>
        </is>
      </c>
      <c r="J947" s="5" t="inlineStr">
        <is>
          <t>No part in the romance.</t>
        </is>
      </c>
      <c r="K947" s="19" t="inlineStr">
        <is>
          <t>The police commissioner who follows Vijay's rise through the Dongri underworld.</t>
        </is>
      </c>
      <c r="L947" s="5" t="n"/>
      <c r="M947" s="5" t="inlineStr">
        <is>
          <t>SOURCE-129</t>
        </is>
      </c>
    </row>
    <row r="948" ht="34" customHeight="1">
      <c r="A948" s="15" t="inlineStr">
        <is>
          <t>CAST-947</t>
        </is>
      </c>
      <c r="B948" s="18" t="inlineStr">
        <is>
          <t>FILM-137</t>
        </is>
      </c>
      <c r="C948" s="5" t="inlineStr">
        <is>
          <t>Agneepath</t>
        </is>
      </c>
      <c r="D948" s="17" t="n">
        <v>2012</v>
      </c>
      <c r="E948" s="5" t="inlineStr">
        <is>
          <t>Katrina Kaif</t>
        </is>
      </c>
      <c r="F948" s="5" t="inlineStr">
        <is>
          <t>Dancer in 'Chikni Chameli'</t>
        </is>
      </c>
      <c r="G948" s="5" t="inlineStr">
        <is>
          <t>Cameo</t>
        </is>
      </c>
      <c r="H948" s="5" t="inlineStr">
        <is>
          <t>Minor</t>
        </is>
      </c>
      <c r="I948" s="5" t="inlineStr">
        <is>
          <t>A song appearance outside the plot.</t>
        </is>
      </c>
      <c r="J948" s="5" t="inlineStr">
        <is>
          <t>No part in the romance.</t>
        </is>
      </c>
      <c r="K948" s="19" t="inlineStr">
        <is>
          <t>In a special appearance as the dancer of 'Chikni Chameli', the film's best-known musical number.</t>
        </is>
      </c>
      <c r="L948" s="5" t="n"/>
      <c r="M948" s="5" t="inlineStr">
        <is>
          <t>SOURCE-129</t>
        </is>
      </c>
    </row>
    <row r="949" ht="64" customHeight="1">
      <c r="A949" s="15" t="inlineStr">
        <is>
          <t>CAST-948</t>
        </is>
      </c>
      <c r="B949" s="18" t="inlineStr">
        <is>
          <t>FILM-138</t>
        </is>
      </c>
      <c r="C949" s="5" t="inlineStr">
        <is>
          <t>Housefull 2</t>
        </is>
      </c>
      <c r="D949" s="17" t="n">
        <v>2012</v>
      </c>
      <c r="E949" s="5" t="inlineStr">
        <is>
          <t>Randhir Kapoor</t>
        </is>
      </c>
      <c r="F949" s="5" t="inlineStr">
        <is>
          <t>Dabboo Kapoor</t>
        </is>
      </c>
      <c r="G949" s="5" t="inlineStr">
        <is>
          <t>Family</t>
        </is>
      </c>
      <c r="H949" s="5" t="inlineStr">
        <is>
          <t>Major</t>
        </is>
      </c>
      <c r="I949" s="5" t="inlineStr">
        <is>
          <t>His half-brother and rival in the film, played by his own elder brother; both characters carry the actors' real family nicknames.</t>
        </is>
      </c>
      <c r="J949" s="5" t="inlineStr">
        <is>
          <t>The family rivalry the film's marriages are conducted inside.</t>
        </is>
      </c>
      <c r="K949" s="19" t="inlineStr">
        <is>
          <t>The elder of two despising half-brothers, Dolly's husband and Bobby's father, competing with Chintu over which daughter can marry the richer man.</t>
        </is>
      </c>
      <c r="L949" s="5" t="inlineStr">
        <is>
          <t>The casting joke of the film: the two Kapoor brothers play half-brothers under their own childhood nicknames.</t>
        </is>
      </c>
      <c r="M949" s="5" t="inlineStr">
        <is>
          <t>SOURCE-130</t>
        </is>
      </c>
    </row>
    <row r="950" ht="49" customHeight="1">
      <c r="A950" s="15" t="inlineStr">
        <is>
          <t>CAST-949</t>
        </is>
      </c>
      <c r="B950" s="18" t="inlineStr">
        <is>
          <t>FILM-138</t>
        </is>
      </c>
      <c r="C950" s="5" t="inlineStr">
        <is>
          <t>Housefull 2</t>
        </is>
      </c>
      <c r="D950" s="17" t="n">
        <v>2012</v>
      </c>
      <c r="E950" s="5" t="inlineStr">
        <is>
          <t>Asin</t>
        </is>
      </c>
      <c r="F950" s="5" t="inlineStr">
        <is>
          <t>Heena Kapoor</t>
        </is>
      </c>
      <c r="G950" s="5" t="inlineStr">
        <is>
          <t>Family</t>
        </is>
      </c>
      <c r="H950" s="5" t="inlineStr">
        <is>
          <t>Major</t>
        </is>
      </c>
      <c r="I950" s="5" t="inlineStr">
        <is>
          <t>His daughter, whose marriage he is trying to arrange to the richest available son-in-law.</t>
        </is>
      </c>
      <c r="J950" s="5" t="inlineStr">
        <is>
          <t>One of the film's four marriages, and the object of his competition with his brother.</t>
        </is>
      </c>
      <c r="K950" s="19" t="inlineStr">
        <is>
          <t>Chintu and Sweety's daughter, an animal activist, whose match with Sunny is the one her father is manoeuvring for.</t>
        </is>
      </c>
      <c r="L950" s="5" t="n"/>
      <c r="M950" s="5" t="inlineStr">
        <is>
          <t>SOURCE-130</t>
        </is>
      </c>
    </row>
    <row r="951" ht="49" customHeight="1">
      <c r="A951" s="15" t="inlineStr">
        <is>
          <t>CAST-950</t>
        </is>
      </c>
      <c r="B951" s="18" t="inlineStr">
        <is>
          <t>FILM-138</t>
        </is>
      </c>
      <c r="C951" s="5" t="inlineStr">
        <is>
          <t>Housefull 2</t>
        </is>
      </c>
      <c r="D951" s="17" t="n">
        <v>2012</v>
      </c>
      <c r="E951" s="5" t="inlineStr">
        <is>
          <t>Akshay Kumar</t>
        </is>
      </c>
      <c r="F951" s="5" t="inlineStr">
        <is>
          <t>Sunil Pujari, called Sunny</t>
        </is>
      </c>
      <c r="G951" s="5" t="inlineStr">
        <is>
          <t>Co-lead</t>
        </is>
      </c>
      <c r="H951" s="5" t="inlineStr">
        <is>
          <t>Major</t>
        </is>
      </c>
      <c r="I951" s="5" t="inlineStr">
        <is>
          <t>The suitor who ends up his son-in-law.</t>
        </is>
      </c>
      <c r="J951" s="5" t="inlineStr">
        <is>
          <t>One of the film's four parallel courtships.</t>
        </is>
      </c>
      <c r="K951" s="19" t="inlineStr">
        <is>
          <t>One of four college friends split by a lie about harassment, who becomes Heena's love interest and husband and Ranjeet's son in the film's chain of impostures.</t>
        </is>
      </c>
      <c r="L951" s="5" t="n"/>
      <c r="M951" s="5" t="inlineStr">
        <is>
          <t>SOURCE-130</t>
        </is>
      </c>
    </row>
    <row r="952" ht="49" customHeight="1">
      <c r="A952" s="15" t="inlineStr">
        <is>
          <t>CAST-951</t>
        </is>
      </c>
      <c r="B952" s="18" t="inlineStr">
        <is>
          <t>FILM-138</t>
        </is>
      </c>
      <c r="C952" s="5" t="inlineStr">
        <is>
          <t>Housefull 2</t>
        </is>
      </c>
      <c r="D952" s="17" t="n">
        <v>2012</v>
      </c>
      <c r="E952" s="5" t="inlineStr">
        <is>
          <t>John Abraham</t>
        </is>
      </c>
      <c r="F952" s="5" t="inlineStr">
        <is>
          <t>Max Mehrotkar</t>
        </is>
      </c>
      <c r="G952" s="5" t="inlineStr">
        <is>
          <t>Co-lead</t>
        </is>
      </c>
      <c r="H952" s="5" t="inlineStr">
        <is>
          <t>Major</t>
        </is>
      </c>
      <c r="I952" s="5" t="inlineStr">
        <is>
          <t>The suitor to his brother's daughter.</t>
        </is>
      </c>
      <c r="J952" s="5" t="inlineStr">
        <is>
          <t>A second of the four courtships.</t>
        </is>
      </c>
      <c r="K952" s="19" t="inlineStr">
        <is>
          <t>One of the four friends, turned Sunny's sworn enemy by his girlfriend's lie, and Bobby's love interest and later husband.</t>
        </is>
      </c>
      <c r="L952" s="5" t="n"/>
      <c r="M952" s="5" t="inlineStr">
        <is>
          <t>SOURCE-130</t>
        </is>
      </c>
    </row>
    <row r="953" ht="34" customHeight="1">
      <c r="A953" s="15" t="inlineStr">
        <is>
          <t>CAST-952</t>
        </is>
      </c>
      <c r="B953" s="18" t="inlineStr">
        <is>
          <t>FILM-138</t>
        </is>
      </c>
      <c r="C953" s="5" t="inlineStr">
        <is>
          <t>Housefull 2</t>
        </is>
      </c>
      <c r="D953" s="17" t="n">
        <v>2012</v>
      </c>
      <c r="E953" s="5" t="inlineStr">
        <is>
          <t>Jacqueline Fernandez</t>
        </is>
      </c>
      <c r="F953" s="5" t="inlineStr">
        <is>
          <t>Bobby Kapoor</t>
        </is>
      </c>
      <c r="G953" s="5" t="inlineStr">
        <is>
          <t>Family</t>
        </is>
      </c>
      <c r="H953" s="5" t="inlineStr">
        <is>
          <t>Medium</t>
        </is>
      </c>
      <c r="I953" s="5" t="inlineStr">
        <is>
          <t>His niece, the daughter of the brother he despises.</t>
        </is>
      </c>
      <c r="J953" s="5" t="inlineStr">
        <is>
          <t>The other half of the daughters' competition.</t>
        </is>
      </c>
      <c r="K953" s="19" t="inlineStr">
        <is>
          <t>Dabboo and Dolly's daughter, an animal activist like her cousin, matched with Max.</t>
        </is>
      </c>
      <c r="L953" s="5" t="n"/>
      <c r="M953" s="5" t="inlineStr">
        <is>
          <t>SOURCE-130</t>
        </is>
      </c>
    </row>
    <row r="954" ht="79" customHeight="1">
      <c r="A954" s="15" t="inlineStr">
        <is>
          <t>CAST-953</t>
        </is>
      </c>
      <c r="B954" s="18" t="inlineStr">
        <is>
          <t>FILM-138</t>
        </is>
      </c>
      <c r="C954" s="5" t="inlineStr">
        <is>
          <t>Housefull 2</t>
        </is>
      </c>
      <c r="D954" s="17" t="n">
        <v>2012</v>
      </c>
      <c r="E954" s="5" t="inlineStr">
        <is>
          <t>Suparna Marwah</t>
        </is>
      </c>
      <c r="F954" s="5" t="inlineStr">
        <is>
          <t>Sweety Kapoor</t>
        </is>
      </c>
      <c r="G954" s="5" t="inlineStr">
        <is>
          <t>Family</t>
        </is>
      </c>
      <c r="H954" s="5" t="inlineStr">
        <is>
          <t>Medium</t>
        </is>
      </c>
      <c r="I954" s="5" t="inlineStr">
        <is>
          <t>His wife, in the household competing with his brother's.</t>
        </is>
      </c>
      <c r="J954" s="5" t="inlineStr">
        <is>
          <t>The filmography records only a minor romance for Kapoor here and the article's plot gives the marriage no scene of its own, which is why there is no Romances row.</t>
        </is>
      </c>
      <c r="K954" s="19" t="inlineStr">
        <is>
          <t>Credited as Chintu's wife and Heena's mother, in the half of the family set against Dabboo's.</t>
        </is>
      </c>
      <c r="L954" s="5" t="n"/>
      <c r="M954" s="5" t="inlineStr">
        <is>
          <t>SOURCE-130</t>
        </is>
      </c>
    </row>
    <row r="955" ht="49" customHeight="1">
      <c r="A955" s="15" t="inlineStr">
        <is>
          <t>CAST-954</t>
        </is>
      </c>
      <c r="B955" s="18" t="inlineStr">
        <is>
          <t>FILM-138</t>
        </is>
      </c>
      <c r="C955" s="5" t="inlineStr">
        <is>
          <t>Housefull 2</t>
        </is>
      </c>
      <c r="D955" s="17" t="n">
        <v>2012</v>
      </c>
      <c r="E955" s="5" t="inlineStr">
        <is>
          <t>Mithun Chakraborty</t>
        </is>
      </c>
      <c r="F955" s="5" t="inlineStr">
        <is>
          <t>Jagga Kanojia, called JD</t>
        </is>
      </c>
      <c r="G955" s="5" t="inlineStr">
        <is>
          <t>Supporting</t>
        </is>
      </c>
      <c r="H955" s="5" t="inlineStr">
        <is>
          <t>Major</t>
        </is>
      </c>
      <c r="I955" s="5" t="inlineStr">
        <is>
          <t>A feared ex-dacoit in the same marriage market.</t>
        </is>
      </c>
      <c r="J955" s="5" t="inlineStr">
        <is>
          <t>A third household in the film's web of matches.</t>
        </is>
      </c>
      <c r="K955" s="19" t="inlineStr">
        <is>
          <t>A feared former dacoit, Jwala's father and Jaina's father-in-law, with Boman Irani's ex-commissioner Batuk Patel as his best friend.</t>
        </is>
      </c>
      <c r="L955" s="5" t="n"/>
      <c r="M955" s="5" t="inlineStr">
        <is>
          <t>SOURCE-130</t>
        </is>
      </c>
    </row>
    <row r="956" ht="49" customHeight="1">
      <c r="A956" s="15" t="inlineStr">
        <is>
          <t>CAST-955</t>
        </is>
      </c>
      <c r="B956" s="18" t="inlineStr">
        <is>
          <t>FILM-138</t>
        </is>
      </c>
      <c r="C956" s="5" t="inlineStr">
        <is>
          <t>Housefull 2</t>
        </is>
      </c>
      <c r="D956" s="17" t="n">
        <v>2012</v>
      </c>
      <c r="E956" s="5" t="inlineStr">
        <is>
          <t>Chunky Panday</t>
        </is>
      </c>
      <c r="F956" s="5" t="inlineStr">
        <is>
          <t>Aakhri Pasta</t>
        </is>
      </c>
      <c r="G956" s="5" t="inlineStr">
        <is>
          <t>Comic support</t>
        </is>
      </c>
      <c r="H956" s="5" t="inlineStr">
        <is>
          <t>Medium</t>
        </is>
      </c>
      <c r="I956" s="5" t="inlineStr">
        <is>
          <t>The marriage counsellor he hires, and whose misunderstood joke he reacts to disastrously.</t>
        </is>
      </c>
      <c r="J956" s="5" t="inlineStr">
        <is>
          <t>The agent of every match in the film, and of its central misunderstanding.</t>
        </is>
      </c>
      <c r="K956" s="19" t="inlineStr">
        <is>
          <t>The marriage counsellor hired by both Kapoor households, whose joke about Jai's parentage Chintu misinterprets, setting off the revenge farce.</t>
        </is>
      </c>
      <c r="L956" s="5" t="n"/>
      <c r="M956" s="5" t="inlineStr">
        <is>
          <t>SOURCE-130</t>
        </is>
      </c>
    </row>
    <row r="957" ht="49" customHeight="1">
      <c r="A957" s="15" t="inlineStr">
        <is>
          <t>CAST-956</t>
        </is>
      </c>
      <c r="B957" s="18" t="inlineStr">
        <is>
          <t>FILM-138</t>
        </is>
      </c>
      <c r="C957" s="5" t="inlineStr">
        <is>
          <t>Housefull 2</t>
        </is>
      </c>
      <c r="D957" s="17" t="n">
        <v>2012</v>
      </c>
      <c r="E957" s="5" t="inlineStr">
        <is>
          <t>Veerendra Saxena</t>
        </is>
      </c>
      <c r="F957" s="5" t="inlineStr">
        <is>
          <t>Rajendra Babani</t>
        </is>
      </c>
      <c r="G957" s="5" t="inlineStr">
        <is>
          <t>Supporting</t>
        </is>
      </c>
      <c r="H957" s="5" t="inlineStr">
        <is>
          <t>Medium</t>
        </is>
      </c>
      <c r="I957" s="5" t="inlineStr">
        <is>
          <t>The father he verbally abuses into a heart attack.</t>
        </is>
      </c>
      <c r="J957" s="5" t="inlineStr">
        <is>
          <t>The injury that turns the marriage farce into a revenge plot.</t>
        </is>
      </c>
      <c r="K957" s="19" t="inlineStr">
        <is>
          <t>Jai's father, brought to Chintu to discuss his son as a prospective groom and shouted into a heart attack, which sets his son on revenge.</t>
        </is>
      </c>
      <c r="L957" s="5" t="n"/>
      <c r="M957" s="5" t="inlineStr">
        <is>
          <t>SOURCE-130</t>
        </is>
      </c>
    </row>
    <row r="958" ht="49" customHeight="1">
      <c r="A958" s="15" t="inlineStr">
        <is>
          <t>CAST-957</t>
        </is>
      </c>
      <c r="B958" s="18" t="inlineStr">
        <is>
          <t>FILM-139</t>
        </is>
      </c>
      <c r="C958" s="5" t="inlineStr">
        <is>
          <t>Student of the Year</t>
        </is>
      </c>
      <c r="D958" s="17" t="n">
        <v>2012</v>
      </c>
      <c r="E958" s="5" t="inlineStr">
        <is>
          <t>Sidharth Malhotra</t>
        </is>
      </c>
      <c r="F958" s="5" t="inlineStr">
        <is>
          <t>Abhimanyu Singh, called Abhi</t>
        </is>
      </c>
      <c r="G958" s="5" t="inlineStr">
        <is>
          <t>Co-lead</t>
        </is>
      </c>
      <c r="H958" s="5" t="inlineStr">
        <is>
          <t>Major</t>
        </is>
      </c>
      <c r="I958" s="5" t="inlineStr">
        <is>
          <t>One of the two students whose rivalry his competition inflames; the actor's debut.</t>
        </is>
      </c>
      <c r="J958" s="5" t="inlineStr">
        <is>
          <t>Holds one half of the film's romance; Kapoor's role has none.</t>
        </is>
      </c>
      <c r="K958" s="19" t="inlineStr">
        <is>
          <t>A middle-class scholarship student and orphan devoted to his grandmother, who becomes the college heartthrob, best friend and then enemy of Rohan, and finally Shanaya's husband.</t>
        </is>
      </c>
      <c r="L958" s="5" t="n"/>
      <c r="M958" s="5" t="inlineStr">
        <is>
          <t>SOURCE-131</t>
        </is>
      </c>
    </row>
    <row r="959" ht="49" customHeight="1">
      <c r="A959" s="15" t="inlineStr">
        <is>
          <t>CAST-958</t>
        </is>
      </c>
      <c r="B959" s="18" t="inlineStr">
        <is>
          <t>FILM-139</t>
        </is>
      </c>
      <c r="C959" s="5" t="inlineStr">
        <is>
          <t>Student of the Year</t>
        </is>
      </c>
      <c r="D959" s="17" t="n">
        <v>2012</v>
      </c>
      <c r="E959" s="5" t="inlineStr">
        <is>
          <t>Varun Dhawan</t>
        </is>
      </c>
      <c r="F959" s="5" t="inlineStr">
        <is>
          <t>Rohan Nanda, called Ro</t>
        </is>
      </c>
      <c r="G959" s="5" t="inlineStr">
        <is>
          <t>Co-lead</t>
        </is>
      </c>
      <c r="H959" s="5" t="inlineStr">
        <is>
          <t>Major</t>
        </is>
      </c>
      <c r="I959" s="5" t="inlineStr">
        <is>
          <t>The trustee's son in his college, and the other half of the rivalry; the actor's debut.</t>
        </is>
      </c>
      <c r="J959" s="5" t="inlineStr">
        <is>
          <t>The other claim in the film's triangle.</t>
        </is>
      </c>
      <c r="K959" s="19" t="inlineStr">
        <is>
          <t>The rich, popular younger son of the college's trustee, pushed towards business and away from music by his father, and set against his best friend over Shanaya.</t>
        </is>
      </c>
      <c r="L959" s="5" t="n"/>
      <c r="M959" s="5" t="inlineStr">
        <is>
          <t>SOURCE-131</t>
        </is>
      </c>
    </row>
    <row r="960" ht="49" customHeight="1">
      <c r="A960" s="15" t="inlineStr">
        <is>
          <t>CAST-959</t>
        </is>
      </c>
      <c r="B960" s="18" t="inlineStr">
        <is>
          <t>FILM-139</t>
        </is>
      </c>
      <c r="C960" s="5" t="inlineStr">
        <is>
          <t>Student of the Year</t>
        </is>
      </c>
      <c r="D960" s="17" t="n">
        <v>2012</v>
      </c>
      <c r="E960" s="5" t="inlineStr">
        <is>
          <t>Alia Bhatt</t>
        </is>
      </c>
      <c r="F960" s="5" t="inlineStr">
        <is>
          <t>Shanaya Singhania</t>
        </is>
      </c>
      <c r="G960" s="5" t="inlineStr">
        <is>
          <t>Co-lead</t>
        </is>
      </c>
      <c r="H960" s="5" t="inlineStr">
        <is>
          <t>Major</t>
        </is>
      </c>
      <c r="I960" s="5" t="inlineStr">
        <is>
          <t>A student in his college, at the centre of the rivalry; the actress's debut.</t>
        </is>
      </c>
      <c r="J960" s="5" t="inlineStr">
        <is>
          <t>The apex of the film's triangle.</t>
        </is>
      </c>
      <c r="K960" s="19" t="inlineStr">
        <is>
          <t>A rich, popular student dissatisfied by her boyfriend's flirtations, who flirts openly with his best friend to make him jealous and ends up married to him.</t>
        </is>
      </c>
      <c r="L960" s="5" t="n"/>
      <c r="M960" s="5" t="inlineStr">
        <is>
          <t>SOURCE-131</t>
        </is>
      </c>
    </row>
    <row r="961" ht="49" customHeight="1">
      <c r="A961" s="15" t="inlineStr">
        <is>
          <t>CAST-960</t>
        </is>
      </c>
      <c r="B961" s="18" t="inlineStr">
        <is>
          <t>FILM-139</t>
        </is>
      </c>
      <c r="C961" s="5" t="inlineStr">
        <is>
          <t>Student of the Year</t>
        </is>
      </c>
      <c r="D961" s="17" t="n">
        <v>2012</v>
      </c>
      <c r="E961" s="5" t="inlineStr">
        <is>
          <t>Ram Kapoor</t>
        </is>
      </c>
      <c r="F961" s="5" t="inlineStr">
        <is>
          <t>Ashok Nanda</t>
        </is>
      </c>
      <c r="G961" s="5" t="inlineStr">
        <is>
          <t>Family</t>
        </is>
      </c>
      <c r="H961" s="5" t="inlineStr">
        <is>
          <t>Major</t>
        </is>
      </c>
      <c r="I961" s="5" t="inlineStr">
        <is>
          <t>The college's trustee, and so his employer as well as a parent.</t>
        </is>
      </c>
      <c r="J961" s="5" t="inlineStr">
        <is>
          <t>The paternal pressure on one side of the triangle.</t>
        </is>
      </c>
      <c r="K961" s="19" t="inlineStr">
        <is>
          <t>An influential business tycoon and trustee of Saint Teresa's, who dislikes his younger son's passion for music and wants him in the family business.</t>
        </is>
      </c>
      <c r="L961" s="5" t="n"/>
      <c r="M961" s="5" t="inlineStr">
        <is>
          <t>SOURCE-131</t>
        </is>
      </c>
    </row>
    <row r="962" ht="49" customHeight="1">
      <c r="A962" s="15" t="inlineStr">
        <is>
          <t>CAST-961</t>
        </is>
      </c>
      <c r="B962" s="18" t="inlineStr">
        <is>
          <t>FILM-139</t>
        </is>
      </c>
      <c r="C962" s="5" t="inlineStr">
        <is>
          <t>Student of the Year</t>
        </is>
      </c>
      <c r="D962" s="17" t="n">
        <v>2012</v>
      </c>
      <c r="E962" s="5" t="inlineStr">
        <is>
          <t>Ronit Roy</t>
        </is>
      </c>
      <c r="F962" s="5" t="inlineStr">
        <is>
          <t>Coach Karan Shah</t>
        </is>
      </c>
      <c r="G962" s="5" t="inlineStr">
        <is>
          <t>Supporting</t>
        </is>
      </c>
      <c r="H962" s="5" t="inlineStr">
        <is>
          <t>Major</t>
        </is>
      </c>
      <c r="I962" s="5" t="inlineStr">
        <is>
          <t>The sports teacher who works under him in the competition he presides over.</t>
        </is>
      </c>
      <c r="J962" s="5" t="inlineStr">
        <is>
          <t>No part in the student romance.</t>
        </is>
      </c>
      <c r="K962" s="19" t="inlineStr">
        <is>
          <t>The sports teacher of Saint Teresa's, credited with Prachi Shah as his wife, and the dean's chief lieutenant in running the contest.</t>
        </is>
      </c>
      <c r="L962" s="5" t="n"/>
      <c r="M962" s="5" t="inlineStr">
        <is>
          <t>SOURCE-131</t>
        </is>
      </c>
    </row>
    <row r="963" ht="34" customHeight="1">
      <c r="A963" s="15" t="inlineStr">
        <is>
          <t>CAST-962</t>
        </is>
      </c>
      <c r="B963" s="18" t="inlineStr">
        <is>
          <t>FILM-139</t>
        </is>
      </c>
      <c r="C963" s="5" t="inlineStr">
        <is>
          <t>Student of the Year</t>
        </is>
      </c>
      <c r="D963" s="17" t="n">
        <v>2012</v>
      </c>
      <c r="E963" s="5" t="inlineStr">
        <is>
          <t>Boman Irani</t>
        </is>
      </c>
      <c r="F963" s="5" t="inlineStr">
        <is>
          <t>Harikishan Sanon</t>
        </is>
      </c>
      <c r="G963" s="5" t="inlineStr">
        <is>
          <t>Authority figure</t>
        </is>
      </c>
      <c r="H963" s="5" t="inlineStr">
        <is>
          <t>Medium</t>
        </is>
      </c>
      <c r="I963" s="5" t="inlineStr">
        <is>
          <t>The dean of the rival college, his counterpart.</t>
        </is>
      </c>
      <c r="J963" s="5" t="inlineStr">
        <is>
          <t>No part in the student romance.</t>
        </is>
      </c>
      <c r="K963" s="19" t="inlineStr">
        <is>
          <t>Credited as the dean of Saint Lawrence, the rival institution set against Kapoor's Saint Teresa's.</t>
        </is>
      </c>
      <c r="L963" s="5" t="n"/>
      <c r="M963" s="5" t="inlineStr">
        <is>
          <t>SOURCE-131</t>
        </is>
      </c>
    </row>
    <row r="964" ht="34" customHeight="1">
      <c r="A964" s="15" t="inlineStr">
        <is>
          <t>CAST-963</t>
        </is>
      </c>
      <c r="B964" s="18" t="inlineStr">
        <is>
          <t>FILM-139</t>
        </is>
      </c>
      <c r="C964" s="5" t="inlineStr">
        <is>
          <t>Student of the Year</t>
        </is>
      </c>
      <c r="D964" s="17" t="n">
        <v>2012</v>
      </c>
      <c r="E964" s="5" t="inlineStr">
        <is>
          <t>Sushma Seth</t>
        </is>
      </c>
      <c r="F964" s="5" t="inlineStr">
        <is>
          <t>Archana Vashisht</t>
        </is>
      </c>
      <c r="G964" s="5" t="inlineStr">
        <is>
          <t>Family</t>
        </is>
      </c>
      <c r="H964" s="5" t="inlineStr">
        <is>
          <t>Medium</t>
        </is>
      </c>
      <c r="I964" s="5" t="inlineStr">
        <is>
          <t>His mother, the only family the film gives him.</t>
        </is>
      </c>
      <c r="J964" s="5" t="inlineStr">
        <is>
          <t>No part in the student romance.</t>
        </is>
      </c>
      <c r="K964" s="19" t="inlineStr">
        <is>
          <t>Credited as the dean's mother, the one member of his own household the cast list names.</t>
        </is>
      </c>
      <c r="L964" s="5" t="n"/>
      <c r="M964" s="5" t="inlineStr">
        <is>
          <t>SOURCE-131</t>
        </is>
      </c>
    </row>
    <row r="965" ht="34" customHeight="1">
      <c r="A965" s="15" t="inlineStr">
        <is>
          <t>CAST-964</t>
        </is>
      </c>
      <c r="B965" s="18" t="inlineStr">
        <is>
          <t>FILM-139</t>
        </is>
      </c>
      <c r="C965" s="5" t="inlineStr">
        <is>
          <t>Student of the Year</t>
        </is>
      </c>
      <c r="D965" s="17" t="n">
        <v>2012</v>
      </c>
      <c r="E965" s="5" t="inlineStr">
        <is>
          <t>Farida Jalal</t>
        </is>
      </c>
      <c r="F965" s="5" t="inlineStr">
        <is>
          <t>Sadhna Singh</t>
        </is>
      </c>
      <c r="G965" s="5" t="inlineStr">
        <is>
          <t>Family</t>
        </is>
      </c>
      <c r="H965" s="5" t="inlineStr">
        <is>
          <t>Medium</t>
        </is>
      </c>
      <c r="I965" s="5" t="inlineStr">
        <is>
          <t>The grandmother of one of his students.</t>
        </is>
      </c>
      <c r="J965" s="5" t="inlineStr">
        <is>
          <t>The attachment that explains one side of the rivalry.</t>
        </is>
      </c>
      <c r="K965" s="19" t="inlineStr">
        <is>
          <t>Credited as Abhi's grandmother, the only person the orphaned scholarship student truly loves.</t>
        </is>
      </c>
      <c r="L965" s="5" t="n"/>
      <c r="M965" s="5" t="inlineStr">
        <is>
          <t>SOURCE-131</t>
        </is>
      </c>
    </row>
    <row r="966" ht="34" customHeight="1">
      <c r="A966" s="15" t="inlineStr">
        <is>
          <t>CAST-965</t>
        </is>
      </c>
      <c r="B966" s="18" t="inlineStr">
        <is>
          <t>FILM-139</t>
        </is>
      </c>
      <c r="C966" s="5" t="inlineStr">
        <is>
          <t>Student of the Year</t>
        </is>
      </c>
      <c r="D966" s="17" t="n">
        <v>2012</v>
      </c>
      <c r="E966" s="5" t="inlineStr">
        <is>
          <t>Kajol</t>
        </is>
      </c>
      <c r="F966" s="5" t="inlineStr">
        <is>
          <t>Herself</t>
        </is>
      </c>
      <c r="G966" s="5" t="inlineStr">
        <is>
          <t>Self appearance</t>
        </is>
      </c>
      <c r="H966" s="5" t="inlineStr">
        <is>
          <t>Minor</t>
        </is>
      </c>
      <c r="I966" s="5" t="inlineStr">
        <is>
          <t>A star self-appearance in the film's song sequence.</t>
        </is>
      </c>
      <c r="J966" s="5" t="inlineStr">
        <is>
          <t>No part in the romance.</t>
        </is>
      </c>
      <c r="K966" s="19" t="inlineStr">
        <is>
          <t>Credited as herself in 'The Disco Song', with Farah Khan and Vaibhavi Merchant appearing as judges in the same number.</t>
        </is>
      </c>
      <c r="L966" s="5" t="n"/>
      <c r="M966" s="5" t="inlineStr">
        <is>
          <t>SOURCE-131</t>
        </is>
      </c>
    </row>
    <row r="967" ht="49" customHeight="1">
      <c r="A967" s="15" t="inlineStr">
        <is>
          <t>CAST-966</t>
        </is>
      </c>
      <c r="B967" s="18" t="inlineStr">
        <is>
          <t>FILM-140</t>
        </is>
      </c>
      <c r="C967" s="5" t="inlineStr">
        <is>
          <t>Jab Tak Hai Jaan</t>
        </is>
      </c>
      <c r="D967" s="17" t="n">
        <v>2012</v>
      </c>
      <c r="E967" s="5" t="inlineStr">
        <is>
          <t>Shah Rukh Khan</t>
        </is>
      </c>
      <c r="F967" s="5" t="inlineStr">
        <is>
          <t>Major Samar Anand</t>
        </is>
      </c>
      <c r="G967" s="5" t="inlineStr">
        <is>
          <t>Co-lead</t>
        </is>
      </c>
      <c r="H967" s="5" t="inlineStr">
        <is>
          <t>Major</t>
        </is>
      </c>
      <c r="I967" s="5" t="inlineStr">
        <is>
          <t>The man who reconciles his wife with her daughter.</t>
        </is>
      </c>
      <c r="J967" s="5" t="inlineStr">
        <is>
          <t>Holds the film's romances; Kapoor's pairing is the parents' marriage.</t>
        </is>
      </c>
      <c r="K967" s="19" t="inlineStr">
        <is>
          <t>An army bomb-disposal officer who defuses without protection, formerly a street musician in London, whose diary Akira finds and whose vow over Meera's prayer organises the film.</t>
        </is>
      </c>
      <c r="L967" s="5" t="n"/>
      <c r="M967" s="5" t="inlineStr">
        <is>
          <t>SOURCE-132</t>
        </is>
      </c>
    </row>
    <row r="968" ht="64" customHeight="1">
      <c r="A968" s="15" t="inlineStr">
        <is>
          <t>CAST-967</t>
        </is>
      </c>
      <c r="B968" s="18" t="inlineStr">
        <is>
          <t>FILM-140</t>
        </is>
      </c>
      <c r="C968" s="5" t="inlineStr">
        <is>
          <t>Jab Tak Hai Jaan</t>
        </is>
      </c>
      <c r="D968" s="17" t="n">
        <v>2012</v>
      </c>
      <c r="E968" s="5" t="inlineStr">
        <is>
          <t>Katrina Kaif</t>
        </is>
      </c>
      <c r="F968" s="5" t="inlineStr">
        <is>
          <t>Meera Thappar</t>
        </is>
      </c>
      <c r="G968" s="5" t="inlineStr">
        <is>
          <t>Co-lead</t>
        </is>
      </c>
      <c r="H968" s="5" t="inlineStr">
        <is>
          <t>Major</t>
        </is>
      </c>
      <c r="I968" s="5" t="inlineStr">
        <is>
          <t>His step-daughter, who grew up without the mother who left for him.</t>
        </is>
      </c>
      <c r="J968" s="5" t="inlineStr">
        <is>
          <t>The film's principal romance, and the estrangement his marriage caused.</t>
        </is>
      </c>
      <c r="K968" s="19" t="inlineStr">
        <is>
          <t>A woman from an affluent Punjabi family in London, whose mother left for another man when she was twelve, who works for her father, prays constantly, and promises God not to fall in love.</t>
        </is>
      </c>
      <c r="L968" s="5" t="n"/>
      <c r="M968" s="5" t="inlineStr">
        <is>
          <t>SOURCE-132</t>
        </is>
      </c>
    </row>
    <row r="969" ht="64" customHeight="1">
      <c r="A969" s="15" t="inlineStr">
        <is>
          <t>CAST-968</t>
        </is>
      </c>
      <c r="B969" s="18" t="inlineStr">
        <is>
          <t>FILM-140</t>
        </is>
      </c>
      <c r="C969" s="5" t="inlineStr">
        <is>
          <t>Jab Tak Hai Jaan</t>
        </is>
      </c>
      <c r="D969" s="17" t="n">
        <v>2012</v>
      </c>
      <c r="E969" s="5" t="inlineStr">
        <is>
          <t>Neetu Kapoor</t>
        </is>
      </c>
      <c r="F969" s="5" t="inlineStr">
        <is>
          <t>Pooja Thappar Sharqazi</t>
        </is>
      </c>
      <c r="G969" s="5" t="inlineStr">
        <is>
          <t>Co-lead</t>
        </is>
      </c>
      <c r="H969" s="5" t="inlineStr">
        <is>
          <t>Major</t>
        </is>
      </c>
      <c r="I969" s="5" t="inlineStr">
        <is>
          <t>His wife, played by Kapoor's own wife in a special appearance alongside his.</t>
        </is>
      </c>
      <c r="J969" s="5" t="inlineStr">
        <is>
          <t>The whole of the pairing in Romances, an intact second marriage whose cost was her daughter.</t>
        </is>
      </c>
      <c r="K969" s="19" t="inlineStr">
        <is>
          <t>Meera's mother, who left her husband and twelve-year-old daughter for Imraan, and whose reconciliation with that daughter the film arranges; the third and last of the Kapoors' late-career screen pairings.</t>
        </is>
      </c>
      <c r="L969" s="5" t="n"/>
      <c r="M969" s="5" t="inlineStr">
        <is>
          <t>SOURCE-132</t>
        </is>
      </c>
    </row>
    <row r="970" ht="34" customHeight="1">
      <c r="A970" s="15" t="inlineStr">
        <is>
          <t>CAST-969</t>
        </is>
      </c>
      <c r="B970" s="18" t="inlineStr">
        <is>
          <t>FILM-140</t>
        </is>
      </c>
      <c r="C970" s="5" t="inlineStr">
        <is>
          <t>Jab Tak Hai Jaan</t>
        </is>
      </c>
      <c r="D970" s="17" t="n">
        <v>2012</v>
      </c>
      <c r="E970" s="5" t="inlineStr">
        <is>
          <t>Anupam Kher</t>
        </is>
      </c>
      <c r="F970" s="5" t="inlineStr">
        <is>
          <t>Kamal Thappar</t>
        </is>
      </c>
      <c r="G970" s="5" t="inlineStr">
        <is>
          <t>Family</t>
        </is>
      </c>
      <c r="H970" s="5" t="inlineStr">
        <is>
          <t>Major</t>
        </is>
      </c>
      <c r="I970" s="5" t="inlineStr">
        <is>
          <t>The husband his wife left, and the father who raised her daughter.</t>
        </is>
      </c>
      <c r="J970" s="5" t="inlineStr">
        <is>
          <t>The marriage his own displaced.</t>
        </is>
      </c>
      <c r="K970" s="19" t="inlineStr">
        <is>
          <t>In a special appearance as Meera's father, the dominant figure in her life and the man her mother left.</t>
        </is>
      </c>
      <c r="L970" s="5" t="n"/>
      <c r="M970" s="5" t="inlineStr">
        <is>
          <t>SOURCE-132</t>
        </is>
      </c>
    </row>
    <row r="971" ht="49" customHeight="1">
      <c r="A971" s="15" t="inlineStr">
        <is>
          <t>CAST-970</t>
        </is>
      </c>
      <c r="B971" s="18" t="inlineStr">
        <is>
          <t>FILM-140</t>
        </is>
      </c>
      <c r="C971" s="5" t="inlineStr">
        <is>
          <t>Jab Tak Hai Jaan</t>
        </is>
      </c>
      <c r="D971" s="17" t="n">
        <v>2012</v>
      </c>
      <c r="E971" s="5" t="inlineStr">
        <is>
          <t>Anushka Sharma</t>
        </is>
      </c>
      <c r="F971" s="5" t="inlineStr">
        <is>
          <t>Akira Rai</t>
        </is>
      </c>
      <c r="G971" s="5" t="inlineStr">
        <is>
          <t>Co-lead</t>
        </is>
      </c>
      <c r="H971" s="5" t="inlineStr">
        <is>
          <t>Major</t>
        </is>
      </c>
      <c r="I971" s="5" t="inlineStr">
        <is>
          <t>Belongs to the film's present-day frame, outside the family he married into.</t>
        </is>
      </c>
      <c r="J971" s="5" t="inlineStr">
        <is>
          <t>The second romance of the film, set against the remembered one.</t>
        </is>
      </c>
      <c r="K971" s="19" t="inlineStr">
        <is>
          <t>A Discovery Channel documentary filmmaker pulled from Pangong Lake by Samar, who reads the diary left in his jacket and reconstructs his past.</t>
        </is>
      </c>
      <c r="L971" s="5" t="n"/>
      <c r="M971" s="5" t="inlineStr">
        <is>
          <t>SOURCE-132</t>
        </is>
      </c>
    </row>
    <row r="972" ht="34" customHeight="1">
      <c r="A972" s="15" t="inlineStr">
        <is>
          <t>CAST-971</t>
        </is>
      </c>
      <c r="B972" s="18" t="inlineStr">
        <is>
          <t>FILM-140</t>
        </is>
      </c>
      <c r="C972" s="5" t="inlineStr">
        <is>
          <t>Jab Tak Hai Jaan</t>
        </is>
      </c>
      <c r="D972" s="17" t="n">
        <v>2012</v>
      </c>
      <c r="E972" s="5" t="inlineStr">
        <is>
          <t>Sarika</t>
        </is>
      </c>
      <c r="F972" s="5" t="inlineStr">
        <is>
          <t>Dr. Zoya Ali Khan</t>
        </is>
      </c>
      <c r="G972" s="5" t="inlineStr">
        <is>
          <t>Supporting</t>
        </is>
      </c>
      <c r="H972" s="5" t="inlineStr">
        <is>
          <t>Medium</t>
        </is>
      </c>
      <c r="I972" s="5" t="inlineStr">
        <is>
          <t>A credited figure in the medical half of the present-day plot.</t>
        </is>
      </c>
      <c r="J972" s="5" t="inlineStr">
        <is>
          <t>No part in the marriage.</t>
        </is>
      </c>
      <c r="K972" s="19" t="inlineStr">
        <is>
          <t>Credited as a neurologist and Samar's doctor, in the frame narrative of the film.</t>
        </is>
      </c>
      <c r="L972" s="5" t="n"/>
      <c r="M972" s="5" t="inlineStr">
        <is>
          <t>SOURCE-132</t>
        </is>
      </c>
    </row>
    <row r="973" ht="34" customHeight="1">
      <c r="A973" s="15" t="inlineStr">
        <is>
          <t>CAST-972</t>
        </is>
      </c>
      <c r="B973" s="18" t="inlineStr">
        <is>
          <t>FILM-140</t>
        </is>
      </c>
      <c r="C973" s="5" t="inlineStr">
        <is>
          <t>Jab Tak Hai Jaan</t>
        </is>
      </c>
      <c r="D973" s="17" t="n">
        <v>2012</v>
      </c>
      <c r="E973" s="5" t="inlineStr">
        <is>
          <t>Sharib Hashmi</t>
        </is>
      </c>
      <c r="F973" s="5" t="inlineStr">
        <is>
          <t>Zain Mirza</t>
        </is>
      </c>
      <c r="G973" s="5" t="inlineStr">
        <is>
          <t>Friend</t>
        </is>
      </c>
      <c r="H973" s="5" t="inlineStr">
        <is>
          <t>Medium</t>
        </is>
      </c>
      <c r="I973" s="5" t="inlineStr">
        <is>
          <t>A figure of the London years rather than the family he entered.</t>
        </is>
      </c>
      <c r="J973" s="5" t="inlineStr">
        <is>
          <t>Part of the world the first romance happened in.</t>
        </is>
      </c>
      <c r="K973" s="19" t="inlineStr">
        <is>
          <t>Credited as Samar's roommate and best friend in London, with Jasmine Jardot as his wife Maria.</t>
        </is>
      </c>
      <c r="L973" s="5" t="n"/>
      <c r="M973" s="5" t="inlineStr">
        <is>
          <t>SOURCE-132</t>
        </is>
      </c>
    </row>
    <row r="974" ht="64" customHeight="1">
      <c r="A974" s="15" t="inlineStr">
        <is>
          <t>CAST-973</t>
        </is>
      </c>
      <c r="B974" s="18" t="inlineStr">
        <is>
          <t>FILM-141</t>
        </is>
      </c>
      <c r="C974" s="5" t="inlineStr">
        <is>
          <t>Chashme Buddoor</t>
        </is>
      </c>
      <c r="D974" s="17" t="n">
        <v>2013</v>
      </c>
      <c r="E974" s="5" t="inlineStr">
        <is>
          <t>Ali Zafar</t>
        </is>
      </c>
      <c r="F974" s="5" t="inlineStr">
        <is>
          <t>Siddharth Kashyap, called Sid</t>
        </is>
      </c>
      <c r="G974" s="5" t="inlineStr">
        <is>
          <t>Co-lead</t>
        </is>
      </c>
      <c r="H974" s="5" t="inlineStr">
        <is>
          <t>Major</t>
        </is>
      </c>
      <c r="I974" s="5" t="inlineStr">
        <is>
          <t>One of the three friends who live out of Kapoor's cafe and owe him a great deal of money.</t>
        </is>
      </c>
      <c r="J974" s="5" t="inlineStr">
        <is>
          <t>Holds the film's romance, with the woman his two friends also pursue.</t>
        </is>
      </c>
      <c r="K974" s="19" t="inlineStr">
        <is>
          <t>The quietest of three friends sharing a rented Goa apartment, who wins Seema while the other two are busy competing for her, and whose debts to the cafe owner run through the comedy.</t>
        </is>
      </c>
      <c r="L974" s="5" t="n"/>
      <c r="M974" s="5" t="inlineStr">
        <is>
          <t>SOURCE-133</t>
        </is>
      </c>
    </row>
    <row r="975" ht="49" customHeight="1">
      <c r="A975" s="15" t="inlineStr">
        <is>
          <t>CAST-974</t>
        </is>
      </c>
      <c r="B975" s="18" t="inlineStr">
        <is>
          <t>FILM-141</t>
        </is>
      </c>
      <c r="C975" s="5" t="inlineStr">
        <is>
          <t>Chashme Buddoor</t>
        </is>
      </c>
      <c r="D975" s="17" t="n">
        <v>2013</v>
      </c>
      <c r="E975" s="5" t="inlineStr">
        <is>
          <t>Taapsee Pannu</t>
        </is>
      </c>
      <c r="F975" s="5" t="inlineStr">
        <is>
          <t>Seema Ranjan</t>
        </is>
      </c>
      <c r="G975" s="5" t="inlineStr">
        <is>
          <t>Co-lead</t>
        </is>
      </c>
      <c r="H975" s="5" t="inlineStr">
        <is>
          <t>Major</t>
        </is>
      </c>
      <c r="I975" s="5" t="inlineStr">
        <is>
          <t>The woman the cafe's three debtors compete over.</t>
        </is>
      </c>
      <c r="J975" s="5" t="inlineStr">
        <is>
          <t>The object of all three pursuits, and the film's romance.</t>
        </is>
      </c>
      <c r="K975" s="19" t="inlineStr">
        <is>
          <t>A young woman who has evaded five marriages arranged by her army-officer father and escapes a sixth by fleeing to her uncle in Goa, where three men set about impressing her.</t>
        </is>
      </c>
      <c r="L975" s="5" t="n"/>
      <c r="M975" s="5" t="inlineStr">
        <is>
          <t>SOURCE-133</t>
        </is>
      </c>
    </row>
    <row r="976" ht="49" customHeight="1">
      <c r="A976" s="15" t="inlineStr">
        <is>
          <t>CAST-975</t>
        </is>
      </c>
      <c r="B976" s="18" t="inlineStr">
        <is>
          <t>FILM-141</t>
        </is>
      </c>
      <c r="C976" s="5" t="inlineStr">
        <is>
          <t>Chashme Buddoor</t>
        </is>
      </c>
      <c r="D976" s="17" t="n">
        <v>2013</v>
      </c>
      <c r="E976" s="5" t="inlineStr">
        <is>
          <t>Divyendu Sharma</t>
        </is>
      </c>
      <c r="F976" s="5" t="inlineStr">
        <is>
          <t>Omkar Sharma, called Omi</t>
        </is>
      </c>
      <c r="G976" s="5" t="inlineStr">
        <is>
          <t>Co-lead</t>
        </is>
      </c>
      <c r="H976" s="5" t="inlineStr">
        <is>
          <t>Major</t>
        </is>
      </c>
      <c r="I976" s="5" t="inlineStr">
        <is>
          <t>Another of the three friends in debt to the cafe.</t>
        </is>
      </c>
      <c r="J976" s="5" t="inlineStr">
        <is>
          <t>One of the two failed pursuits that make up the film's comedy.</t>
        </is>
      </c>
      <c r="K976" s="19" t="inlineStr">
        <is>
          <t>The friend who first spots Seema walking her dog and sets the competition going, and whose boasts about his success are the film's running lie.</t>
        </is>
      </c>
      <c r="L976" s="5" t="n"/>
      <c r="M976" s="5" t="inlineStr">
        <is>
          <t>SOURCE-133</t>
        </is>
      </c>
    </row>
    <row r="977" ht="34" customHeight="1">
      <c r="A977" s="15" t="inlineStr">
        <is>
          <t>CAST-976</t>
        </is>
      </c>
      <c r="B977" s="18" t="inlineStr">
        <is>
          <t>FILM-141</t>
        </is>
      </c>
      <c r="C977" s="5" t="inlineStr">
        <is>
          <t>Chashme Buddoor</t>
        </is>
      </c>
      <c r="D977" s="17" t="n">
        <v>2013</v>
      </c>
      <c r="E977" s="5" t="inlineStr">
        <is>
          <t>Siddharth</t>
        </is>
      </c>
      <c r="F977" s="5" t="inlineStr">
        <is>
          <t>Jai Lakhanpal</t>
        </is>
      </c>
      <c r="G977" s="5" t="inlineStr">
        <is>
          <t>Co-lead</t>
        </is>
      </c>
      <c r="H977" s="5" t="inlineStr">
        <is>
          <t>Major</t>
        </is>
      </c>
      <c r="I977" s="5" t="inlineStr">
        <is>
          <t>The third of the friends living on the cafe's credit.</t>
        </is>
      </c>
      <c r="J977" s="5" t="inlineStr">
        <is>
          <t>The second of the two failed pursuits.</t>
        </is>
      </c>
      <c r="K977" s="19" t="inlineStr">
        <is>
          <t>The friend called in to help impress Seema, who tries his own luck and is rebuffed alongside Omi.</t>
        </is>
      </c>
      <c r="L977" s="5" t="n"/>
      <c r="M977" s="5" t="inlineStr">
        <is>
          <t>SOURCE-133</t>
        </is>
      </c>
    </row>
    <row r="978" ht="49" customHeight="1">
      <c r="A978" s="15" t="inlineStr">
        <is>
          <t>CAST-977</t>
        </is>
      </c>
      <c r="B978" s="18" t="inlineStr">
        <is>
          <t>FILM-141</t>
        </is>
      </c>
      <c r="C978" s="5" t="inlineStr">
        <is>
          <t>Chashme Buddoor</t>
        </is>
      </c>
      <c r="D978" s="17" t="n">
        <v>2013</v>
      </c>
      <c r="E978" s="5" t="inlineStr">
        <is>
          <t>Anupam Kher</t>
        </is>
      </c>
      <c r="F978" s="5" t="inlineStr">
        <is>
          <t>Suryakant Ranjan and Chandrakant Ranjan</t>
        </is>
      </c>
      <c r="G978" s="5" t="inlineStr">
        <is>
          <t>Family</t>
        </is>
      </c>
      <c r="H978" s="5" t="inlineStr">
        <is>
          <t>Major</t>
        </is>
      </c>
      <c r="I978" s="5" t="inlineStr">
        <is>
          <t>Credited in a double role as the heroine's father and uncle, the two poles of the marriage argument.</t>
        </is>
      </c>
      <c r="J978" s="5" t="inlineStr">
        <is>
          <t>The external pressure the heroine is in Goa to escape.</t>
        </is>
      </c>
      <c r="K978" s="19" t="inlineStr">
        <is>
          <t>Twin brothers in a double role: the military father who insists his daughter marry an army man, and the Goa uncle who wants her to marry a civilian.</t>
        </is>
      </c>
      <c r="L978" s="5" t="n"/>
      <c r="M978" s="5" t="inlineStr">
        <is>
          <t>SOURCE-133</t>
        </is>
      </c>
    </row>
    <row r="979" ht="49" customHeight="1">
      <c r="A979" s="15" t="inlineStr">
        <is>
          <t>CAST-978</t>
        </is>
      </c>
      <c r="B979" s="18" t="inlineStr">
        <is>
          <t>FILM-141</t>
        </is>
      </c>
      <c r="C979" s="5" t="inlineStr">
        <is>
          <t>Chashme Buddoor</t>
        </is>
      </c>
      <c r="D979" s="17" t="n">
        <v>2013</v>
      </c>
      <c r="E979" s="5" t="inlineStr">
        <is>
          <t>Lilette Dubey</t>
        </is>
      </c>
      <c r="F979" s="5" t="inlineStr">
        <is>
          <t>Miss Josephine</t>
        </is>
      </c>
      <c r="G979" s="5" t="inlineStr">
        <is>
          <t>Supporting</t>
        </is>
      </c>
      <c r="H979" s="5" t="inlineStr">
        <is>
          <t>Major</t>
        </is>
      </c>
      <c r="I979" s="5" t="inlineStr">
        <is>
          <t>The friends' landlady, and the film's other creditor alongside Kapoor's cafe owner.</t>
        </is>
      </c>
      <c r="J979" s="5" t="inlineStr">
        <is>
          <t>The economic pressure the courtship is conducted under.</t>
        </is>
      </c>
      <c r="K979" s="19" t="inlineStr">
        <is>
          <t>The landlady of the three friends' rented apartment, owed as much money as the cafe is, and paired with Joseph Furtado as the pair the young men are perpetually dodging.</t>
        </is>
      </c>
      <c r="L979" s="5" t="n"/>
      <c r="M979" s="5" t="inlineStr">
        <is>
          <t>SOURCE-133</t>
        </is>
      </c>
    </row>
    <row r="980" ht="34" customHeight="1">
      <c r="A980" s="15" t="inlineStr">
        <is>
          <t>CAST-979</t>
        </is>
      </c>
      <c r="B980" s="18" t="inlineStr">
        <is>
          <t>FILM-141</t>
        </is>
      </c>
      <c r="C980" s="5" t="inlineStr">
        <is>
          <t>Chashme Buddoor</t>
        </is>
      </c>
      <c r="D980" s="17" t="n">
        <v>2013</v>
      </c>
      <c r="E980" s="5" t="inlineStr">
        <is>
          <t>Bharati Achrekar</t>
        </is>
      </c>
      <c r="F980" s="5" t="inlineStr">
        <is>
          <t>Mrs. Ranjan</t>
        </is>
      </c>
      <c r="G980" s="5" t="inlineStr">
        <is>
          <t>Family</t>
        </is>
      </c>
      <c r="H980" s="5" t="inlineStr">
        <is>
          <t>Minor</t>
        </is>
      </c>
      <c r="I980" s="5" t="inlineStr">
        <is>
          <t>The heroine's grandmother, in the family she runs from.</t>
        </is>
      </c>
      <c r="J980" s="5" t="inlineStr">
        <is>
          <t>Family background to the arranged marriages.</t>
        </is>
      </c>
      <c r="K980" s="19" t="inlineStr">
        <is>
          <t>Credited as Seema's grandmother, in the household of serial marriage arrangements.</t>
        </is>
      </c>
      <c r="L980" s="5" t="n"/>
      <c r="M980" s="5" t="inlineStr">
        <is>
          <t>SOURCE-133</t>
        </is>
      </c>
    </row>
    <row r="981" ht="64" customHeight="1">
      <c r="A981" s="15" t="inlineStr">
        <is>
          <t>CAST-980</t>
        </is>
      </c>
      <c r="B981" s="18" t="inlineStr">
        <is>
          <t>FILM-142</t>
        </is>
      </c>
      <c r="C981" s="5" t="inlineStr">
        <is>
          <t>Aurangzeb</t>
        </is>
      </c>
      <c r="D981" s="17" t="n">
        <v>2013</v>
      </c>
      <c r="E981" s="5" t="inlineStr">
        <is>
          <t>Arjun Kapoor</t>
        </is>
      </c>
      <c r="F981" s="5" t="inlineStr">
        <is>
          <t>Ajay Singh and Vishal Singh</t>
        </is>
      </c>
      <c r="G981" s="5" t="inlineStr">
        <is>
          <t>Co-lead</t>
        </is>
      </c>
      <c r="H981" s="5" t="inlineStr">
        <is>
          <t>Major</t>
        </is>
      </c>
      <c r="I981" s="5" t="inlineStr">
        <is>
          <t>The twins at the centre of his scheme: one the son of his target, the other the instrument he plants in that man's house.</t>
        </is>
      </c>
      <c r="J981" s="5" t="inlineStr">
        <is>
          <t>Holds the film's romance; Kapoor's role has none.</t>
        </is>
      </c>
      <c r="K981" s="19" t="inlineStr">
        <is>
          <t>Credited in a dual role as identical twins separated at birth, one raised as the heir of the businessman Yashvardhan and the other recruited by the police to impersonate him inside the household.</t>
        </is>
      </c>
      <c r="L981" s="5" t="n"/>
      <c r="M981" s="5" t="inlineStr">
        <is>
          <t>SOURCE-134</t>
        </is>
      </c>
    </row>
    <row r="982" ht="64" customHeight="1">
      <c r="A982" s="15" t="inlineStr">
        <is>
          <t>CAST-981</t>
        </is>
      </c>
      <c r="B982" s="18" t="inlineStr">
        <is>
          <t>FILM-142</t>
        </is>
      </c>
      <c r="C982" s="5" t="inlineStr">
        <is>
          <t>Aurangzeb</t>
        </is>
      </c>
      <c r="D982" s="17" t="n">
        <v>2013</v>
      </c>
      <c r="E982" s="5" t="inlineStr">
        <is>
          <t>Prithviraj Sukumaran</t>
        </is>
      </c>
      <c r="F982" s="5" t="inlineStr">
        <is>
          <t>ACP Arya Phogat</t>
        </is>
      </c>
      <c r="G982" s="5" t="inlineStr">
        <is>
          <t>Co-lead</t>
        </is>
      </c>
      <c r="H982" s="5" t="inlineStr">
        <is>
          <t>Major</t>
        </is>
      </c>
      <c r="I982" s="5" t="inlineStr">
        <is>
          <t>His nephew and co-architect of the substitution, who turns against him on realising what he is.</t>
        </is>
      </c>
      <c r="J982" s="5" t="inlineStr">
        <is>
          <t>No part in the romance.</t>
        </is>
      </c>
      <c r="K982" s="19" t="inlineStr">
        <is>
          <t>The honest officer who uncovers his father's second family, devises the impersonation plan with his uncle, and finally turns on him with the twin he recruited; the actor's Hindi debut.</t>
        </is>
      </c>
      <c r="L982" s="5" t="n"/>
      <c r="M982" s="5" t="inlineStr">
        <is>
          <t>SOURCE-134</t>
        </is>
      </c>
    </row>
    <row r="983" ht="49" customHeight="1">
      <c r="A983" s="15" t="inlineStr">
        <is>
          <t>CAST-982</t>
        </is>
      </c>
      <c r="B983" s="18" t="inlineStr">
        <is>
          <t>FILM-142</t>
        </is>
      </c>
      <c r="C983" s="5" t="inlineStr">
        <is>
          <t>Aurangzeb</t>
        </is>
      </c>
      <c r="D983" s="17" t="n">
        <v>2013</v>
      </c>
      <c r="E983" s="5" t="inlineStr">
        <is>
          <t>Jackie Shroff</t>
        </is>
      </c>
      <c r="F983" s="5" t="inlineStr">
        <is>
          <t>Yashvardhan Singh</t>
        </is>
      </c>
      <c r="G983" s="5" t="inlineStr">
        <is>
          <t>Antagonist</t>
        </is>
      </c>
      <c r="H983" s="5" t="inlineStr">
        <is>
          <t>Major</t>
        </is>
      </c>
      <c r="I983" s="5" t="inlineStr">
        <is>
          <t>The businessman his operation targets and whose empire he actually wants.</t>
        </is>
      </c>
      <c r="J983" s="5" t="inlineStr">
        <is>
          <t>No part in the romance.</t>
        </is>
      </c>
      <c r="K983" s="19" t="inlineStr">
        <is>
          <t>A notorious Gurgaon businessman whose elimination the police failed at years earlier, who bonds with the impostor he takes for his son, and whose empire the plan is really about.</t>
        </is>
      </c>
      <c r="L983" s="5" t="n"/>
      <c r="M983" s="5" t="inlineStr">
        <is>
          <t>SOURCE-134</t>
        </is>
      </c>
    </row>
    <row r="984" ht="49" customHeight="1">
      <c r="A984" s="15" t="inlineStr">
        <is>
          <t>CAST-983</t>
        </is>
      </c>
      <c r="B984" s="18" t="inlineStr">
        <is>
          <t>FILM-142</t>
        </is>
      </c>
      <c r="C984" s="5" t="inlineStr">
        <is>
          <t>Aurangzeb</t>
        </is>
      </c>
      <c r="D984" s="17" t="n">
        <v>2013</v>
      </c>
      <c r="E984" s="5" t="inlineStr">
        <is>
          <t>Anupam Kher</t>
        </is>
      </c>
      <c r="F984" s="5" t="inlineStr">
        <is>
          <t>Inspector Vijaykant Phogat</t>
        </is>
      </c>
      <c r="G984" s="5" t="inlineStr">
        <is>
          <t>Family</t>
        </is>
      </c>
      <c r="H984" s="5" t="inlineStr">
        <is>
          <t>Medium</t>
        </is>
      </c>
      <c r="I984" s="5" t="inlineStr">
        <is>
          <t>His elder brother, the honest counterpart whose secrets start the plot.</t>
        </is>
      </c>
      <c r="J984" s="5" t="inlineStr">
        <is>
          <t>No part in the romance.</t>
        </is>
      </c>
      <c r="K984" s="19" t="inlineStr">
        <is>
          <t>In a cameo as the retired inspector whose failed mission opens the film and whose second wife and child the next generation discovers.</t>
        </is>
      </c>
      <c r="L984" s="5" t="n"/>
      <c r="M984" s="5" t="inlineStr">
        <is>
          <t>SOURCE-134</t>
        </is>
      </c>
    </row>
    <row r="985" ht="34" customHeight="1">
      <c r="A985" s="15" t="inlineStr">
        <is>
          <t>CAST-984</t>
        </is>
      </c>
      <c r="B985" s="18" t="inlineStr">
        <is>
          <t>FILM-142</t>
        </is>
      </c>
      <c r="C985" s="5" t="inlineStr">
        <is>
          <t>Aurangzeb</t>
        </is>
      </c>
      <c r="D985" s="17" t="n">
        <v>2013</v>
      </c>
      <c r="E985" s="5" t="inlineStr">
        <is>
          <t>Deepti Naval</t>
        </is>
      </c>
      <c r="F985" s="5" t="inlineStr">
        <is>
          <t>Rama Phogat</t>
        </is>
      </c>
      <c r="G985" s="5" t="inlineStr">
        <is>
          <t>Family</t>
        </is>
      </c>
      <c r="H985" s="5" t="inlineStr">
        <is>
          <t>Major</t>
        </is>
      </c>
      <c r="I985" s="5" t="inlineStr">
        <is>
          <t>His wife, inside the police family his corruption runs through.</t>
        </is>
      </c>
      <c r="J985" s="5" t="inlineStr">
        <is>
          <t>No part in the romance; the marriage the household rests on.</t>
        </is>
      </c>
      <c r="K985" s="19" t="inlineStr">
        <is>
          <t>Credited as Ravikant's wife, in the Phogat household where honest and corrupt policing sit at the same table.</t>
        </is>
      </c>
      <c r="L985" s="5" t="n"/>
      <c r="M985" s="5" t="inlineStr">
        <is>
          <t>SOURCE-134</t>
        </is>
      </c>
    </row>
    <row r="986" ht="34" customHeight="1">
      <c r="A986" s="15" t="inlineStr">
        <is>
          <t>CAST-985</t>
        </is>
      </c>
      <c r="B986" s="18" t="inlineStr">
        <is>
          <t>FILM-142</t>
        </is>
      </c>
      <c r="C986" s="5" t="inlineStr">
        <is>
          <t>Aurangzeb</t>
        </is>
      </c>
      <c r="D986" s="17" t="n">
        <v>2013</v>
      </c>
      <c r="E986" s="5" t="inlineStr">
        <is>
          <t>Sikander Kher</t>
        </is>
      </c>
      <c r="F986" s="5" t="inlineStr">
        <is>
          <t>Inspector Dev Phogat</t>
        </is>
      </c>
      <c r="G986" s="5" t="inlineStr">
        <is>
          <t>Family</t>
        </is>
      </c>
      <c r="H986" s="5" t="inlineStr">
        <is>
          <t>Medium</t>
        </is>
      </c>
      <c r="I986" s="5" t="inlineStr">
        <is>
          <t>His son, serving in the same force.</t>
        </is>
      </c>
      <c r="J986" s="5" t="inlineStr">
        <is>
          <t>No part in the romance.</t>
        </is>
      </c>
      <c r="K986" s="19" t="inlineStr">
        <is>
          <t>Credited as Ravikant's son, one of the family members drawn into his father's operation.</t>
        </is>
      </c>
      <c r="L986" s="5" t="n"/>
      <c r="M986" s="5" t="inlineStr">
        <is>
          <t>SOURCE-134</t>
        </is>
      </c>
    </row>
    <row r="987" ht="34" customHeight="1">
      <c r="A987" s="15" t="inlineStr">
        <is>
          <t>CAST-986</t>
        </is>
      </c>
      <c r="B987" s="18" t="inlineStr">
        <is>
          <t>FILM-142</t>
        </is>
      </c>
      <c r="C987" s="5" t="inlineStr">
        <is>
          <t>Aurangzeb</t>
        </is>
      </c>
      <c r="D987" s="17" t="n">
        <v>2013</v>
      </c>
      <c r="E987" s="5" t="inlineStr">
        <is>
          <t>Sumeet Vyas</t>
        </is>
      </c>
      <c r="F987" s="5" t="inlineStr">
        <is>
          <t>Sub-Inspector Vishnu Sharma</t>
        </is>
      </c>
      <c r="G987" s="5" t="inlineStr">
        <is>
          <t>Family</t>
        </is>
      </c>
      <c r="H987" s="5" t="inlineStr">
        <is>
          <t>Medium</t>
        </is>
      </c>
      <c r="I987" s="5" t="inlineStr">
        <is>
          <t>His son-in-law, and the honest relative he murders.</t>
        </is>
      </c>
      <c r="J987" s="5" t="inlineStr">
        <is>
          <t>No part in the romance.</t>
        </is>
      </c>
      <c r="K987" s="19" t="inlineStr">
        <is>
          <t>Credited as Ravikant's son-in-law, the honest member of the family who becomes a threat to him and is killed for it.</t>
        </is>
      </c>
      <c r="L987" s="5" t="n"/>
      <c r="M987" s="5" t="inlineStr">
        <is>
          <t>SOURCE-134</t>
        </is>
      </c>
    </row>
    <row r="988" ht="34" customHeight="1">
      <c r="A988" s="15" t="inlineStr">
        <is>
          <t>CAST-987</t>
        </is>
      </c>
      <c r="B988" s="18" t="inlineStr">
        <is>
          <t>FILM-142</t>
        </is>
      </c>
      <c r="C988" s="5" t="inlineStr">
        <is>
          <t>Aurangzeb</t>
        </is>
      </c>
      <c r="D988" s="17" t="n">
        <v>2013</v>
      </c>
      <c r="E988" s="5" t="inlineStr">
        <is>
          <t>Amrita Singh</t>
        </is>
      </c>
      <c r="F988" s="5" t="inlineStr">
        <is>
          <t>Neena Wadhwa</t>
        </is>
      </c>
      <c r="G988" s="5" t="inlineStr">
        <is>
          <t>Supporting</t>
        </is>
      </c>
      <c r="H988" s="5" t="inlineStr">
        <is>
          <t>Major</t>
        </is>
      </c>
      <c r="I988" s="5" t="inlineStr">
        <is>
          <t>The target's business partner, on the other side of the empire he wants.</t>
        </is>
      </c>
      <c r="J988" s="5" t="inlineStr">
        <is>
          <t>No part in the romance.</t>
        </is>
      </c>
      <c r="K988" s="19" t="inlineStr">
        <is>
          <t>Credited as Yashvardhan's business partner, with Kavi Shastri as her son Inder, in the commercial half of the plot.</t>
        </is>
      </c>
      <c r="L988" s="5" t="n"/>
      <c r="M988" s="5" t="inlineStr">
        <is>
          <t>SOURCE-134</t>
        </is>
      </c>
    </row>
    <row r="989" ht="34" customHeight="1">
      <c r="A989" s="15" t="inlineStr">
        <is>
          <t>CAST-988</t>
        </is>
      </c>
      <c r="B989" s="18" t="inlineStr">
        <is>
          <t>FILM-142</t>
        </is>
      </c>
      <c r="C989" s="5" t="inlineStr">
        <is>
          <t>Aurangzeb</t>
        </is>
      </c>
      <c r="D989" s="17" t="n">
        <v>2013</v>
      </c>
      <c r="E989" s="5" t="inlineStr">
        <is>
          <t>Tanvi Azmi</t>
        </is>
      </c>
      <c r="F989" s="5" t="inlineStr">
        <is>
          <t>Veer Singh</t>
        </is>
      </c>
      <c r="G989" s="5" t="inlineStr">
        <is>
          <t>Family</t>
        </is>
      </c>
      <c r="H989" s="5" t="inlineStr">
        <is>
          <t>Medium</t>
        </is>
      </c>
      <c r="I989" s="5" t="inlineStr">
        <is>
          <t>The mother of the twins his plan is built on.</t>
        </is>
      </c>
      <c r="J989" s="5" t="inlineStr">
        <is>
          <t>No part in the romance.</t>
        </is>
      </c>
      <c r="K989" s="19" t="inlineStr">
        <is>
          <t>Credited as the mother of Ajay and Vishal, the second family whose existence the plot uncovers.</t>
        </is>
      </c>
      <c r="L989" s="5" t="n"/>
      <c r="M989" s="5" t="inlineStr">
        <is>
          <t>SOURCE-134</t>
        </is>
      </c>
    </row>
    <row r="990" ht="64" customHeight="1">
      <c r="A990" s="15" t="inlineStr">
        <is>
          <t>CAST-989</t>
        </is>
      </c>
      <c r="B990" s="18" t="inlineStr">
        <is>
          <t>FILM-143</t>
        </is>
      </c>
      <c r="C990" s="5" t="inlineStr">
        <is>
          <t>D-Day</t>
        </is>
      </c>
      <c r="D990" s="17" t="n">
        <v>2013</v>
      </c>
      <c r="E990" s="5" t="inlineStr">
        <is>
          <t>Irrfan Khan</t>
        </is>
      </c>
      <c r="F990" s="5" t="inlineStr">
        <is>
          <t>Wali Khan</t>
        </is>
      </c>
      <c r="G990" s="5" t="inlineStr">
        <is>
          <t>Co-lead</t>
        </is>
      </c>
      <c r="H990" s="5" t="inlineStr">
        <is>
          <t>Major</t>
        </is>
      </c>
      <c r="I990" s="5" t="inlineStr">
        <is>
          <t>The agent who has spent nine years in Pakistan tracking him.</t>
        </is>
      </c>
      <c r="J990" s="5" t="inlineStr">
        <is>
          <t>Holds the film's domestic thread; Kapoor's role has none.</t>
        </is>
      </c>
      <c r="K990" s="19" t="inlineStr">
        <is>
          <t>A RAW agent living undercover as a Karachi barber for nine years, who stages his own family's deaths to protect them, is exposed to the ISI, and keeps hunting Goldman after the government disowns the mission.</t>
        </is>
      </c>
      <c r="L990" s="5" t="inlineStr">
        <is>
          <t>Among the most praised of Irrfan Khan's performances in a mainstream thriller.</t>
        </is>
      </c>
      <c r="M990" s="5" t="inlineStr">
        <is>
          <t>SOURCE-135</t>
        </is>
      </c>
    </row>
    <row r="991" ht="34" customHeight="1">
      <c r="A991" s="15" t="inlineStr">
        <is>
          <t>CAST-990</t>
        </is>
      </c>
      <c r="B991" s="18" t="inlineStr">
        <is>
          <t>FILM-143</t>
        </is>
      </c>
      <c r="C991" s="5" t="inlineStr">
        <is>
          <t>D-Day</t>
        </is>
      </c>
      <c r="D991" s="17" t="n">
        <v>2013</v>
      </c>
      <c r="E991" s="5" t="inlineStr">
        <is>
          <t>Arjun Rampal</t>
        </is>
      </c>
      <c r="F991" s="5" t="inlineStr">
        <is>
          <t>Rudra Pratap Singh</t>
        </is>
      </c>
      <c r="G991" s="5" t="inlineStr">
        <is>
          <t>Co-lead</t>
        </is>
      </c>
      <c r="H991" s="5" t="inlineStr">
        <is>
          <t>Major</t>
        </is>
      </c>
      <c r="I991" s="5" t="inlineStr">
        <is>
          <t>The former army officer on the team sent to take him.</t>
        </is>
      </c>
      <c r="J991" s="5" t="inlineStr">
        <is>
          <t>A thread of the operation rather than of romance.</t>
        </is>
      </c>
      <c r="K991" s="19" t="inlineStr">
        <is>
          <t>A former army officer recruited for the snatch operation, who with Wali devises the plan that finally ends it.</t>
        </is>
      </c>
      <c r="L991" s="5" t="n"/>
      <c r="M991" s="5" t="inlineStr">
        <is>
          <t>SOURCE-135</t>
        </is>
      </c>
    </row>
    <row r="992" ht="34" customHeight="1">
      <c r="A992" s="15" t="inlineStr">
        <is>
          <t>CAST-991</t>
        </is>
      </c>
      <c r="B992" s="18" t="inlineStr">
        <is>
          <t>FILM-143</t>
        </is>
      </c>
      <c r="C992" s="5" t="inlineStr">
        <is>
          <t>D-Day</t>
        </is>
      </c>
      <c r="D992" s="17" t="n">
        <v>2013</v>
      </c>
      <c r="E992" s="5" t="inlineStr">
        <is>
          <t>Huma Qureshi</t>
        </is>
      </c>
      <c r="F992" s="5" t="inlineStr">
        <is>
          <t>Zoya Rehman</t>
        </is>
      </c>
      <c r="G992" s="5" t="inlineStr">
        <is>
          <t>Co-lead</t>
        </is>
      </c>
      <c r="H992" s="5" t="inlineStr">
        <is>
          <t>Major</t>
        </is>
      </c>
      <c r="I992" s="5" t="inlineStr">
        <is>
          <t>The explosives expert on the team pursuing him.</t>
        </is>
      </c>
      <c r="J992" s="5" t="inlineStr">
        <is>
          <t>Part of the team's personal cost rather than a romance of his.</t>
        </is>
      </c>
      <c r="K992" s="19" t="inlineStr">
        <is>
          <t>The team's explosives expert, one of the four agents left stranded in Pakistan when the government disowns them.</t>
        </is>
      </c>
      <c r="L992" s="5" t="n"/>
      <c r="M992" s="5" t="inlineStr">
        <is>
          <t>SOURCE-135</t>
        </is>
      </c>
    </row>
    <row r="993" ht="49" customHeight="1">
      <c r="A993" s="15" t="inlineStr">
        <is>
          <t>CAST-992</t>
        </is>
      </c>
      <c r="B993" s="18" t="inlineStr">
        <is>
          <t>FILM-143</t>
        </is>
      </c>
      <c r="C993" s="5" t="inlineStr">
        <is>
          <t>D-Day</t>
        </is>
      </c>
      <c r="D993" s="17" t="n">
        <v>2013</v>
      </c>
      <c r="E993" s="5" t="inlineStr">
        <is>
          <t>Nassar</t>
        </is>
      </c>
      <c r="F993" s="5" t="inlineStr">
        <is>
          <t>Ashwini Rao</t>
        </is>
      </c>
      <c r="G993" s="5" t="inlineStr">
        <is>
          <t>Authority figure</t>
        </is>
      </c>
      <c r="H993" s="5" t="inlineStr">
        <is>
          <t>Major</t>
        </is>
      </c>
      <c r="I993" s="5" t="inlineStr">
        <is>
          <t>The intelligence chief who orders the operation against him.</t>
        </is>
      </c>
      <c r="J993" s="5" t="inlineStr">
        <is>
          <t>No part in any romance.</t>
        </is>
      </c>
      <c r="K993" s="19" t="inlineStr">
        <is>
          <t>The chief of R&amp;AW who assembles the team on Wali's intelligence and then has to disown them when the wedding-day operation fails.</t>
        </is>
      </c>
      <c r="L993" s="5" t="n"/>
      <c r="M993" s="5" t="inlineStr">
        <is>
          <t>SOURCE-135</t>
        </is>
      </c>
    </row>
    <row r="994" ht="34" customHeight="1">
      <c r="A994" s="15" t="inlineStr">
        <is>
          <t>CAST-993</t>
        </is>
      </c>
      <c r="B994" s="18" t="inlineStr">
        <is>
          <t>FILM-143</t>
        </is>
      </c>
      <c r="C994" s="5" t="inlineStr">
        <is>
          <t>D-Day</t>
        </is>
      </c>
      <c r="D994" s="17" t="n">
        <v>2013</v>
      </c>
      <c r="E994" s="5" t="inlineStr">
        <is>
          <t>Shruti Haasan</t>
        </is>
      </c>
      <c r="F994" s="5" t="inlineStr">
        <is>
          <t>Suraiya</t>
        </is>
      </c>
      <c r="G994" s="5" t="inlineStr">
        <is>
          <t>Supporting</t>
        </is>
      </c>
      <c r="H994" s="5" t="inlineStr">
        <is>
          <t>Major</t>
        </is>
      </c>
      <c r="I994" s="5" t="inlineStr">
        <is>
          <t>A figure of the Pakistani world he operates in.</t>
        </is>
      </c>
      <c r="J994" s="5" t="inlineStr">
        <is>
          <t>The attachment in the team's Pakistani half of the story.</t>
        </is>
      </c>
      <c r="K994" s="19" t="inlineStr">
        <is>
          <t>Credited as Suraiya, in the Lahore and Karachi world the agents live in while the operation unravels.</t>
        </is>
      </c>
      <c r="L994" s="5" t="n"/>
      <c r="M994" s="5" t="inlineStr">
        <is>
          <t>SOURCE-135</t>
        </is>
      </c>
    </row>
    <row r="995" ht="34" customHeight="1">
      <c r="A995" s="15" t="inlineStr">
        <is>
          <t>CAST-994</t>
        </is>
      </c>
      <c r="B995" s="18" t="inlineStr">
        <is>
          <t>FILM-143</t>
        </is>
      </c>
      <c r="C995" s="5" t="inlineStr">
        <is>
          <t>D-Day</t>
        </is>
      </c>
      <c r="D995" s="17" t="n">
        <v>2013</v>
      </c>
      <c r="E995" s="5" t="inlineStr">
        <is>
          <t>Chandan Roy Sanyal</t>
        </is>
      </c>
      <c r="F995" s="5" t="inlineStr">
        <is>
          <t>Bhanja</t>
        </is>
      </c>
      <c r="G995" s="5" t="inlineStr">
        <is>
          <t>Family</t>
        </is>
      </c>
      <c r="H995" s="5" t="inlineStr">
        <is>
          <t>Medium</t>
        </is>
      </c>
      <c r="I995" s="5" t="inlineStr">
        <is>
          <t>His nephew, inside his organisation.</t>
        </is>
      </c>
      <c r="J995" s="5" t="inlineStr">
        <is>
          <t>No part in any romance.</t>
        </is>
      </c>
      <c r="K995" s="19" t="inlineStr">
        <is>
          <t>Credited as Goldman's nephew, part of the household and the organisation the operation closes on.</t>
        </is>
      </c>
      <c r="L995" s="5" t="n"/>
      <c r="M995" s="5" t="inlineStr">
        <is>
          <t>SOURCE-135</t>
        </is>
      </c>
    </row>
    <row r="996" ht="34" customHeight="1">
      <c r="A996" s="15" t="inlineStr">
        <is>
          <t>CAST-995</t>
        </is>
      </c>
      <c r="B996" s="18" t="inlineStr">
        <is>
          <t>FILM-143</t>
        </is>
      </c>
      <c r="C996" s="5" t="inlineStr">
        <is>
          <t>D-Day</t>
        </is>
      </c>
      <c r="D996" s="17" t="n">
        <v>2013</v>
      </c>
      <c r="E996" s="5" t="inlineStr">
        <is>
          <t>Shriswara</t>
        </is>
      </c>
      <c r="F996" s="5" t="inlineStr">
        <is>
          <t>Nafisa</t>
        </is>
      </c>
      <c r="G996" s="5" t="inlineStr">
        <is>
          <t>Family</t>
        </is>
      </c>
      <c r="H996" s="5" t="inlineStr">
        <is>
          <t>Medium</t>
        </is>
      </c>
      <c r="I996" s="5" t="inlineStr">
        <is>
          <t>The wife of the agent tracking him, whose capture is used as leverage.</t>
        </is>
      </c>
      <c r="J996" s="5" t="inlineStr">
        <is>
          <t>The family claim set against the mission.</t>
        </is>
      </c>
      <c r="K996" s="19" t="inlineStr">
        <is>
          <t>Wali Khan's wife, whose death he stages for her protection and who is captured by the ISI with their son Kabeer.</t>
        </is>
      </c>
      <c r="L996" s="5" t="n"/>
      <c r="M996" s="5" t="inlineStr">
        <is>
          <t>SOURCE-135</t>
        </is>
      </c>
    </row>
    <row r="997" ht="34" customHeight="1">
      <c r="A997" s="15" t="inlineStr">
        <is>
          <t>CAST-996</t>
        </is>
      </c>
      <c r="B997" s="18" t="inlineStr">
        <is>
          <t>FILM-143</t>
        </is>
      </c>
      <c r="C997" s="5" t="inlineStr">
        <is>
          <t>D-Day</t>
        </is>
      </c>
      <c r="D997" s="17" t="n">
        <v>2013</v>
      </c>
      <c r="E997" s="5" t="inlineStr">
        <is>
          <t>Aakash Dahiya</t>
        </is>
      </c>
      <c r="F997" s="5" t="inlineStr">
        <is>
          <t>Aslam</t>
        </is>
      </c>
      <c r="G997" s="5" t="inlineStr">
        <is>
          <t>Supporting</t>
        </is>
      </c>
      <c r="H997" s="5" t="inlineStr">
        <is>
          <t>Medium</t>
        </is>
      </c>
      <c r="I997" s="5" t="inlineStr">
        <is>
          <t>The fourth member of the team sent for him.</t>
        </is>
      </c>
      <c r="J997" s="5" t="inlineStr">
        <is>
          <t>No part in any romance.</t>
        </is>
      </c>
      <c r="K997" s="19" t="inlineStr">
        <is>
          <t>A criminal turned operative, recruited for the snatch and stranded with the rest of the team.</t>
        </is>
      </c>
      <c r="L997" s="5" t="n"/>
      <c r="M997" s="5" t="inlineStr">
        <is>
          <t>SOURCE-135</t>
        </is>
      </c>
    </row>
    <row r="998" ht="49" customHeight="1">
      <c r="A998" s="15" t="inlineStr">
        <is>
          <t>CAST-997</t>
        </is>
      </c>
      <c r="B998" s="18" t="inlineStr">
        <is>
          <t>FILM-143</t>
        </is>
      </c>
      <c r="C998" s="5" t="inlineStr">
        <is>
          <t>D-Day</t>
        </is>
      </c>
      <c r="D998" s="17" t="n">
        <v>2013</v>
      </c>
      <c r="E998" s="5" t="inlineStr">
        <is>
          <t>K. K. Raina</t>
        </is>
      </c>
      <c r="F998" s="5" t="inlineStr">
        <is>
          <t>General Raza</t>
        </is>
      </c>
      <c r="G998" s="5" t="inlineStr">
        <is>
          <t>Antagonist</t>
        </is>
      </c>
      <c r="H998" s="5" t="inlineStr">
        <is>
          <t>Medium</t>
        </is>
      </c>
      <c r="I998" s="5" t="inlineStr">
        <is>
          <t>The Pakistani officer who decides to have him eliminated rather than protected.</t>
        </is>
      </c>
      <c r="J998" s="5" t="inlineStr">
        <is>
          <t>No part in any romance.</t>
        </is>
      </c>
      <c r="K998" s="19" t="inlineStr">
        <is>
          <t>Credited as a general in the Pakistani establishment, whose decision to kill Goldman himself the Indian team pre-empts.</t>
        </is>
      </c>
      <c r="L998" s="5" t="n"/>
      <c r="M998" s="5" t="inlineStr">
        <is>
          <t>SOURCE-135</t>
        </is>
      </c>
    </row>
    <row r="999" ht="64" customHeight="1">
      <c r="A999" s="15" t="inlineStr">
        <is>
          <t>CAST-998</t>
        </is>
      </c>
      <c r="B999" s="18" t="inlineStr">
        <is>
          <t>FILM-144</t>
        </is>
      </c>
      <c r="C999" s="5" t="inlineStr">
        <is>
          <t>Shuddh Desi Romance</t>
        </is>
      </c>
      <c r="D999" s="17" t="n">
        <v>2013</v>
      </c>
      <c r="E999" s="5" t="inlineStr">
        <is>
          <t>Sushant Singh Rajput</t>
        </is>
      </c>
      <c r="F999" s="5" t="inlineStr">
        <is>
          <t>Raghu Ram</t>
        </is>
      </c>
      <c r="G999" s="5" t="inlineStr">
        <is>
          <t>Co-lead</t>
        </is>
      </c>
      <c r="H999" s="5" t="inlineStr">
        <is>
          <t>Major</t>
        </is>
      </c>
      <c r="I999" s="5" t="inlineStr">
        <is>
          <t>The tourist guide he employs as a rental baraati, and whom he finally pushes towards marriage.</t>
        </is>
      </c>
      <c r="J999" s="5" t="inlineStr">
        <is>
          <t>Holds the film's romance; Kapoor's role presides over it.</t>
        </is>
      </c>
      <c r="K999" s="19" t="inlineStr">
        <is>
          <t>A Jaipur tourist guide moonlighting in Goyal's hired wedding parties, who runs from his own arranged marriage after kissing Gayatri on the bus, lives with her, is left at the altar himself, and nearly marries Tara instead.</t>
        </is>
      </c>
      <c r="L999" s="5" t="n"/>
      <c r="M999" s="5" t="inlineStr">
        <is>
          <t>SOURCE-136</t>
        </is>
      </c>
    </row>
    <row r="1000" ht="64" customHeight="1">
      <c r="A1000" s="15" t="inlineStr">
        <is>
          <t>CAST-999</t>
        </is>
      </c>
      <c r="B1000" s="18" t="inlineStr">
        <is>
          <t>FILM-144</t>
        </is>
      </c>
      <c r="C1000" s="5" t="inlineStr">
        <is>
          <t>Shuddh Desi Romance</t>
        </is>
      </c>
      <c r="D1000" s="17" t="n">
        <v>2013</v>
      </c>
      <c r="E1000" s="5" t="inlineStr">
        <is>
          <t>Parineeti Chopra</t>
        </is>
      </c>
      <c r="F1000" s="5" t="inlineStr">
        <is>
          <t>Gayatri</t>
        </is>
      </c>
      <c r="G1000" s="5" t="inlineStr">
        <is>
          <t>Co-lead</t>
        </is>
      </c>
      <c r="H1000" s="5" t="inlineStr">
        <is>
          <t>Major</t>
        </is>
      </c>
      <c r="I1000" s="5" t="inlineStr">
        <is>
          <t>One of the fake wedding guests on his payroll, and the woman the film ends by marrying off.</t>
        </is>
      </c>
      <c r="J1000" s="5" t="inlineStr">
        <is>
          <t>The other half of the film's romance, and the one who runs out of it first.</t>
        </is>
      </c>
      <c r="K1000" s="19" t="inlineStr">
        <is>
          <t>An independent woman in Goyal's hired baraat who lives on her own terms, enters a live-in relationship passed off to the neighbours as a brother and sister, and runs out on her own wedding day.</t>
        </is>
      </c>
      <c r="L1000" s="5" t="n"/>
      <c r="M1000" s="5" t="inlineStr">
        <is>
          <t>SOURCE-136</t>
        </is>
      </c>
    </row>
    <row r="1001" ht="34" customHeight="1">
      <c r="A1001" s="15" t="inlineStr">
        <is>
          <t>CAST-1000</t>
        </is>
      </c>
      <c r="B1001" s="18" t="inlineStr">
        <is>
          <t>FILM-144</t>
        </is>
      </c>
      <c r="C1001" s="5" t="inlineStr">
        <is>
          <t>Shuddh Desi Romance</t>
        </is>
      </c>
      <c r="D1001" s="17" t="n">
        <v>2013</v>
      </c>
      <c r="E1001" s="5" t="inlineStr">
        <is>
          <t>Vaani Kapoor</t>
        </is>
      </c>
      <c r="F1001" s="5" t="inlineStr">
        <is>
          <t>Tara</t>
        </is>
      </c>
      <c r="G1001" s="5" t="inlineStr">
        <is>
          <t>Supporting</t>
        </is>
      </c>
      <c r="H1001" s="5" t="inlineStr">
        <is>
          <t>Major</t>
        </is>
      </c>
      <c r="I1001" s="5" t="inlineStr">
        <is>
          <t>The bride from the wedding his employee first ran away from.</t>
        </is>
      </c>
      <c r="J1001" s="5" t="inlineStr">
        <is>
          <t>The third corner of the film's triangle; the actress's debut.</t>
        </is>
      </c>
      <c r="K1001" s="19" t="inlineStr">
        <is>
          <t>The woman Raghu was to marry and abandoned, met again at another wedding and nearly married a second time.</t>
        </is>
      </c>
      <c r="L1001" s="5" t="n"/>
      <c r="M1001" s="5" t="inlineStr">
        <is>
          <t>SOURCE-136</t>
        </is>
      </c>
    </row>
    <row r="1002" ht="34" customHeight="1">
      <c r="A1002" s="15" t="inlineStr">
        <is>
          <t>CAST-1001</t>
        </is>
      </c>
      <c r="B1002" s="18" t="inlineStr">
        <is>
          <t>FILM-144</t>
        </is>
      </c>
      <c r="C1002" s="5" t="inlineStr">
        <is>
          <t>Shuddh Desi Romance</t>
        </is>
      </c>
      <c r="D1002" s="17" t="n">
        <v>2013</v>
      </c>
      <c r="E1002" s="5" t="inlineStr">
        <is>
          <t>Rajesh Sharma</t>
        </is>
      </c>
      <c r="F1002" s="5" t="inlineStr">
        <is>
          <t>Mausa Ji</t>
        </is>
      </c>
      <c r="G1002" s="5" t="inlineStr">
        <is>
          <t>Family</t>
        </is>
      </c>
      <c r="H1002" s="5" t="inlineStr">
        <is>
          <t>Medium</t>
        </is>
      </c>
      <c r="I1002" s="5" t="inlineStr">
        <is>
          <t>A relative in the wedding economy he runs.</t>
        </is>
      </c>
      <c r="J1002" s="5" t="inlineStr">
        <is>
          <t>Family pressure on the marriages the film keeps abandoning.</t>
        </is>
      </c>
      <c r="K1002" s="19" t="inlineStr">
        <is>
          <t>Credited as Mausa Ji, among the relatives organising the weddings the couple keep walking out of.</t>
        </is>
      </c>
      <c r="L1002" s="5" t="n"/>
      <c r="M1002" s="5" t="inlineStr">
        <is>
          <t>SOURCE-136</t>
        </is>
      </c>
    </row>
    <row r="1003" ht="34" customHeight="1">
      <c r="A1003" s="15" t="inlineStr">
        <is>
          <t>CAST-1002</t>
        </is>
      </c>
      <c r="B1003" s="18" t="inlineStr">
        <is>
          <t>FILM-144</t>
        </is>
      </c>
      <c r="C1003" s="5" t="inlineStr">
        <is>
          <t>Shuddh Desi Romance</t>
        </is>
      </c>
      <c r="D1003" s="17" t="n">
        <v>2013</v>
      </c>
      <c r="E1003" s="5" t="inlineStr">
        <is>
          <t>Tarun Vyas</t>
        </is>
      </c>
      <c r="F1003" s="5" t="inlineStr">
        <is>
          <t>Mr. Gupta</t>
        </is>
      </c>
      <c r="G1003" s="5" t="inlineStr">
        <is>
          <t>Supporting</t>
        </is>
      </c>
      <c r="H1003" s="5" t="inlineStr">
        <is>
          <t>Minor</t>
        </is>
      </c>
      <c r="I1003" s="5" t="inlineStr">
        <is>
          <t>The neighbour who exposes the live-in arrangement.</t>
        </is>
      </c>
      <c r="J1003" s="5" t="inlineStr">
        <is>
          <t>The social disapproval the couple is hiding from.</t>
        </is>
      </c>
      <c r="K1003" s="19" t="inlineStr">
        <is>
          <t>Gayatri's neighbour, who catches the couple out and tries to create distrust between them.</t>
        </is>
      </c>
      <c r="L1003" s="5" t="n"/>
      <c r="M1003" s="5" t="inlineStr">
        <is>
          <t>SOURCE-136</t>
        </is>
      </c>
    </row>
    <row r="1004" ht="34" customHeight="1">
      <c r="A1004" s="15" t="inlineStr">
        <is>
          <t>CAST-1003</t>
        </is>
      </c>
      <c r="B1004" s="18" t="inlineStr">
        <is>
          <t>FILM-144</t>
        </is>
      </c>
      <c r="C1004" s="5" t="inlineStr">
        <is>
          <t>Shuddh Desi Romance</t>
        </is>
      </c>
      <c r="D1004" s="17" t="n">
        <v>2013</v>
      </c>
      <c r="E1004" s="5" t="inlineStr">
        <is>
          <t>Bhuvan Arora</t>
        </is>
      </c>
      <c r="F1004" s="5" t="inlineStr">
        <is>
          <t>Raghu's friend</t>
        </is>
      </c>
      <c r="G1004" s="5" t="inlineStr">
        <is>
          <t>Friend</t>
        </is>
      </c>
      <c r="H1004" s="5" t="inlineStr">
        <is>
          <t>Minor</t>
        </is>
      </c>
      <c r="I1004" s="5" t="inlineStr">
        <is>
          <t>A friend of the man he employs.</t>
        </is>
      </c>
      <c r="J1004" s="5" t="inlineStr">
        <is>
          <t>Attends the courtship.</t>
        </is>
      </c>
      <c r="K1004" s="19" t="inlineStr">
        <is>
          <t>Credited as Raghu's friend, in the circle around the film's serial near-weddings.</t>
        </is>
      </c>
      <c r="L1004" s="5" t="n"/>
      <c r="M1004" s="5" t="inlineStr">
        <is>
          <t>SOURCE-136</t>
        </is>
      </c>
    </row>
    <row r="1005" ht="64" customHeight="1">
      <c r="A1005" s="15" t="inlineStr">
        <is>
          <t>CAST-1004</t>
        </is>
      </c>
      <c r="B1005" s="18" t="inlineStr">
        <is>
          <t>FILM-145</t>
        </is>
      </c>
      <c r="C1005" s="5" t="inlineStr">
        <is>
          <t>Besharam</t>
        </is>
      </c>
      <c r="D1005" s="17" t="n">
        <v>2013</v>
      </c>
      <c r="E1005" s="5" t="inlineStr">
        <is>
          <t>Ranbir Kapoor</t>
        </is>
      </c>
      <c r="F1005" s="5" t="inlineStr">
        <is>
          <t>Babli</t>
        </is>
      </c>
      <c r="G1005" s="5" t="inlineStr">
        <is>
          <t>Co-lead</t>
        </is>
      </c>
      <c r="H1005" s="5" t="inlineStr">
        <is>
          <t>Major</t>
        </is>
      </c>
      <c r="I1005" s="5" t="inlineStr">
        <is>
          <t>The car thief he is hunting, and whom he and his wife decide at the end to adopt; played by Kapoor's own son.</t>
        </is>
      </c>
      <c r="J1005" s="5" t="inlineStr">
        <is>
          <t>Holds the film's romance; Kapoor's own pairing is the marriage.</t>
        </is>
      </c>
      <c r="K1005" s="19" t="inlineStr">
        <is>
          <t>A small-time car thief raised in an orphanage, who steals Tara's car, sells it to a hawala dealer, takes her to Chandigarh to get it back, and talks the policeman hunting him into becoming his father.</t>
        </is>
      </c>
      <c r="L1005" s="5" t="inlineStr">
        <is>
          <t>The only film in which Rishi Kapoor, Neetu Kapoor and their son Ranbir Kapoor all appear together.</t>
        </is>
      </c>
      <c r="M1005" s="5" t="inlineStr">
        <is>
          <t>SOURCE-137</t>
        </is>
      </c>
    </row>
    <row r="1006" ht="49" customHeight="1">
      <c r="A1006" s="15" t="inlineStr">
        <is>
          <t>CAST-1005</t>
        </is>
      </c>
      <c r="B1006" s="18" t="inlineStr">
        <is>
          <t>FILM-145</t>
        </is>
      </c>
      <c r="C1006" s="5" t="inlineStr">
        <is>
          <t>Besharam</t>
        </is>
      </c>
      <c r="D1006" s="17" t="n">
        <v>2013</v>
      </c>
      <c r="E1006" s="5" t="inlineStr">
        <is>
          <t>Neetu Kapoor</t>
        </is>
      </c>
      <c r="F1006" s="5" t="inlineStr">
        <is>
          <t>Head Constable Bulbul Chautala</t>
        </is>
      </c>
      <c r="G1006" s="5" t="inlineStr">
        <is>
          <t>Co-lead</t>
        </is>
      </c>
      <c r="H1006" s="5" t="inlineStr">
        <is>
          <t>Major</t>
        </is>
      </c>
      <c r="I1006" s="5" t="inlineStr">
        <is>
          <t>His wife and fellow officer, hunting the same thief; played by Kapoor's own wife.</t>
        </is>
      </c>
      <c r="J1006" s="5" t="inlineStr">
        <is>
          <t>The whole of the pairing in Romances, a working marriage of two police officers.</t>
        </is>
      </c>
      <c r="K1006" s="19" t="inlineStr">
        <is>
          <t>A head constable who works the case with her inspector husband, takes the bribe with him, is confronted in her own house, and decides with him to adopt the thief they were chasing.</t>
        </is>
      </c>
      <c r="L1006" s="5" t="n"/>
      <c r="M1006" s="5" t="inlineStr">
        <is>
          <t>SOURCE-137</t>
        </is>
      </c>
    </row>
    <row r="1007" ht="49" customHeight="1">
      <c r="A1007" s="15" t="inlineStr">
        <is>
          <t>CAST-1006</t>
        </is>
      </c>
      <c r="B1007" s="18" t="inlineStr">
        <is>
          <t>FILM-145</t>
        </is>
      </c>
      <c r="C1007" s="5" t="inlineStr">
        <is>
          <t>Besharam</t>
        </is>
      </c>
      <c r="D1007" s="17" t="n">
        <v>2013</v>
      </c>
      <c r="E1007" s="5" t="inlineStr">
        <is>
          <t>Pallavi Sharda</t>
        </is>
      </c>
      <c r="F1007" s="5" t="inlineStr">
        <is>
          <t>Tara Sharma</t>
        </is>
      </c>
      <c r="G1007" s="5" t="inlineStr">
        <is>
          <t>Co-lead</t>
        </is>
      </c>
      <c r="H1007" s="5" t="inlineStr">
        <is>
          <t>Major</t>
        </is>
      </c>
      <c r="I1007" s="5" t="inlineStr">
        <is>
          <t>The woman whose stolen car brings the thief into his jurisdiction.</t>
        </is>
      </c>
      <c r="J1007" s="5" t="inlineStr">
        <is>
          <t>The film's romance, separate from the policemen's marriage.</t>
        </is>
      </c>
      <c r="K1007" s="19" t="inlineStr">
        <is>
          <t>A young woman insulted by Babli at a wedding whose car he then steals, who goes with him to Chandigarh to recover it and learns he took it himself.</t>
        </is>
      </c>
      <c r="L1007" s="5" t="n"/>
      <c r="M1007" s="5" t="inlineStr">
        <is>
          <t>SOURCE-137</t>
        </is>
      </c>
    </row>
    <row r="1008" ht="34" customHeight="1">
      <c r="A1008" s="15" t="inlineStr">
        <is>
          <t>CAST-1007</t>
        </is>
      </c>
      <c r="B1008" s="18" t="inlineStr">
        <is>
          <t>FILM-145</t>
        </is>
      </c>
      <c r="C1008" s="5" t="inlineStr">
        <is>
          <t>Besharam</t>
        </is>
      </c>
      <c r="D1008" s="17" t="n">
        <v>2013</v>
      </c>
      <c r="E1008" s="5" t="inlineStr">
        <is>
          <t>Javed Jaffrey</t>
        </is>
      </c>
      <c r="F1008" s="5" t="inlineStr">
        <is>
          <t>Bheem Singh Chandel</t>
        </is>
      </c>
      <c r="G1008" s="5" t="inlineStr">
        <is>
          <t>Antagonist</t>
        </is>
      </c>
      <c r="H1008" s="5" t="inlineStr">
        <is>
          <t>Major</t>
        </is>
      </c>
      <c r="I1008" s="5" t="inlineStr">
        <is>
          <t>The hawala dealer whose money passes through the case he is working.</t>
        </is>
      </c>
      <c r="J1008" s="5" t="inlineStr">
        <is>
          <t>The external threat the young couple runs from.</t>
        </is>
      </c>
      <c r="K1008" s="19" t="inlineStr">
        <is>
          <t>A hawala king who buys the stolen car, and from whom the couple steal it back along with a bag of his cash.</t>
        </is>
      </c>
      <c r="L1008" s="5" t="n"/>
      <c r="M1008" s="5" t="inlineStr">
        <is>
          <t>SOURCE-137</t>
        </is>
      </c>
    </row>
    <row r="1009" ht="34" customHeight="1">
      <c r="A1009" s="15" t="inlineStr">
        <is>
          <t>CAST-1008</t>
        </is>
      </c>
      <c r="B1009" s="18" t="inlineStr">
        <is>
          <t>FILM-145</t>
        </is>
      </c>
      <c r="C1009" s="5" t="inlineStr">
        <is>
          <t>Besharam</t>
        </is>
      </c>
      <c r="D1009" s="17" t="n">
        <v>2013</v>
      </c>
      <c r="E1009" s="5" t="inlineStr">
        <is>
          <t>Himani Shivpuri</t>
        </is>
      </c>
      <c r="F1009" s="5" t="inlineStr">
        <is>
          <t>Mrs. Sharma</t>
        </is>
      </c>
      <c r="G1009" s="5" t="inlineStr">
        <is>
          <t>Family</t>
        </is>
      </c>
      <c r="H1009" s="5" t="inlineStr">
        <is>
          <t>Medium</t>
        </is>
      </c>
      <c r="I1009" s="5" t="inlineStr">
        <is>
          <t>The mother of the young woman in the case.</t>
        </is>
      </c>
      <c r="J1009" s="5" t="inlineStr">
        <is>
          <t>Family background to the romance.</t>
        </is>
      </c>
      <c r="K1009" s="19" t="inlineStr">
        <is>
          <t>Credited as Tara's mother, in the household the stolen car belongs to.</t>
        </is>
      </c>
      <c r="L1009" s="5" t="n"/>
      <c r="M1009" s="5" t="inlineStr">
        <is>
          <t>SOURCE-137</t>
        </is>
      </c>
    </row>
    <row r="1010" ht="34" customHeight="1">
      <c r="A1010" s="15" t="inlineStr">
        <is>
          <t>CAST-1009</t>
        </is>
      </c>
      <c r="B1010" s="18" t="inlineStr">
        <is>
          <t>FILM-145</t>
        </is>
      </c>
      <c r="C1010" s="5" t="inlineStr">
        <is>
          <t>Besharam</t>
        </is>
      </c>
      <c r="D1010" s="17" t="n">
        <v>2013</v>
      </c>
      <c r="E1010" s="5" t="inlineStr">
        <is>
          <t>Amitosh Nagpal</t>
        </is>
      </c>
      <c r="F1010" s="5" t="inlineStr">
        <is>
          <t>Titu</t>
        </is>
      </c>
      <c r="G1010" s="5" t="inlineStr">
        <is>
          <t>Friend</t>
        </is>
      </c>
      <c r="H1010" s="5" t="inlineStr">
        <is>
          <t>Minor</t>
        </is>
      </c>
      <c r="I1010" s="5" t="inlineStr">
        <is>
          <t>A companion of the thief he is pursuing.</t>
        </is>
      </c>
      <c r="J1010" s="5" t="inlineStr">
        <is>
          <t>Attends the romance from the thief's side.</t>
        </is>
      </c>
      <c r="K1010" s="19" t="inlineStr">
        <is>
          <t>Credited as Titu, among Babli's associates in the car-theft trade.</t>
        </is>
      </c>
      <c r="L1010" s="5" t="n"/>
      <c r="M1010" s="5" t="inlineStr">
        <is>
          <t>SOURCE-137</t>
        </is>
      </c>
    </row>
    <row r="1011" ht="34" customHeight="1">
      <c r="A1011" s="15" t="inlineStr">
        <is>
          <t>CAST-1010</t>
        </is>
      </c>
      <c r="B1011" s="18" t="inlineStr">
        <is>
          <t>FILM-145</t>
        </is>
      </c>
      <c r="C1011" s="5" t="inlineStr">
        <is>
          <t>Besharam</t>
        </is>
      </c>
      <c r="D1011" s="17" t="n">
        <v>2013</v>
      </c>
      <c r="E1011" s="5" t="inlineStr">
        <is>
          <t>Mohan Kapoor</t>
        </is>
      </c>
      <c r="F1011" s="5" t="inlineStr">
        <is>
          <t>Lawyer Chaddha</t>
        </is>
      </c>
      <c r="G1011" s="5" t="inlineStr">
        <is>
          <t>Supporting</t>
        </is>
      </c>
      <c r="H1011" s="5" t="inlineStr">
        <is>
          <t>Minor</t>
        </is>
      </c>
      <c r="I1011" s="5" t="inlineStr">
        <is>
          <t>A credited legal figure around the case.</t>
        </is>
      </c>
      <c r="J1011" s="5" t="inlineStr">
        <is>
          <t>No part in either pairing.</t>
        </is>
      </c>
      <c r="K1011" s="19" t="inlineStr">
        <is>
          <t>Credited as Lawyer Chaddha, in the legal apparatus around the theft.</t>
        </is>
      </c>
      <c r="L1011" s="5" t="n"/>
      <c r="M1011" s="5" t="inlineStr">
        <is>
          <t>SOURCE-137</t>
        </is>
      </c>
    </row>
    <row r="1012" ht="49" customHeight="1">
      <c r="A1012" s="15" t="inlineStr">
        <is>
          <t>CAST-1011</t>
        </is>
      </c>
      <c r="B1012" s="18" t="inlineStr">
        <is>
          <t>FILM-146</t>
        </is>
      </c>
      <c r="C1012" s="5" t="inlineStr">
        <is>
          <t>Bewakoofiyaan</t>
        </is>
      </c>
      <c r="D1012" s="17" t="n">
        <v>2014</v>
      </c>
      <c r="E1012" s="5" t="inlineStr">
        <is>
          <t>Sonam Kapoor</t>
        </is>
      </c>
      <c r="F1012" s="5" t="inlineStr">
        <is>
          <t>Myra Sehgal</t>
        </is>
      </c>
      <c r="G1012" s="5" t="inlineStr">
        <is>
          <t>Co-lead</t>
        </is>
      </c>
      <c r="H1012" s="5" t="inlineStr">
        <is>
          <t>Major</t>
        </is>
      </c>
      <c r="I1012" s="5" t="inlineStr">
        <is>
          <t>His daughter, whose boyfriend he is set against; the article's plot section is empty.</t>
        </is>
      </c>
      <c r="J1012" s="5" t="inlineStr">
        <is>
          <t>Holds the film's romance; Kapoor's role is the paternal obstacle.</t>
        </is>
      </c>
      <c r="K1012" s="19" t="inlineStr">
        <is>
          <t>Credited as V. K. Sehgal's daughter and Mohit's girlfriend, in a recession comedy whose article carries a cast list but no plot text.</t>
        </is>
      </c>
      <c r="L1012" s="5" t="n"/>
      <c r="M1012" s="5" t="inlineStr">
        <is>
          <t>SOURCE-138</t>
        </is>
      </c>
    </row>
    <row r="1013" ht="49" customHeight="1">
      <c r="A1013" s="15" t="inlineStr">
        <is>
          <t>CAST-1012</t>
        </is>
      </c>
      <c r="B1013" s="18" t="inlineStr">
        <is>
          <t>FILM-146</t>
        </is>
      </c>
      <c r="C1013" s="5" t="inlineStr">
        <is>
          <t>Bewakoofiyaan</t>
        </is>
      </c>
      <c r="D1013" s="17" t="n">
        <v>2014</v>
      </c>
      <c r="E1013" s="5" t="inlineStr">
        <is>
          <t>Ayushmann Khurrana</t>
        </is>
      </c>
      <c r="F1013" s="5" t="inlineStr">
        <is>
          <t>Mohit Chaddha</t>
        </is>
      </c>
      <c r="G1013" s="5" t="inlineStr">
        <is>
          <t>Co-lead</t>
        </is>
      </c>
      <c r="H1013" s="5" t="inlineStr">
        <is>
          <t>Major</t>
        </is>
      </c>
      <c r="I1013" s="5" t="inlineStr">
        <is>
          <t>His daughter's boyfriend, the man he has to be won over by.</t>
        </is>
      </c>
      <c r="J1013" s="5" t="inlineStr">
        <is>
          <t>The other half of the romance Kapoor's character opposes.</t>
        </is>
      </c>
      <c r="K1013" s="19" t="inlineStr">
        <is>
          <t>Credited as Myra's boyfriend, the suitor whose standing with her father the film's reviewers singled out his scenes with Kapoor for.</t>
        </is>
      </c>
      <c r="L1013" s="5" t="n"/>
      <c r="M1013" s="5" t="inlineStr">
        <is>
          <t>SOURCE-138</t>
        </is>
      </c>
    </row>
    <row r="1014" ht="34" customHeight="1">
      <c r="A1014" s="15" t="inlineStr">
        <is>
          <t>CAST-1013</t>
        </is>
      </c>
      <c r="B1014" s="18" t="inlineStr">
        <is>
          <t>FILM-146</t>
        </is>
      </c>
      <c r="C1014" s="5" t="inlineStr">
        <is>
          <t>Bewakoofiyaan</t>
        </is>
      </c>
      <c r="D1014" s="17" t="n">
        <v>2014</v>
      </c>
      <c r="E1014" s="5" t="inlineStr">
        <is>
          <t>Deepika Amin</t>
        </is>
      </c>
      <c r="F1014" s="5" t="inlineStr">
        <is>
          <t>Rupali Wadhwa</t>
        </is>
      </c>
      <c r="G1014" s="5" t="inlineStr">
        <is>
          <t>Supporting</t>
        </is>
      </c>
      <c r="H1014" s="5" t="inlineStr">
        <is>
          <t>Medium</t>
        </is>
      </c>
      <c r="I1014" s="5" t="inlineStr">
        <is>
          <t>Credited as the boyfriend's employer; undocumented beyond the cast list.</t>
        </is>
      </c>
      <c r="J1014" s="5" t="inlineStr">
        <is>
          <t>The job whose loss is the premise of the comedy.</t>
        </is>
      </c>
      <c r="K1014" s="19" t="inlineStr">
        <is>
          <t>Credited as Mohit's boss, in the working world the film's recession plot turns on.</t>
        </is>
      </c>
      <c r="L1014" s="5" t="n"/>
      <c r="M1014" s="5" t="inlineStr">
        <is>
          <t>SOURCE-138</t>
        </is>
      </c>
    </row>
    <row r="1015" ht="34" customHeight="1">
      <c r="A1015" s="15" t="inlineStr">
        <is>
          <t>CAST-1014</t>
        </is>
      </c>
      <c r="B1015" s="18" t="inlineStr">
        <is>
          <t>FILM-146</t>
        </is>
      </c>
      <c r="C1015" s="5" t="inlineStr">
        <is>
          <t>Bewakoofiyaan</t>
        </is>
      </c>
      <c r="D1015" s="17" t="n">
        <v>2014</v>
      </c>
      <c r="E1015" s="5" t="inlineStr">
        <is>
          <t>Gurpal Singh</t>
        </is>
      </c>
      <c r="F1015" s="5" t="inlineStr">
        <is>
          <t>Gursharan Singh</t>
        </is>
      </c>
      <c r="G1015" s="5" t="inlineStr">
        <is>
          <t>Friend</t>
        </is>
      </c>
      <c r="H1015" s="5" t="inlineStr">
        <is>
          <t>Medium</t>
        </is>
      </c>
      <c r="I1015" s="5" t="inlineStr">
        <is>
          <t>Credited as the sidekick of Kapoor's character.</t>
        </is>
      </c>
      <c r="J1015" s="5" t="inlineStr">
        <is>
          <t>The companion to the father's resistance.</t>
        </is>
      </c>
      <c r="K1015" s="19" t="inlineStr">
        <is>
          <t>Credited as V. K.'s sidekick, the only figure the cast list attaches to Kapoor's character.</t>
        </is>
      </c>
      <c r="L1015" s="5" t="n"/>
      <c r="M1015" s="5" t="inlineStr">
        <is>
          <t>SOURCE-138</t>
        </is>
      </c>
    </row>
    <row r="1016" ht="34" customHeight="1">
      <c r="A1016" s="15" t="inlineStr">
        <is>
          <t>CAST-1015</t>
        </is>
      </c>
      <c r="B1016" s="18" t="inlineStr">
        <is>
          <t>FILM-146</t>
        </is>
      </c>
      <c r="C1016" s="5" t="inlineStr">
        <is>
          <t>Bewakoofiyaan</t>
        </is>
      </c>
      <c r="D1016" s="17" t="n">
        <v>2014</v>
      </c>
      <c r="E1016" s="5" t="inlineStr">
        <is>
          <t>Savi Sidhu</t>
        </is>
      </c>
      <c r="F1016" s="5" t="inlineStr">
        <is>
          <t>Masterji</t>
        </is>
      </c>
      <c r="G1016" s="5" t="inlineStr">
        <is>
          <t>Supporting</t>
        </is>
      </c>
      <c r="H1016" s="5" t="inlineStr">
        <is>
          <t>Minor</t>
        </is>
      </c>
      <c r="I1016" s="5" t="inlineStr">
        <is>
          <t>Credited in support; undocumented.</t>
        </is>
      </c>
      <c r="J1016" s="5" t="inlineStr">
        <is>
          <t>Undocumented.</t>
        </is>
      </c>
      <c r="K1016" s="19" t="inlineStr">
        <is>
          <t>Credited as Masterji, with Sapan Saran's Swati, in a cast list given without a synopsis.</t>
        </is>
      </c>
      <c r="L1016" s="5" t="n"/>
      <c r="M1016" s="5" t="inlineStr">
        <is>
          <t>SOURCE-138</t>
        </is>
      </c>
    </row>
    <row r="1017" ht="64" customHeight="1">
      <c r="A1017" s="15" t="inlineStr">
        <is>
          <t>CAST-1016</t>
        </is>
      </c>
      <c r="B1017" s="18" t="inlineStr">
        <is>
          <t>FILM-147</t>
        </is>
      </c>
      <c r="C1017" s="5" t="inlineStr">
        <is>
          <t>Kaanchi: The Unbreakable</t>
        </is>
      </c>
      <c r="D1017" s="17" t="n">
        <v>2014</v>
      </c>
      <c r="E1017" s="5" t="inlineStr">
        <is>
          <t>Mishti Chakraborty</t>
        </is>
      </c>
      <c r="F1017" s="5" t="inlineStr">
        <is>
          <t>Kaanchi</t>
        </is>
      </c>
      <c r="G1017" s="5" t="inlineStr">
        <is>
          <t>Co-lead</t>
        </is>
      </c>
      <c r="H1017" s="5" t="inlineStr">
        <is>
          <t>Major</t>
        </is>
      </c>
      <c r="I1017" s="5" t="inlineStr">
        <is>
          <t>The woman who infiltrates his house as a servant to destroy his family; the actress's debut.</t>
        </is>
      </c>
      <c r="J1017" s="5" t="inlineStr">
        <is>
          <t>Holds the film's romance, which his family ends by murder.</t>
        </is>
      </c>
      <c r="K1017" s="19" t="inlineStr">
        <is>
          <t>A village girl whose fiance is murdered in front of her by the industrialists' son, who goes to Mumbai for revenge, takes service in two Kakda houses in turn, and steals the chip that brings the firm down.</t>
        </is>
      </c>
      <c r="L1017" s="5" t="n"/>
      <c r="M1017" s="5" t="inlineStr">
        <is>
          <t>SOURCE-139</t>
        </is>
      </c>
    </row>
    <row r="1018" ht="49" customHeight="1">
      <c r="A1018" s="15" t="inlineStr">
        <is>
          <t>CAST-1017</t>
        </is>
      </c>
      <c r="B1018" s="18" t="inlineStr">
        <is>
          <t>FILM-147</t>
        </is>
      </c>
      <c r="C1018" s="5" t="inlineStr">
        <is>
          <t>Kaanchi: The Unbreakable</t>
        </is>
      </c>
      <c r="D1018" s="17" t="n">
        <v>2014</v>
      </c>
      <c r="E1018" s="5" t="inlineStr">
        <is>
          <t>Kartik Aaryan</t>
        </is>
      </c>
      <c r="F1018" s="5" t="inlineStr">
        <is>
          <t>Binda Singh</t>
        </is>
      </c>
      <c r="G1018" s="5" t="inlineStr">
        <is>
          <t>Co-lead</t>
        </is>
      </c>
      <c r="H1018" s="5" t="inlineStr">
        <is>
          <t>Major</t>
        </is>
      </c>
      <c r="I1018" s="5" t="inlineStr">
        <is>
          <t>The young man his family's son kills to clear the way.</t>
        </is>
      </c>
      <c r="J1018" s="5" t="inlineStr">
        <is>
          <t>The other half of the romance the Kakdas destroy.</t>
        </is>
      </c>
      <c r="K1018" s="19" t="inlineStr">
        <is>
          <t>Kaanchi's childhood love, whose marriage to her their families had settled, killed in front of her by Sushant Kakda before the wedding.</t>
        </is>
      </c>
      <c r="L1018" s="5" t="n"/>
      <c r="M1018" s="5" t="inlineStr">
        <is>
          <t>SOURCE-139</t>
        </is>
      </c>
    </row>
    <row r="1019" ht="49" customHeight="1">
      <c r="A1019" s="15" t="inlineStr">
        <is>
          <t>CAST-1018</t>
        </is>
      </c>
      <c r="B1019" s="18" t="inlineStr">
        <is>
          <t>FILM-147</t>
        </is>
      </c>
      <c r="C1019" s="5" t="inlineStr">
        <is>
          <t>Kaanchi: The Unbreakable</t>
        </is>
      </c>
      <c r="D1019" s="17" t="n">
        <v>2014</v>
      </c>
      <c r="E1019" s="5" t="inlineStr">
        <is>
          <t>Mithun Chakraborty</t>
        </is>
      </c>
      <c r="F1019" s="5" t="inlineStr">
        <is>
          <t>Shyam Kakda</t>
        </is>
      </c>
      <c r="G1019" s="5" t="inlineStr">
        <is>
          <t>Antagonist</t>
        </is>
      </c>
      <c r="H1019" s="5" t="inlineStr">
        <is>
          <t>Major</t>
        </is>
      </c>
      <c r="I1019" s="5" t="inlineStr">
        <is>
          <t>The other head of the Kakda family, whose house the heroine infiltrates first.</t>
        </is>
      </c>
      <c r="J1019" s="5" t="inlineStr">
        <is>
          <t>The family power behind the murder.</t>
        </is>
      </c>
      <c r="K1019" s="19" t="inlineStr">
        <is>
          <t>The Kakda who wants Koshampa turned into an industrial hub, father of the murderer, and whose affair with his secretary Kaanchi tries to record.</t>
        </is>
      </c>
      <c r="L1019" s="5" t="n"/>
      <c r="M1019" s="5" t="inlineStr">
        <is>
          <t>SOURCE-139</t>
        </is>
      </c>
    </row>
    <row r="1020" ht="49" customHeight="1">
      <c r="A1020" s="15" t="inlineStr">
        <is>
          <t>CAST-1019</t>
        </is>
      </c>
      <c r="B1020" s="18" t="inlineStr">
        <is>
          <t>FILM-147</t>
        </is>
      </c>
      <c r="C1020" s="5" t="inlineStr">
        <is>
          <t>Kaanchi: The Unbreakable</t>
        </is>
      </c>
      <c r="D1020" s="17" t="n">
        <v>2014</v>
      </c>
      <c r="E1020" s="5" t="inlineStr">
        <is>
          <t>Rishabh Sinha</t>
        </is>
      </c>
      <c r="F1020" s="5" t="inlineStr">
        <is>
          <t>Sushant Kakda</t>
        </is>
      </c>
      <c r="G1020" s="5" t="inlineStr">
        <is>
          <t>Antagonist</t>
        </is>
      </c>
      <c r="H1020" s="5" t="inlineStr">
        <is>
          <t>Major</t>
        </is>
      </c>
      <c r="I1020" s="5" t="inlineStr">
        <is>
          <t>The young Kakda who kills the heroine's fiance and then stays in his house.</t>
        </is>
      </c>
      <c r="J1020" s="5" t="inlineStr">
        <is>
          <t>The man whose rejected proposal causes the murder.</t>
        </is>
      </c>
      <c r="K1020" s="19" t="inlineStr">
        <is>
          <t>Shyam Kakda's son, who falls in love with Kaanchi, is refused, kills Binda in front of her before the wedding, and on returning to India stays with Jumar Kakda.</t>
        </is>
      </c>
      <c r="L1020" s="5" t="n"/>
      <c r="M1020" s="5" t="inlineStr">
        <is>
          <t>SOURCE-139</t>
        </is>
      </c>
    </row>
    <row r="1021" ht="34" customHeight="1">
      <c r="A1021" s="15" t="inlineStr">
        <is>
          <t>CAST-1020</t>
        </is>
      </c>
      <c r="B1021" s="18" t="inlineStr">
        <is>
          <t>FILM-147</t>
        </is>
      </c>
      <c r="C1021" s="5" t="inlineStr">
        <is>
          <t>Kaanchi: The Unbreakable</t>
        </is>
      </c>
      <c r="D1021" s="17" t="n">
        <v>2014</v>
      </c>
      <c r="E1021" s="5" t="inlineStr">
        <is>
          <t>Amrita Raichand</t>
        </is>
      </c>
      <c r="F1021" s="5" t="inlineStr">
        <is>
          <t>Gayatri J. Kumar Kakda</t>
        </is>
      </c>
      <c r="G1021" s="5" t="inlineStr">
        <is>
          <t>Family</t>
        </is>
      </c>
      <c r="H1021" s="5" t="inlineStr">
        <is>
          <t>Medium</t>
        </is>
      </c>
      <c r="I1021" s="5" t="inlineStr">
        <is>
          <t>Credited with his own initial in her name, placing her in his household.</t>
        </is>
      </c>
      <c r="J1021" s="5" t="inlineStr">
        <is>
          <t>No part in the romance.</t>
        </is>
      </c>
      <c r="K1021" s="19" t="inlineStr">
        <is>
          <t>Credited as Gayatri J. Kumar Kakda, of the household the heroine enters as a servant in the film's second half.</t>
        </is>
      </c>
      <c r="L1021" s="5" t="n"/>
      <c r="M1021" s="5" t="inlineStr">
        <is>
          <t>SOURCE-139</t>
        </is>
      </c>
    </row>
    <row r="1022" ht="34" customHeight="1">
      <c r="A1022" s="15" t="inlineStr">
        <is>
          <t>CAST-1021</t>
        </is>
      </c>
      <c r="B1022" s="18" t="inlineStr">
        <is>
          <t>FILM-147</t>
        </is>
      </c>
      <c r="C1022" s="5" t="inlineStr">
        <is>
          <t>Kaanchi: The Unbreakable</t>
        </is>
      </c>
      <c r="D1022" s="17" t="n">
        <v>2014</v>
      </c>
      <c r="E1022" s="5" t="inlineStr">
        <is>
          <t>Chandan Roy Sanyal</t>
        </is>
      </c>
      <c r="F1022" s="5" t="inlineStr">
        <is>
          <t>Inspector Ratanlal Bagulla</t>
        </is>
      </c>
      <c r="G1022" s="5" t="inlineStr">
        <is>
          <t>Friend</t>
        </is>
      </c>
      <c r="H1022" s="5" t="inlineStr">
        <is>
          <t>Medium</t>
        </is>
      </c>
      <c r="I1022" s="5" t="inlineStr">
        <is>
          <t>The heroine's ally in getting inside his house.</t>
        </is>
      </c>
      <c r="J1022" s="5" t="inlineStr">
        <is>
          <t>The help the revenge depends on.</t>
        </is>
      </c>
      <c r="K1022" s="19" t="inlineStr">
        <is>
          <t>Kaanchi's old friend, in whose house she stays in Mumbai and with whose help she takes service in the Kakda households.</t>
        </is>
      </c>
      <c r="L1022" s="5" t="n"/>
      <c r="M1022" s="5" t="inlineStr">
        <is>
          <t>SOURCE-139</t>
        </is>
      </c>
    </row>
    <row r="1023" ht="34" customHeight="1">
      <c r="A1023" s="15" t="inlineStr">
        <is>
          <t>CAST-1022</t>
        </is>
      </c>
      <c r="B1023" s="18" t="inlineStr">
        <is>
          <t>FILM-147</t>
        </is>
      </c>
      <c r="C1023" s="5" t="inlineStr">
        <is>
          <t>Kaanchi: The Unbreakable</t>
        </is>
      </c>
      <c r="D1023" s="17" t="n">
        <v>2014</v>
      </c>
      <c r="E1023" s="5" t="inlineStr">
        <is>
          <t>Adil Hussain</t>
        </is>
      </c>
      <c r="F1023" s="5" t="inlineStr">
        <is>
          <t>CBI Officer Arun Roy</t>
        </is>
      </c>
      <c r="G1023" s="5" t="inlineStr">
        <is>
          <t>Authority figure</t>
        </is>
      </c>
      <c r="H1023" s="5" t="inlineStr">
        <is>
          <t>Medium</t>
        </is>
      </c>
      <c r="I1023" s="5" t="inlineStr">
        <is>
          <t>The investigator who comes for the family's dealings.</t>
        </is>
      </c>
      <c r="J1023" s="5" t="inlineStr">
        <is>
          <t>No part in the romance.</t>
        </is>
      </c>
      <c r="K1023" s="19" t="inlineStr">
        <is>
          <t>Credited as the CBI officer in the case against the Kakdas' land and business operations.</t>
        </is>
      </c>
      <c r="L1023" s="5" t="n"/>
      <c r="M1023" s="5" t="inlineStr">
        <is>
          <t>SOURCE-139</t>
        </is>
      </c>
    </row>
    <row r="1024" ht="34" customHeight="1">
      <c r="A1024" s="15" t="inlineStr">
        <is>
          <t>CAST-1023</t>
        </is>
      </c>
      <c r="B1024" s="18" t="inlineStr">
        <is>
          <t>FILM-147</t>
        </is>
      </c>
      <c r="C1024" s="5" t="inlineStr">
        <is>
          <t>Kaanchi: The Unbreakable</t>
        </is>
      </c>
      <c r="D1024" s="17" t="n">
        <v>2014</v>
      </c>
      <c r="E1024" s="5" t="inlineStr">
        <is>
          <t>Natasha Rastogi</t>
        </is>
      </c>
      <c r="F1024" s="5" t="inlineStr">
        <is>
          <t>Teji</t>
        </is>
      </c>
      <c r="G1024" s="5" t="inlineStr">
        <is>
          <t>Family</t>
        </is>
      </c>
      <c r="H1024" s="5" t="inlineStr">
        <is>
          <t>Medium</t>
        </is>
      </c>
      <c r="I1024" s="5" t="inlineStr">
        <is>
          <t>The heroine's mother, in the village his family is trying to take.</t>
        </is>
      </c>
      <c r="J1024" s="5" t="inlineStr">
        <is>
          <t>The family the destroyed marriage belonged to.</t>
        </is>
      </c>
      <c r="K1024" s="19" t="inlineStr">
        <is>
          <t>Credited as Kaanchi's mother, in the Koshampa household the Kakdas' industrial plan would displace.</t>
        </is>
      </c>
      <c r="L1024" s="5" t="n"/>
      <c r="M1024" s="5" t="inlineStr">
        <is>
          <t>SOURCE-139</t>
        </is>
      </c>
    </row>
    <row r="1025" ht="64" customHeight="1">
      <c r="A1025" s="15" t="inlineStr">
        <is>
          <t>CAST-1024</t>
        </is>
      </c>
      <c r="B1025" s="18" t="inlineStr">
        <is>
          <t>FILM-148</t>
        </is>
      </c>
      <c r="C1025" s="5" t="inlineStr">
        <is>
          <t>All Is Well</t>
        </is>
      </c>
      <c r="D1025" s="17" t="n">
        <v>2015</v>
      </c>
      <c r="E1025" s="5" t="inlineStr">
        <is>
          <t>Abhishek Bachchan</t>
        </is>
      </c>
      <c r="F1025" s="5" t="inlineStr">
        <is>
          <t>Inder Bhalla</t>
        </is>
      </c>
      <c r="G1025" s="5" t="inlineStr">
        <is>
          <t>Co-lead</t>
        </is>
      </c>
      <c r="H1025" s="5" t="inlineStr">
        <is>
          <t>Major</t>
        </is>
      </c>
      <c r="I1025" s="5" t="inlineStr">
        <is>
          <t>The son he throws out of the house, and who misreads everything his father has done.</t>
        </is>
      </c>
      <c r="J1025" s="5" t="inlineStr">
        <is>
          <t>Holds the film's younger romance; Kapoor's pairing is the marriage.</t>
        </is>
      </c>
      <c r="K1025" s="19" t="inlineStr">
        <is>
          <t>An aspiring song composer thrown out for refusing the family bakery, who comes back on a lie about a sale, finds his father apparently abducted, and discovers what the years of borrowing and his mother's illness actually were.</t>
        </is>
      </c>
      <c r="L1025" s="5" t="n"/>
      <c r="M1025" s="5" t="inlineStr">
        <is>
          <t>SOURCE-140</t>
        </is>
      </c>
    </row>
    <row r="1026" ht="49" customHeight="1">
      <c r="A1026" s="15" t="inlineStr">
        <is>
          <t>CAST-1025</t>
        </is>
      </c>
      <c r="B1026" s="18" t="inlineStr">
        <is>
          <t>FILM-148</t>
        </is>
      </c>
      <c r="C1026" s="5" t="inlineStr">
        <is>
          <t>All Is Well</t>
        </is>
      </c>
      <c r="D1026" s="17" t="n">
        <v>2015</v>
      </c>
      <c r="E1026" s="5" t="inlineStr">
        <is>
          <t>Supriya Pathak</t>
        </is>
      </c>
      <c r="F1026" s="5" t="inlineStr">
        <is>
          <t>Parminder Bhalla, called Pammi</t>
        </is>
      </c>
      <c r="G1026" s="5" t="inlineStr">
        <is>
          <t>Co-lead</t>
        </is>
      </c>
      <c r="H1026" s="5" t="inlineStr">
        <is>
          <t>Major</t>
        </is>
      </c>
      <c r="I1026" s="5" t="inlineStr">
        <is>
          <t>His wife, whose Alzheimer's he has concealed and whose divorce he agreed to.</t>
        </is>
      </c>
      <c r="J1026" s="5" t="inlineStr">
        <is>
          <t>The whole of the pairing in Romances, a marriage dissolved for reasons the son only learns late.</t>
        </is>
      </c>
      <c r="K1026" s="19" t="inlineStr">
        <is>
          <t>The mother Inder has not spoken to in years, suffering from Alzheimer's and sent to an ashram, divorced from her husband, and remarried to him once their son understands why.</t>
        </is>
      </c>
      <c r="L1026" s="5" t="n"/>
      <c r="M1026" s="5" t="inlineStr">
        <is>
          <t>SOURCE-140</t>
        </is>
      </c>
    </row>
    <row r="1027" ht="34" customHeight="1">
      <c r="A1027" s="15" t="inlineStr">
        <is>
          <t>CAST-1026</t>
        </is>
      </c>
      <c r="B1027" s="18" t="inlineStr">
        <is>
          <t>FILM-148</t>
        </is>
      </c>
      <c r="C1027" s="5" t="inlineStr">
        <is>
          <t>All Is Well</t>
        </is>
      </c>
      <c r="D1027" s="17" t="n">
        <v>2015</v>
      </c>
      <c r="E1027" s="5" t="inlineStr">
        <is>
          <t>Asin</t>
        </is>
      </c>
      <c r="F1027" s="5" t="inlineStr">
        <is>
          <t>Nimmi Bhalla</t>
        </is>
      </c>
      <c r="G1027" s="5" t="inlineStr">
        <is>
          <t>Co-lead</t>
        </is>
      </c>
      <c r="H1027" s="5" t="inlineStr">
        <is>
          <t>Major</t>
        </is>
      </c>
      <c r="I1027" s="5" t="inlineStr">
        <is>
          <t>His son's girlfriend, who arrives into the household's crisis.</t>
        </is>
      </c>
      <c r="J1027" s="5" t="inlineStr">
        <is>
          <t>The younger romance, set against the parents' broken marriage.</t>
        </is>
      </c>
      <c r="K1027" s="19" t="inlineStr">
        <is>
          <t>Inder's girlfriend, who follows him onto the same flight to India and into the family trouble he has come back for.</t>
        </is>
      </c>
      <c r="L1027" s="5" t="n"/>
      <c r="M1027" s="5" t="inlineStr">
        <is>
          <t>SOURCE-140</t>
        </is>
      </c>
    </row>
    <row r="1028" ht="49" customHeight="1">
      <c r="A1028" s="15" t="inlineStr">
        <is>
          <t>CAST-1027</t>
        </is>
      </c>
      <c r="B1028" s="18" t="inlineStr">
        <is>
          <t>FILM-148</t>
        </is>
      </c>
      <c r="C1028" s="5" t="inlineStr">
        <is>
          <t>All Is Well</t>
        </is>
      </c>
      <c r="D1028" s="17" t="n">
        <v>2015</v>
      </c>
      <c r="E1028" s="5" t="inlineStr">
        <is>
          <t>Mohammed Zeeshan Ayyub</t>
        </is>
      </c>
      <c r="F1028" s="5" t="inlineStr">
        <is>
          <t>Cheema</t>
        </is>
      </c>
      <c r="G1028" s="5" t="inlineStr">
        <is>
          <t>Antagonist</t>
        </is>
      </c>
      <c r="H1028" s="5" t="inlineStr">
        <is>
          <t>Major</t>
        </is>
      </c>
      <c r="I1028" s="5" t="inlineStr">
        <is>
          <t>The lender he has borrowed from for years, and who stages his abduction.</t>
        </is>
      </c>
      <c r="J1028" s="5" t="inlineStr">
        <is>
          <t>The external pressure that wrecked the household.</t>
        </is>
      </c>
      <c r="K1028" s="19" t="inlineStr">
        <is>
          <t>The man Bhajanlal has been borrowing from for years, who lies to his son about a bakery sale and holds the father to extract the money.</t>
        </is>
      </c>
      <c r="L1028" s="5" t="n"/>
      <c r="M1028" s="5" t="inlineStr">
        <is>
          <t>SOURCE-140</t>
        </is>
      </c>
    </row>
    <row r="1029" ht="34" customHeight="1">
      <c r="A1029" s="15" t="inlineStr">
        <is>
          <t>CAST-1028</t>
        </is>
      </c>
      <c r="B1029" s="18" t="inlineStr">
        <is>
          <t>FILM-148</t>
        </is>
      </c>
      <c r="C1029" s="5" t="inlineStr">
        <is>
          <t>All Is Well</t>
        </is>
      </c>
      <c r="D1029" s="17" t="n">
        <v>2015</v>
      </c>
      <c r="E1029" s="5" t="inlineStr">
        <is>
          <t>Sumeet Vyas</t>
        </is>
      </c>
      <c r="F1029" s="5" t="inlineStr">
        <is>
          <t>Ronny</t>
        </is>
      </c>
      <c r="G1029" s="5" t="inlineStr">
        <is>
          <t>Friend</t>
        </is>
      </c>
      <c r="H1029" s="5" t="inlineStr">
        <is>
          <t>Medium</t>
        </is>
      </c>
      <c r="I1029" s="5" t="inlineStr">
        <is>
          <t>His son's friend and fellow composer.</t>
        </is>
      </c>
      <c r="J1029" s="5" t="inlineStr">
        <is>
          <t>No part in the marriage.</t>
        </is>
      </c>
      <c r="K1029" s="19" t="inlineStr">
        <is>
          <t>Credited as Inder's friend and fellow aspiring composer, with whom he goes to Thailand.</t>
        </is>
      </c>
      <c r="L1029" s="5" t="n"/>
      <c r="M1029" s="5" t="inlineStr">
        <is>
          <t>SOURCE-140</t>
        </is>
      </c>
    </row>
    <row r="1030" ht="34" customHeight="1">
      <c r="A1030" s="15" t="inlineStr">
        <is>
          <t>CAST-1029</t>
        </is>
      </c>
      <c r="B1030" s="18" t="inlineStr">
        <is>
          <t>FILM-148</t>
        </is>
      </c>
      <c r="C1030" s="5" t="inlineStr">
        <is>
          <t>All Is Well</t>
        </is>
      </c>
      <c r="D1030" s="17" t="n">
        <v>2015</v>
      </c>
      <c r="E1030" s="5" t="inlineStr">
        <is>
          <t>Seema Bhargava</t>
        </is>
      </c>
      <c r="F1030" s="5" t="inlineStr">
        <is>
          <t>Mamiji</t>
        </is>
      </c>
      <c r="G1030" s="5" t="inlineStr">
        <is>
          <t>Family</t>
        </is>
      </c>
      <c r="H1030" s="5" t="inlineStr">
        <is>
          <t>Medium</t>
        </is>
      </c>
      <c r="I1030" s="5" t="inlineStr">
        <is>
          <t>A relative in the family whose troubles the film uncovers.</t>
        </is>
      </c>
      <c r="J1030" s="5" t="inlineStr">
        <is>
          <t>Part of the household around the marriage.</t>
        </is>
      </c>
      <c r="K1030" s="19" t="inlineStr">
        <is>
          <t>Credited as Mamiji, among the relatives of the Bhalla family.</t>
        </is>
      </c>
      <c r="L1030" s="5" t="n"/>
      <c r="M1030" s="5" t="inlineStr">
        <is>
          <t>SOURCE-140</t>
        </is>
      </c>
    </row>
    <row r="1031" ht="34" customHeight="1">
      <c r="A1031" s="15" t="inlineStr">
        <is>
          <t>CAST-1030</t>
        </is>
      </c>
      <c r="B1031" s="18" t="inlineStr">
        <is>
          <t>FILM-148</t>
        </is>
      </c>
      <c r="C1031" s="5" t="inlineStr">
        <is>
          <t>All Is Well</t>
        </is>
      </c>
      <c r="D1031" s="17" t="n">
        <v>2015</v>
      </c>
      <c r="E1031" s="5" t="inlineStr">
        <is>
          <t>Sonakshi Sinha</t>
        </is>
      </c>
      <c r="F1031" s="5" t="inlineStr">
        <is>
          <t>Dancer in 'Nachan Farrate'</t>
        </is>
      </c>
      <c r="G1031" s="5" t="inlineStr">
        <is>
          <t>Cameo</t>
        </is>
      </c>
      <c r="H1031" s="5" t="inlineStr">
        <is>
          <t>Minor</t>
        </is>
      </c>
      <c r="I1031" s="5" t="inlineStr">
        <is>
          <t>A song appearance outside the story.</t>
        </is>
      </c>
      <c r="J1031" s="5" t="inlineStr">
        <is>
          <t>No part in the marriage.</t>
        </is>
      </c>
      <c r="K1031" s="19" t="inlineStr">
        <is>
          <t>Credited for a cameo appearance in the song 'Nachan Farrate'.</t>
        </is>
      </c>
      <c r="L1031" s="5" t="n"/>
      <c r="M1031" s="5" t="inlineStr">
        <is>
          <t>SOURCE-140</t>
        </is>
      </c>
    </row>
    <row r="1032" ht="49" customHeight="1">
      <c r="A1032" s="15" t="inlineStr">
        <is>
          <t>CAST-1031</t>
        </is>
      </c>
      <c r="B1032" s="18" t="inlineStr">
        <is>
          <t>FILM-149</t>
        </is>
      </c>
      <c r="C1032" s="5" t="inlineStr">
        <is>
          <t>Wedding Pullav</t>
        </is>
      </c>
      <c r="D1032" s="17" t="n">
        <v>2015</v>
      </c>
      <c r="E1032" s="5" t="inlineStr">
        <is>
          <t>Diganth Manchale</t>
        </is>
      </c>
      <c r="F1032" s="5" t="inlineStr">
        <is>
          <t>Aditya, called Adi</t>
        </is>
      </c>
      <c r="G1032" s="5" t="inlineStr">
        <is>
          <t>Co-lead</t>
        </is>
      </c>
      <c r="H1032" s="5" t="inlineStr">
        <is>
          <t>Major</t>
        </is>
      </c>
      <c r="I1032" s="5" t="inlineStr">
        <is>
          <t>The film's protagonist; Kapoor is top-billed but credited in a cameo the plot summary does not mention.</t>
        </is>
      </c>
      <c r="J1032" s="5" t="inlineStr">
        <is>
          <t>Holds the film's romance.</t>
        </is>
      </c>
      <c r="K1032" s="19" t="inlineStr">
        <is>
          <t>One of two best friends in love without knowing it, engaged to another woman and jealous of his friend's boyfriend.</t>
        </is>
      </c>
      <c r="L1032" s="5" t="n"/>
      <c r="M1032" s="5" t="inlineStr">
        <is>
          <t>SOURCE-141</t>
        </is>
      </c>
    </row>
    <row r="1033" ht="49" customHeight="1">
      <c r="A1033" s="15" t="inlineStr">
        <is>
          <t>CAST-1032</t>
        </is>
      </c>
      <c r="B1033" s="18" t="inlineStr">
        <is>
          <t>FILM-149</t>
        </is>
      </c>
      <c r="C1033" s="5" t="inlineStr">
        <is>
          <t>Wedding Pullav</t>
        </is>
      </c>
      <c r="D1033" s="17" t="n">
        <v>2015</v>
      </c>
      <c r="E1033" s="5" t="inlineStr">
        <is>
          <t>Anushka Ranjan</t>
        </is>
      </c>
      <c r="F1033" s="5" t="inlineStr">
        <is>
          <t>Anushka</t>
        </is>
      </c>
      <c r="G1033" s="5" t="inlineStr">
        <is>
          <t>Co-lead</t>
        </is>
      </c>
      <c r="H1033" s="5" t="inlineStr">
        <is>
          <t>Major</t>
        </is>
      </c>
      <c r="I1033" s="5" t="inlineStr">
        <is>
          <t>The film's heroine, in a story Kapoor's cameo stands outside; the actress's debut.</t>
        </is>
      </c>
      <c r="J1033" s="5" t="inlineStr">
        <is>
          <t>The other half of the romance.</t>
        </is>
      </c>
      <c r="K1033" s="19" t="inlineStr">
        <is>
          <t>Invited to her best friend's wedding and unhappy about the bride she had praised, in the film's study of two friends who will not say what they feel.</t>
        </is>
      </c>
      <c r="L1033" s="5" t="n"/>
      <c r="M1033" s="5" t="inlineStr">
        <is>
          <t>SOURCE-141</t>
        </is>
      </c>
    </row>
    <row r="1034" ht="34" customHeight="1">
      <c r="A1034" s="15" t="inlineStr">
        <is>
          <t>CAST-1033</t>
        </is>
      </c>
      <c r="B1034" s="18" t="inlineStr">
        <is>
          <t>FILM-149</t>
        </is>
      </c>
      <c r="C1034" s="5" t="inlineStr">
        <is>
          <t>Wedding Pullav</t>
        </is>
      </c>
      <c r="D1034" s="17" t="n">
        <v>2015</v>
      </c>
      <c r="E1034" s="5" t="inlineStr">
        <is>
          <t>Sonnalli Seygall</t>
        </is>
      </c>
      <c r="F1034" s="5" t="inlineStr">
        <is>
          <t>Rhea</t>
        </is>
      </c>
      <c r="G1034" s="5" t="inlineStr">
        <is>
          <t>Romantic rival</t>
        </is>
      </c>
      <c r="H1034" s="5" t="inlineStr">
        <is>
          <t>Medium</t>
        </is>
      </c>
      <c r="I1034" s="5" t="inlineStr">
        <is>
          <t>Credited as the bride in the wedding the film is organised around.</t>
        </is>
      </c>
      <c r="J1034" s="5" t="inlineStr">
        <is>
          <t>The marriage that stands in the way of the friends' romance.</t>
        </is>
      </c>
      <c r="K1034" s="19" t="inlineStr">
        <is>
          <t>Credited as Rhea, the woman Adi is to marry while in love with his best friend.</t>
        </is>
      </c>
      <c r="L1034" s="5" t="n"/>
      <c r="M1034" s="5" t="inlineStr">
        <is>
          <t>SOURCE-141</t>
        </is>
      </c>
    </row>
    <row r="1035" ht="34" customHeight="1">
      <c r="A1035" s="15" t="inlineStr">
        <is>
          <t>CAST-1034</t>
        </is>
      </c>
      <c r="B1035" s="18" t="inlineStr">
        <is>
          <t>FILM-149</t>
        </is>
      </c>
      <c r="C1035" s="5" t="inlineStr">
        <is>
          <t>Wedding Pullav</t>
        </is>
      </c>
      <c r="D1035" s="17" t="n">
        <v>2015</v>
      </c>
      <c r="E1035" s="5" t="inlineStr">
        <is>
          <t>Karan V. Grover</t>
        </is>
      </c>
      <c r="F1035" s="5" t="inlineStr">
        <is>
          <t>Jay</t>
        </is>
      </c>
      <c r="G1035" s="5" t="inlineStr">
        <is>
          <t>Romantic rival</t>
        </is>
      </c>
      <c r="H1035" s="5" t="inlineStr">
        <is>
          <t>Medium</t>
        </is>
      </c>
      <c r="I1035" s="5" t="inlineStr">
        <is>
          <t>Credited as the heroine's boyfriend.</t>
        </is>
      </c>
      <c r="J1035" s="5" t="inlineStr">
        <is>
          <t>The second obstacle to the central attachment.</t>
        </is>
      </c>
      <c r="K1035" s="19" t="inlineStr">
        <is>
          <t>Credited as Jay, Anushka's boyfriend, of whom the groom is jealous.</t>
        </is>
      </c>
      <c r="L1035" s="5" t="n"/>
      <c r="M1035" s="5" t="inlineStr">
        <is>
          <t>SOURCE-141</t>
        </is>
      </c>
    </row>
    <row r="1036" ht="34" customHeight="1">
      <c r="A1036" s="15" t="inlineStr">
        <is>
          <t>CAST-1035</t>
        </is>
      </c>
      <c r="B1036" s="18" t="inlineStr">
        <is>
          <t>FILM-149</t>
        </is>
      </c>
      <c r="C1036" s="5" t="inlineStr">
        <is>
          <t>Wedding Pullav</t>
        </is>
      </c>
      <c r="D1036" s="17" t="n">
        <v>2015</v>
      </c>
      <c r="E1036" s="5" t="inlineStr">
        <is>
          <t>Satish Kaushik</t>
        </is>
      </c>
      <c r="F1036" s="5" t="inlineStr">
        <is>
          <t>Adi's father</t>
        </is>
      </c>
      <c r="G1036" s="5" t="inlineStr">
        <is>
          <t>Family</t>
        </is>
      </c>
      <c r="H1036" s="5" t="inlineStr">
        <is>
          <t>Medium</t>
        </is>
      </c>
      <c r="I1036" s="5" t="inlineStr">
        <is>
          <t>Credited in the groom's family, in the wedding Kapoor is billed over.</t>
        </is>
      </c>
      <c r="J1036" s="5" t="inlineStr">
        <is>
          <t>The family the marriage belongs to.</t>
        </is>
      </c>
      <c r="K1036" s="19" t="inlineStr">
        <is>
          <t>Credited as Adi's father, with Upasana Singh as his mother, in the wedding household.</t>
        </is>
      </c>
      <c r="L1036" s="5" t="n"/>
      <c r="M1036" s="5" t="inlineStr">
        <is>
          <t>SOURCE-141</t>
        </is>
      </c>
    </row>
    <row r="1037" ht="34" customHeight="1">
      <c r="A1037" s="15" t="inlineStr">
        <is>
          <t>CAST-1036</t>
        </is>
      </c>
      <c r="B1037" s="18" t="inlineStr">
        <is>
          <t>FILM-149</t>
        </is>
      </c>
      <c r="C1037" s="5" t="inlineStr">
        <is>
          <t>Wedding Pullav</t>
        </is>
      </c>
      <c r="D1037" s="17" t="n">
        <v>2015</v>
      </c>
      <c r="E1037" s="5" t="inlineStr">
        <is>
          <t>Upasana Singh</t>
        </is>
      </c>
      <c r="F1037" s="5" t="inlineStr">
        <is>
          <t>Adi's mother</t>
        </is>
      </c>
      <c r="G1037" s="5" t="inlineStr">
        <is>
          <t>Family</t>
        </is>
      </c>
      <c r="H1037" s="5" t="inlineStr">
        <is>
          <t>Medium</t>
        </is>
      </c>
      <c r="I1037" s="5" t="inlineStr">
        <is>
          <t>Credited in the groom's family.</t>
        </is>
      </c>
      <c r="J1037" s="5" t="inlineStr">
        <is>
          <t>Family background to the wedding.</t>
        </is>
      </c>
      <c r="K1037" s="19" t="inlineStr">
        <is>
          <t>Credited as Adi's mother, in the family preparing the marriage the film's two friends are unhappy about.</t>
        </is>
      </c>
      <c r="L1037" s="5" t="n"/>
      <c r="M1037" s="5" t="inlineStr">
        <is>
          <t>SOURCE-141</t>
        </is>
      </c>
    </row>
    <row r="1038" ht="34" customHeight="1">
      <c r="A1038" s="15" t="inlineStr">
        <is>
          <t>CAST-1037</t>
        </is>
      </c>
      <c r="B1038" s="18" t="inlineStr">
        <is>
          <t>FILM-149</t>
        </is>
      </c>
      <c r="C1038" s="5" t="inlineStr">
        <is>
          <t>Wedding Pullav</t>
        </is>
      </c>
      <c r="D1038" s="17" t="n">
        <v>2015</v>
      </c>
      <c r="E1038" s="5" t="inlineStr">
        <is>
          <t>Parmeet Sethi</t>
        </is>
      </c>
      <c r="F1038" s="5" t="inlineStr">
        <is>
          <t>Kumar</t>
        </is>
      </c>
      <c r="G1038" s="5" t="inlineStr">
        <is>
          <t>Supporting</t>
        </is>
      </c>
      <c r="H1038" s="5" t="inlineStr">
        <is>
          <t>Minor</t>
        </is>
      </c>
      <c r="I1038" s="5" t="inlineStr">
        <is>
          <t>Credited in the wedding party; undocumented in the three-sentence plot.</t>
        </is>
      </c>
      <c r="J1038" s="5" t="inlineStr">
        <is>
          <t>No documented part in the romance.</t>
        </is>
      </c>
      <c r="K1038" s="19" t="inlineStr">
        <is>
          <t>Credited as Kumar, with Kitu Gidwani's Amrita, in a cast the plot summary does not reach.</t>
        </is>
      </c>
      <c r="L1038" s="5" t="n"/>
      <c r="M1038" s="5" t="inlineStr">
        <is>
          <t>SOURCE-141</t>
        </is>
      </c>
    </row>
    <row r="1039" ht="49" customHeight="1">
      <c r="A1039" s="15" t="inlineStr">
        <is>
          <t>CAST-1038</t>
        </is>
      </c>
      <c r="B1039" s="18" t="inlineStr">
        <is>
          <t>FILM-150</t>
        </is>
      </c>
      <c r="C1039" s="5" t="inlineStr">
        <is>
          <t>Chalk N Duster</t>
        </is>
      </c>
      <c r="D1039" s="17" t="n">
        <v>2016</v>
      </c>
      <c r="E1039" s="5" t="inlineStr">
        <is>
          <t>Shabana Azmi</t>
        </is>
      </c>
      <c r="F1039" s="5" t="inlineStr">
        <is>
          <t>Vidya Sawant</t>
        </is>
      </c>
      <c r="G1039" s="5" t="inlineStr">
        <is>
          <t>Co-lead</t>
        </is>
      </c>
      <c r="H1039" s="5" t="inlineStr">
        <is>
          <t>Major</t>
        </is>
      </c>
      <c r="I1039" s="5" t="inlineStr">
        <is>
          <t>One of the two teachers who come to the quiz he hosts.</t>
        </is>
      </c>
      <c r="J1039" s="5" t="inlineStr">
        <is>
          <t>No part in any romance.</t>
        </is>
      </c>
      <c r="K1039" s="19" t="inlineStr">
        <is>
          <t>A senior teacher at a middling school, unfairly dismissed by the new principal and suffering a heart attack, who recovers in time for the televised contest.</t>
        </is>
      </c>
      <c r="L1039" s="5" t="n"/>
      <c r="M1039" s="5" t="inlineStr">
        <is>
          <t>SOURCE-142</t>
        </is>
      </c>
    </row>
    <row r="1040" ht="64" customHeight="1">
      <c r="A1040" s="15" t="inlineStr">
        <is>
          <t>CAST-1039</t>
        </is>
      </c>
      <c r="B1040" s="18" t="inlineStr">
        <is>
          <t>FILM-150</t>
        </is>
      </c>
      <c r="C1040" s="5" t="inlineStr">
        <is>
          <t>Chalk N Duster</t>
        </is>
      </c>
      <c r="D1040" s="17" t="n">
        <v>2016</v>
      </c>
      <c r="E1040" s="5" t="inlineStr">
        <is>
          <t>Juhi Chawla</t>
        </is>
      </c>
      <c r="F1040" s="5" t="inlineStr">
        <is>
          <t>Jyoti Thakur</t>
        </is>
      </c>
      <c r="G1040" s="5" t="inlineStr">
        <is>
          <t>Co-lead</t>
        </is>
      </c>
      <c r="H1040" s="5" t="inlineStr">
        <is>
          <t>Major</t>
        </is>
      </c>
      <c r="I1040" s="5" t="inlineStr">
        <is>
          <t>The teacher who stakes her career on the quiz he presides over; the last of her eight films with Kapoor.</t>
        </is>
      </c>
      <c r="J1040" s="5" t="inlineStr">
        <is>
          <t>No part in any romance.</t>
        </is>
      </c>
      <c r="K1040" s="19" t="inlineStr">
        <is>
          <t>A teacher who takes on the new principal and the board of trustees in solidarity with her dismissed colleague, using a television platform to argue for teachers' pay and recognition.</t>
        </is>
      </c>
      <c r="L1040" s="5" t="n"/>
      <c r="M1040" s="5" t="inlineStr">
        <is>
          <t>SOURCE-142</t>
        </is>
      </c>
    </row>
    <row r="1041" ht="49" customHeight="1">
      <c r="A1041" s="15" t="inlineStr">
        <is>
          <t>CAST-1040</t>
        </is>
      </c>
      <c r="B1041" s="18" t="inlineStr">
        <is>
          <t>FILM-150</t>
        </is>
      </c>
      <c r="C1041" s="5" t="inlineStr">
        <is>
          <t>Chalk N Duster</t>
        </is>
      </c>
      <c r="D1041" s="17" t="n">
        <v>2016</v>
      </c>
      <c r="E1041" s="5" t="inlineStr">
        <is>
          <t>Divya Dutta</t>
        </is>
      </c>
      <c r="F1041" s="5" t="inlineStr">
        <is>
          <t>Kamini Gupta</t>
        </is>
      </c>
      <c r="G1041" s="5" t="inlineStr">
        <is>
          <t>Antagonist</t>
        </is>
      </c>
      <c r="H1041" s="5" t="inlineStr">
        <is>
          <t>Major</t>
        </is>
      </c>
      <c r="I1041" s="5" t="inlineStr">
        <is>
          <t>The principal whose conduct the contest he hosts is a reckoning for.</t>
        </is>
      </c>
      <c r="J1041" s="5" t="inlineStr">
        <is>
          <t>No part in any romance.</t>
        </is>
      </c>
      <c r="K1041" s="19" t="inlineStr">
        <is>
          <t>The ambitious new principal who removes the teachers' chairs, ends the free tea, reshuffles subjects and dismisses the school's senior teacher.</t>
        </is>
      </c>
      <c r="L1041" s="5" t="n"/>
      <c r="M1041" s="5" t="inlineStr">
        <is>
          <t>SOURCE-142</t>
        </is>
      </c>
    </row>
    <row r="1042" ht="34" customHeight="1">
      <c r="A1042" s="15" t="inlineStr">
        <is>
          <t>CAST-1041</t>
        </is>
      </c>
      <c r="B1042" s="18" t="inlineStr">
        <is>
          <t>FILM-150</t>
        </is>
      </c>
      <c r="C1042" s="5" t="inlineStr">
        <is>
          <t>Chalk N Duster</t>
        </is>
      </c>
      <c r="D1042" s="17" t="n">
        <v>2016</v>
      </c>
      <c r="E1042" s="5" t="inlineStr">
        <is>
          <t>Zarina Wahab</t>
        </is>
      </c>
      <c r="F1042" s="5" t="inlineStr">
        <is>
          <t>Indu Shastry</t>
        </is>
      </c>
      <c r="G1042" s="5" t="inlineStr">
        <is>
          <t>Supporting</t>
        </is>
      </c>
      <c r="H1042" s="5" t="inlineStr">
        <is>
          <t>Major</t>
        </is>
      </c>
      <c r="I1042" s="5" t="inlineStr">
        <is>
          <t>The displaced principal whose school the quiz is fought over.</t>
        </is>
      </c>
      <c r="J1042" s="5" t="inlineStr">
        <is>
          <t>No part in any romance.</t>
        </is>
      </c>
      <c r="K1042" s="19" t="inlineStr">
        <is>
          <t>The popular and considerate principal under whom the school ran smoothly, replaced by Kamini at the start of the film.</t>
        </is>
      </c>
      <c r="L1042" s="5" t="n"/>
      <c r="M1042" s="5" t="inlineStr">
        <is>
          <t>SOURCE-142</t>
        </is>
      </c>
    </row>
    <row r="1043" ht="49" customHeight="1">
      <c r="A1043" s="15" t="inlineStr">
        <is>
          <t>CAST-1042</t>
        </is>
      </c>
      <c r="B1043" s="18" t="inlineStr">
        <is>
          <t>FILM-150</t>
        </is>
      </c>
      <c r="C1043" s="5" t="inlineStr">
        <is>
          <t>Chalk N Duster</t>
        </is>
      </c>
      <c r="D1043" s="17" t="n">
        <v>2016</v>
      </c>
      <c r="E1043" s="5" t="inlineStr">
        <is>
          <t>Jackie Shroff</t>
        </is>
      </c>
      <c r="F1043" s="5" t="inlineStr">
        <is>
          <t>Naresh Patel</t>
        </is>
      </c>
      <c r="G1043" s="5" t="inlineStr">
        <is>
          <t>Supporting</t>
        </is>
      </c>
      <c r="H1043" s="5" t="inlineStr">
        <is>
          <t>Medium</t>
        </is>
      </c>
      <c r="I1043" s="5" t="inlineStr">
        <is>
          <t>The principal of a rival school, in the educational world the quiz indicts.</t>
        </is>
      </c>
      <c r="J1043" s="5" t="inlineStr">
        <is>
          <t>No part in any romance.</t>
        </is>
      </c>
      <c r="K1043" s="19" t="inlineStr">
        <is>
          <t>Credited as the principal of DGM School, one of the figures of the private-schooling business the film is arguing with.</t>
        </is>
      </c>
      <c r="L1043" s="5" t="n"/>
      <c r="M1043" s="5" t="inlineStr">
        <is>
          <t>SOURCE-142</t>
        </is>
      </c>
    </row>
    <row r="1044" ht="34" customHeight="1">
      <c r="A1044" s="15" t="inlineStr">
        <is>
          <t>CAST-1043</t>
        </is>
      </c>
      <c r="B1044" s="18" t="inlineStr">
        <is>
          <t>FILM-150</t>
        </is>
      </c>
      <c r="C1044" s="5" t="inlineStr">
        <is>
          <t>Chalk N Duster</t>
        </is>
      </c>
      <c r="D1044" s="17" t="n">
        <v>2016</v>
      </c>
      <c r="E1044" s="5" t="inlineStr">
        <is>
          <t>Girish Karnad</t>
        </is>
      </c>
      <c r="F1044" s="5" t="inlineStr">
        <is>
          <t>Manohar Sawant</t>
        </is>
      </c>
      <c r="G1044" s="5" t="inlineStr">
        <is>
          <t>Family</t>
        </is>
      </c>
      <c r="H1044" s="5" t="inlineStr">
        <is>
          <t>Medium</t>
        </is>
      </c>
      <c r="I1044" s="5" t="inlineStr">
        <is>
          <t>The husband of one of the two teachers.</t>
        </is>
      </c>
      <c r="J1044" s="5" t="inlineStr">
        <is>
          <t>No part in any romance.</t>
        </is>
      </c>
      <c r="K1044" s="19" t="inlineStr">
        <is>
          <t>Credited as Vidya's husband, in the household behind the dismissed teacher.</t>
        </is>
      </c>
      <c r="L1044" s="5" t="n"/>
      <c r="M1044" s="5" t="inlineStr">
        <is>
          <t>SOURCE-142</t>
        </is>
      </c>
    </row>
    <row r="1045" ht="34" customHeight="1">
      <c r="A1045" s="15" t="inlineStr">
        <is>
          <t>CAST-1044</t>
        </is>
      </c>
      <c r="B1045" s="18" t="inlineStr">
        <is>
          <t>FILM-150</t>
        </is>
      </c>
      <c r="C1045" s="5" t="inlineStr">
        <is>
          <t>Chalk N Duster</t>
        </is>
      </c>
      <c r="D1045" s="17" t="n">
        <v>2016</v>
      </c>
      <c r="E1045" s="5" t="inlineStr">
        <is>
          <t>Aarya Babbar</t>
        </is>
      </c>
      <c r="F1045" s="5" t="inlineStr">
        <is>
          <t>Anmol Parekh</t>
        </is>
      </c>
      <c r="G1045" s="5" t="inlineStr">
        <is>
          <t>Antagonist</t>
        </is>
      </c>
      <c r="H1045" s="5" t="inlineStr">
        <is>
          <t>Medium</t>
        </is>
      </c>
      <c r="I1045" s="5" t="inlineStr">
        <is>
          <t>The trustee behind the principal, on the other side of the contest.</t>
        </is>
      </c>
      <c r="J1045" s="5" t="inlineStr">
        <is>
          <t>No part in any romance.</t>
        </is>
      </c>
      <c r="K1045" s="19" t="inlineStr">
        <is>
          <t>Credited as the school's trustee, leading the misdirected board the teachers take on.</t>
        </is>
      </c>
      <c r="L1045" s="5" t="n"/>
      <c r="M1045" s="5" t="inlineStr">
        <is>
          <t>SOURCE-142</t>
        </is>
      </c>
    </row>
    <row r="1046" ht="34" customHeight="1">
      <c r="A1046" s="15" t="inlineStr">
        <is>
          <t>CAST-1045</t>
        </is>
      </c>
      <c r="B1046" s="18" t="inlineStr">
        <is>
          <t>FILM-150</t>
        </is>
      </c>
      <c r="C1046" s="5" t="inlineStr">
        <is>
          <t>Chalk N Duster</t>
        </is>
      </c>
      <c r="D1046" s="17" t="n">
        <v>2016</v>
      </c>
      <c r="E1046" s="5" t="inlineStr">
        <is>
          <t>Richa Chadha</t>
        </is>
      </c>
      <c r="F1046" s="5" t="inlineStr">
        <is>
          <t>Bhairavi Thakkar</t>
        </is>
      </c>
      <c r="G1046" s="5" t="inlineStr">
        <is>
          <t>Supporting</t>
        </is>
      </c>
      <c r="H1046" s="5" t="inlineStr">
        <is>
          <t>Medium</t>
        </is>
      </c>
      <c r="I1046" s="5" t="inlineStr">
        <is>
          <t>The reporter whose channel carries the contest he hosts.</t>
        </is>
      </c>
      <c r="J1046" s="5" t="inlineStr">
        <is>
          <t>No part in any romance.</t>
        </is>
      </c>
      <c r="K1046" s="19" t="inlineStr">
        <is>
          <t>Credited as a news reporter, in the television platform through which the teachers take their case public.</t>
        </is>
      </c>
      <c r="L1046" s="5" t="n"/>
      <c r="M1046" s="5" t="inlineStr">
        <is>
          <t>SOURCE-142</t>
        </is>
      </c>
    </row>
    <row r="1047" ht="64" customHeight="1">
      <c r="A1047" s="15" t="inlineStr">
        <is>
          <t>CAST-1046</t>
        </is>
      </c>
      <c r="B1047" s="18" t="inlineStr">
        <is>
          <t>FILM-151</t>
        </is>
      </c>
      <c r="C1047" s="5" t="inlineStr">
        <is>
          <t>Sanam Re</t>
        </is>
      </c>
      <c r="D1047" s="17" t="n">
        <v>2016</v>
      </c>
      <c r="E1047" s="5" t="inlineStr">
        <is>
          <t>Pulkit Samrat</t>
        </is>
      </c>
      <c r="F1047" s="5" t="inlineStr">
        <is>
          <t>Akash</t>
        </is>
      </c>
      <c r="G1047" s="5" t="inlineStr">
        <is>
          <t>Co-lead</t>
        </is>
      </c>
      <c r="H1047" s="5" t="inlineStr">
        <is>
          <t>Major</t>
        </is>
      </c>
      <c r="I1047" s="5" t="inlineStr">
        <is>
          <t>His grandson, whose whole life is shaped by the prophecy he made over him.</t>
        </is>
      </c>
      <c r="J1047" s="5" t="inlineStr">
        <is>
          <t>Holds the film's romance, which Kapoor's character predicted and limited.</t>
        </is>
      </c>
      <c r="K1047" s="19" t="inlineStr">
        <is>
          <t>A Mumbai office worker who returns to Tanakpur to sell his dying grandfather's studio, and whose last visit to it releases the memory of the girl the old man's prophecy pointed him to.</t>
        </is>
      </c>
      <c r="L1047" s="5" t="n"/>
      <c r="M1047" s="5" t="inlineStr">
        <is>
          <t>SOURCE-143</t>
        </is>
      </c>
    </row>
    <row r="1048" ht="49" customHeight="1">
      <c r="A1048" s="15" t="inlineStr">
        <is>
          <t>CAST-1047</t>
        </is>
      </c>
      <c r="B1048" s="18" t="inlineStr">
        <is>
          <t>FILM-151</t>
        </is>
      </c>
      <c r="C1048" s="5" t="inlineStr">
        <is>
          <t>Sanam Re</t>
        </is>
      </c>
      <c r="D1048" s="17" t="n">
        <v>2016</v>
      </c>
      <c r="E1048" s="5" t="inlineStr">
        <is>
          <t>Yami Gautam</t>
        </is>
      </c>
      <c r="F1048" s="5" t="inlineStr">
        <is>
          <t>Shruti</t>
        </is>
      </c>
      <c r="G1048" s="5" t="inlineStr">
        <is>
          <t>Co-lead</t>
        </is>
      </c>
      <c r="H1048" s="5" t="inlineStr">
        <is>
          <t>Major</t>
        </is>
      </c>
      <c r="I1048" s="5" t="inlineStr">
        <is>
          <t>The woman his prophecy identified, five hundred steps from the studio.</t>
        </is>
      </c>
      <c r="J1048" s="5" t="inlineStr">
        <is>
          <t>The other half of the romance his prediction both created and foreclosed.</t>
        </is>
      </c>
      <c r="K1048" s="19" t="inlineStr">
        <is>
          <t>The girl Akash falls for at school and leaves without a word for his studies in Mumbai, shattered by his selfishness after a long attachment.</t>
        </is>
      </c>
      <c r="L1048" s="5" t="n"/>
      <c r="M1048" s="5" t="inlineStr">
        <is>
          <t>SOURCE-143</t>
        </is>
      </c>
    </row>
    <row r="1049" ht="34" customHeight="1">
      <c r="A1049" s="15" t="inlineStr">
        <is>
          <t>CAST-1048</t>
        </is>
      </c>
      <c r="B1049" s="18" t="inlineStr">
        <is>
          <t>FILM-151</t>
        </is>
      </c>
      <c r="C1049" s="5" t="inlineStr">
        <is>
          <t>Sanam Re</t>
        </is>
      </c>
      <c r="D1049" s="17" t="n">
        <v>2016</v>
      </c>
      <c r="E1049" s="5" t="inlineStr">
        <is>
          <t>Urvashi Rautela</t>
        </is>
      </c>
      <c r="F1049" s="5" t="inlineStr">
        <is>
          <t>Akansha</t>
        </is>
      </c>
      <c r="G1049" s="5" t="inlineStr">
        <is>
          <t>Supporting</t>
        </is>
      </c>
      <c r="H1049" s="5" t="inlineStr">
        <is>
          <t>Medium</t>
        </is>
      </c>
      <c r="I1049" s="5" t="inlineStr">
        <is>
          <t>Credited as the film's second woman, in his grandson's Mumbai life.</t>
        </is>
      </c>
      <c r="J1049" s="5" t="inlineStr">
        <is>
          <t>The claim set against the predicted one.</t>
        </is>
      </c>
      <c r="K1049" s="19" t="inlineStr">
        <is>
          <t>Credited as Akansha, in the city half of a film whose structure is a prophecy and a flashback.</t>
        </is>
      </c>
      <c r="L1049" s="5" t="n"/>
      <c r="M1049" s="5" t="inlineStr">
        <is>
          <t>SOURCE-143</t>
        </is>
      </c>
    </row>
    <row r="1050" ht="34" customHeight="1">
      <c r="A1050" s="15" t="inlineStr">
        <is>
          <t>CAST-1049</t>
        </is>
      </c>
      <c r="B1050" s="18" t="inlineStr">
        <is>
          <t>FILM-151</t>
        </is>
      </c>
      <c r="C1050" s="5" t="inlineStr">
        <is>
          <t>Sanam Re</t>
        </is>
      </c>
      <c r="D1050" s="17" t="n">
        <v>2016</v>
      </c>
      <c r="E1050" s="5" t="inlineStr">
        <is>
          <t>Aashish Kaul</t>
        </is>
      </c>
      <c r="F1050" s="5" t="inlineStr">
        <is>
          <t>Akash's father</t>
        </is>
      </c>
      <c r="G1050" s="5" t="inlineStr">
        <is>
          <t>Family</t>
        </is>
      </c>
      <c r="H1050" s="5" t="inlineStr">
        <is>
          <t>Medium</t>
        </is>
      </c>
      <c r="I1050" s="5" t="inlineStr">
        <is>
          <t>His son, in the Tanakpur household of the flashback.</t>
        </is>
      </c>
      <c r="J1050" s="5" t="inlineStr">
        <is>
          <t>Family background to the predicted romance.</t>
        </is>
      </c>
      <c r="K1050" s="19" t="inlineStr">
        <is>
          <t>Credited as Akash's father, in the house the six-year-old shares with his parents and his photographer grandfather.</t>
        </is>
      </c>
      <c r="L1050" s="5" t="n"/>
      <c r="M1050" s="5" t="inlineStr">
        <is>
          <t>SOURCE-143</t>
        </is>
      </c>
    </row>
    <row r="1051" ht="34" customHeight="1">
      <c r="A1051" s="15" t="inlineStr">
        <is>
          <t>CAST-1050</t>
        </is>
      </c>
      <c r="B1051" s="18" t="inlineStr">
        <is>
          <t>FILM-151</t>
        </is>
      </c>
      <c r="C1051" s="5" t="inlineStr">
        <is>
          <t>Sanam Re</t>
        </is>
      </c>
      <c r="D1051" s="17" t="n">
        <v>2016</v>
      </c>
      <c r="E1051" s="5" t="inlineStr">
        <is>
          <t>Prachi Shah</t>
        </is>
      </c>
      <c r="F1051" s="5" t="inlineStr">
        <is>
          <t>Akash's mother</t>
        </is>
      </c>
      <c r="G1051" s="5" t="inlineStr">
        <is>
          <t>Family</t>
        </is>
      </c>
      <c r="H1051" s="5" t="inlineStr">
        <is>
          <t>Medium</t>
        </is>
      </c>
      <c r="I1051" s="5" t="inlineStr">
        <is>
          <t>His daughter-in-law, in the same household.</t>
        </is>
      </c>
      <c r="J1051" s="5" t="inlineStr">
        <is>
          <t>Family background to the romance.</t>
        </is>
      </c>
      <c r="K1051" s="19" t="inlineStr">
        <is>
          <t>Credited as Akash's mother, in the Tanakpur family of the film's flashback.</t>
        </is>
      </c>
      <c r="L1051" s="5" t="n"/>
      <c r="M1051" s="5" t="inlineStr">
        <is>
          <t>SOURCE-143</t>
        </is>
      </c>
    </row>
    <row r="1052" ht="34" customHeight="1">
      <c r="A1052" s="15" t="inlineStr">
        <is>
          <t>CAST-1051</t>
        </is>
      </c>
      <c r="B1052" s="18" t="inlineStr">
        <is>
          <t>FILM-151</t>
        </is>
      </c>
      <c r="C1052" s="5" t="inlineStr">
        <is>
          <t>Sanam Re</t>
        </is>
      </c>
      <c r="D1052" s="17" t="n">
        <v>2016</v>
      </c>
      <c r="E1052" s="5" t="inlineStr">
        <is>
          <t>Manoj Joshi</t>
        </is>
      </c>
      <c r="F1052" s="5" t="inlineStr">
        <is>
          <t>Akash's boss</t>
        </is>
      </c>
      <c r="G1052" s="5" t="inlineStr">
        <is>
          <t>Authority figure</t>
        </is>
      </c>
      <c r="H1052" s="5" t="inlineStr">
        <is>
          <t>Minor</t>
        </is>
      </c>
      <c r="I1052" s="5" t="inlineStr">
        <is>
          <t>The employer whose dismissal sends his grandson back to the town.</t>
        </is>
      </c>
      <c r="J1052" s="5" t="inlineStr">
        <is>
          <t>The pressure that returns the hero to the prophecy.</t>
        </is>
      </c>
      <c r="K1052" s="19" t="inlineStr">
        <is>
          <t>Credited as Akash's boss, whose firing of him sends him back to secure a contract and to the past.</t>
        </is>
      </c>
      <c r="L1052" s="5" t="n"/>
      <c r="M1052" s="5" t="inlineStr">
        <is>
          <t>SOURCE-143</t>
        </is>
      </c>
    </row>
    <row r="1053" ht="49" customHeight="1">
      <c r="A1053" s="15" t="inlineStr">
        <is>
          <t>CAST-1052</t>
        </is>
      </c>
      <c r="B1053" s="18" t="inlineStr">
        <is>
          <t>FILM-152</t>
        </is>
      </c>
      <c r="C1053" s="5" t="inlineStr">
        <is>
          <t>Kapoor &amp; Sons</t>
        </is>
      </c>
      <c r="D1053" s="17" t="n">
        <v>2016</v>
      </c>
      <c r="E1053" s="5" t="inlineStr">
        <is>
          <t>Sidharth Malhotra</t>
        </is>
      </c>
      <c r="F1053" s="5" t="inlineStr">
        <is>
          <t>Arjun Kapoor</t>
        </is>
      </c>
      <c r="G1053" s="5" t="inlineStr">
        <is>
          <t>Co-lead</t>
        </is>
      </c>
      <c r="H1053" s="5" t="inlineStr">
        <is>
          <t>Major</t>
        </is>
      </c>
      <c r="I1053" s="5" t="inlineStr">
        <is>
          <t>His grandson, summoned home by his heart attack.</t>
        </is>
      </c>
      <c r="J1053" s="5" t="inlineStr">
        <is>
          <t>Holds the film's romance; Kapoor's role has none.</t>
        </is>
      </c>
      <c r="K1053" s="19" t="inlineStr">
        <is>
          <t>The unfavoured brother, a struggling writer bartending in New Jersey, whose novel his successful brother has quietly taken, and who falls for Tia on the trip home.</t>
        </is>
      </c>
      <c r="L1053" s="5" t="n"/>
      <c r="M1053" s="5" t="inlineStr">
        <is>
          <t>SOURCE-144</t>
        </is>
      </c>
    </row>
    <row r="1054" ht="49" customHeight="1">
      <c r="A1054" s="15" t="inlineStr">
        <is>
          <t>CAST-1053</t>
        </is>
      </c>
      <c r="B1054" s="18" t="inlineStr">
        <is>
          <t>FILM-152</t>
        </is>
      </c>
      <c r="C1054" s="5" t="inlineStr">
        <is>
          <t>Kapoor &amp; Sons</t>
        </is>
      </c>
      <c r="D1054" s="17" t="n">
        <v>2016</v>
      </c>
      <c r="E1054" s="5" t="inlineStr">
        <is>
          <t>Fawad Khan</t>
        </is>
      </c>
      <c r="F1054" s="5" t="inlineStr">
        <is>
          <t>Rahul Kapoor</t>
        </is>
      </c>
      <c r="G1054" s="5" t="inlineStr">
        <is>
          <t>Co-lead</t>
        </is>
      </c>
      <c r="H1054" s="5" t="inlineStr">
        <is>
          <t>Major</t>
        </is>
      </c>
      <c r="I1054" s="5" t="inlineStr">
        <is>
          <t>His other grandson, the family's favourite.</t>
        </is>
      </c>
      <c r="J1054" s="5" t="inlineStr">
        <is>
          <t>The second claim in the film's triangle, and the secret the household finally confronts.</t>
        </is>
      </c>
      <c r="K1054" s="19" t="inlineStr">
        <is>
          <t>A successful London novelist and the family's model son, who has published his brother's work as his own and whose concealed sexuality the household's crisis forces into the open.</t>
        </is>
      </c>
      <c r="L1054" s="5" t="n"/>
      <c r="M1054" s="5" t="inlineStr">
        <is>
          <t>SOURCE-144</t>
        </is>
      </c>
    </row>
    <row r="1055" ht="49" customHeight="1">
      <c r="A1055" s="15" t="inlineStr">
        <is>
          <t>CAST-1054</t>
        </is>
      </c>
      <c r="B1055" s="18" t="inlineStr">
        <is>
          <t>FILM-152</t>
        </is>
      </c>
      <c r="C1055" s="5" t="inlineStr">
        <is>
          <t>Kapoor &amp; Sons</t>
        </is>
      </c>
      <c r="D1055" s="17" t="n">
        <v>2016</v>
      </c>
      <c r="E1055" s="5" t="inlineStr">
        <is>
          <t>Alia Bhatt</t>
        </is>
      </c>
      <c r="F1055" s="5" t="inlineStr">
        <is>
          <t>Tia Malik</t>
        </is>
      </c>
      <c r="G1055" s="5" t="inlineStr">
        <is>
          <t>Co-lead</t>
        </is>
      </c>
      <c r="H1055" s="5" t="inlineStr">
        <is>
          <t>Major</t>
        </is>
      </c>
      <c r="I1055" s="5" t="inlineStr">
        <is>
          <t>A young woman of the Coonoor neighbourhood the family returns to.</t>
        </is>
      </c>
      <c r="J1055" s="5" t="inlineStr">
        <is>
          <t>The apex of the brothers' triangle.</t>
        </is>
      </c>
      <c r="K1055" s="19" t="inlineStr">
        <is>
          <t>An orphaned young woman living in Coonoor, drawn to both brothers in turn, and the point at which their rivalry becomes personal.</t>
        </is>
      </c>
      <c r="L1055" s="5" t="n"/>
      <c r="M1055" s="5" t="inlineStr">
        <is>
          <t>SOURCE-144</t>
        </is>
      </c>
    </row>
    <row r="1056" ht="49" customHeight="1">
      <c r="A1056" s="15" t="inlineStr">
        <is>
          <t>CAST-1055</t>
        </is>
      </c>
      <c r="B1056" s="18" t="inlineStr">
        <is>
          <t>FILM-152</t>
        </is>
      </c>
      <c r="C1056" s="5" t="inlineStr">
        <is>
          <t>Kapoor &amp; Sons</t>
        </is>
      </c>
      <c r="D1056" s="17" t="n">
        <v>2016</v>
      </c>
      <c r="E1056" s="5" t="inlineStr">
        <is>
          <t>Ratna Pathak Shah</t>
        </is>
      </c>
      <c r="F1056" s="5" t="inlineStr">
        <is>
          <t>Sunita Kapoor</t>
        </is>
      </c>
      <c r="G1056" s="5" t="inlineStr">
        <is>
          <t>Family</t>
        </is>
      </c>
      <c r="H1056" s="5" t="inlineStr">
        <is>
          <t>Major</t>
        </is>
      </c>
      <c r="I1056" s="5" t="inlineStr">
        <is>
          <t>His daughter-in-law, in the marriage the household's grievances run through.</t>
        </is>
      </c>
      <c r="J1056" s="5" t="inlineStr">
        <is>
          <t>The damaged marriage at the centre of the family.</t>
        </is>
      </c>
      <c r="K1056" s="19" t="inlineStr">
        <is>
          <t>The mother who openly favours her elder son, wants to open a catering business her husband will not support, and discovers he has broken her fixed deposit to pay bank loans.</t>
        </is>
      </c>
      <c r="L1056" s="5" t="n"/>
      <c r="M1056" s="5" t="inlineStr">
        <is>
          <t>SOURCE-144</t>
        </is>
      </c>
    </row>
    <row r="1057" ht="49" customHeight="1">
      <c r="A1057" s="15" t="inlineStr">
        <is>
          <t>CAST-1056</t>
        </is>
      </c>
      <c r="B1057" s="18" t="inlineStr">
        <is>
          <t>FILM-152</t>
        </is>
      </c>
      <c r="C1057" s="5" t="inlineStr">
        <is>
          <t>Kapoor &amp; Sons</t>
        </is>
      </c>
      <c r="D1057" s="17" t="n">
        <v>2016</v>
      </c>
      <c r="E1057" s="5" t="inlineStr">
        <is>
          <t>Rajat Kapoor</t>
        </is>
      </c>
      <c r="F1057" s="5" t="inlineStr">
        <is>
          <t>Harsh Kapoor</t>
        </is>
      </c>
      <c r="G1057" s="5" t="inlineStr">
        <is>
          <t>Family</t>
        </is>
      </c>
      <c r="H1057" s="5" t="inlineStr">
        <is>
          <t>Major</t>
        </is>
      </c>
      <c r="I1057" s="5" t="inlineStr">
        <is>
          <t>His son, whose marriage and finances are both failing.</t>
        </is>
      </c>
      <c r="J1057" s="5" t="inlineStr">
        <is>
          <t>The husband whose old affair is the family's standing injury.</t>
        </is>
      </c>
      <c r="K1057" s="19" t="inlineStr">
        <is>
          <t>The father of the two brothers, unsupportive of his wife's ambitions, carrying the blemish of a past affair with a colleague, and quietly in financial trouble.</t>
        </is>
      </c>
      <c r="L1057" s="5" t="n"/>
      <c r="M1057" s="5" t="inlineStr">
        <is>
          <t>SOURCE-144</t>
        </is>
      </c>
    </row>
    <row r="1058" ht="49" customHeight="1">
      <c r="A1058" s="15" t="inlineStr">
        <is>
          <t>CAST-1057</t>
        </is>
      </c>
      <c r="B1058" s="18" t="inlineStr">
        <is>
          <t>FILM-152</t>
        </is>
      </c>
      <c r="C1058" s="5" t="inlineStr">
        <is>
          <t>Kapoor &amp; Sons</t>
        </is>
      </c>
      <c r="D1058" s="17" t="n">
        <v>2016</v>
      </c>
      <c r="E1058" s="5" t="inlineStr">
        <is>
          <t>Anahita Uberoi</t>
        </is>
      </c>
      <c r="F1058" s="5" t="inlineStr">
        <is>
          <t>Neetu Kapoor</t>
        </is>
      </c>
      <c r="G1058" s="5" t="inlineStr">
        <is>
          <t>Family</t>
        </is>
      </c>
      <c r="H1058" s="5" t="inlineStr">
        <is>
          <t>Medium</t>
        </is>
      </c>
      <c r="I1058" s="5" t="inlineStr">
        <is>
          <t>Credited in the extended family, under a name the film shares with Kapoor's own wife.</t>
        </is>
      </c>
      <c r="J1058" s="5" t="inlineStr">
        <is>
          <t>Part of the household the film is a portrait of.</t>
        </is>
      </c>
      <c r="K1058" s="19" t="inlineStr">
        <is>
          <t>Credited as Neetu Kapoor, one of several characters in this family drama whose names coincide with the real Kapoor family's.</t>
        </is>
      </c>
      <c r="L1058" s="5" t="n"/>
      <c r="M1058" s="5" t="inlineStr">
        <is>
          <t>SOURCE-144</t>
        </is>
      </c>
    </row>
    <row r="1059" ht="49" customHeight="1">
      <c r="A1059" s="15" t="inlineStr">
        <is>
          <t>CAST-1058</t>
        </is>
      </c>
      <c r="B1059" s="18" t="inlineStr">
        <is>
          <t>FILM-152</t>
        </is>
      </c>
      <c r="C1059" s="5" t="inlineStr">
        <is>
          <t>Kapoor &amp; Sons</t>
        </is>
      </c>
      <c r="D1059" s="17" t="n">
        <v>2016</v>
      </c>
      <c r="E1059" s="5" t="inlineStr">
        <is>
          <t>Vikram Kapadia</t>
        </is>
      </c>
      <c r="F1059" s="5" t="inlineStr">
        <is>
          <t>Shashi Kapoor</t>
        </is>
      </c>
      <c r="G1059" s="5" t="inlineStr">
        <is>
          <t>Supporting</t>
        </is>
      </c>
      <c r="H1059" s="5" t="inlineStr">
        <is>
          <t>Minor</t>
        </is>
      </c>
      <c r="I1059" s="5" t="inlineStr">
        <is>
          <t>Credited in the circle around the family, under the name of Kapoor's own uncle.</t>
        </is>
      </c>
      <c r="J1059" s="5" t="inlineStr">
        <is>
          <t>No part in the romance.</t>
        </is>
      </c>
      <c r="K1059" s="19" t="inlineStr">
        <is>
          <t>Credited as Shashi Kapoor, another of the film's names drawn, deliberately or otherwise, from the actor's own family.</t>
        </is>
      </c>
      <c r="L1059" s="5" t="n"/>
      <c r="M1059" s="5" t="inlineStr">
        <is>
          <t>SOURCE-144</t>
        </is>
      </c>
    </row>
    <row r="1060" ht="34" customHeight="1">
      <c r="A1060" s="15" t="inlineStr">
        <is>
          <t>CAST-1059</t>
        </is>
      </c>
      <c r="B1060" s="18" t="inlineStr">
        <is>
          <t>FILM-152</t>
        </is>
      </c>
      <c r="C1060" s="5" t="inlineStr">
        <is>
          <t>Kapoor &amp; Sons</t>
        </is>
      </c>
      <c r="D1060" s="17" t="n">
        <v>2016</v>
      </c>
      <c r="E1060" s="5" t="inlineStr">
        <is>
          <t>Riya Vij</t>
        </is>
      </c>
      <c r="F1060" s="5" t="inlineStr">
        <is>
          <t>Soumya Parihar</t>
        </is>
      </c>
      <c r="G1060" s="5" t="inlineStr">
        <is>
          <t>Supporting</t>
        </is>
      </c>
      <c r="H1060" s="5" t="inlineStr">
        <is>
          <t>Minor</t>
        </is>
      </c>
      <c r="I1060" s="5" t="inlineStr">
        <is>
          <t>A young neighbour of the household.</t>
        </is>
      </c>
      <c r="J1060" s="5" t="inlineStr">
        <is>
          <t>Peripheral to the triangle.</t>
        </is>
      </c>
      <c r="K1060" s="19" t="inlineStr">
        <is>
          <t>Credited as Soumya Parihar, among the younger figures of the Coonoor neighbourhood.</t>
        </is>
      </c>
      <c r="L1060" s="5" t="n"/>
      <c r="M1060" s="5" t="inlineStr">
        <is>
          <t>SOURCE-144</t>
        </is>
      </c>
    </row>
    <row r="1061" ht="49" customHeight="1">
      <c r="A1061" s="15" t="inlineStr">
        <is>
          <t>CAST-1060</t>
        </is>
      </c>
      <c r="B1061" s="18" t="inlineStr">
        <is>
          <t>FILM-153</t>
        </is>
      </c>
      <c r="C1061" s="5" t="inlineStr">
        <is>
          <t>Patel Ki Punjabi Shaadi</t>
        </is>
      </c>
      <c r="D1061" s="17" t="n">
        <v>2017</v>
      </c>
      <c r="E1061" s="5" t="inlineStr">
        <is>
          <t>Paresh Rawal</t>
        </is>
      </c>
      <c r="F1061" s="5" t="inlineStr">
        <is>
          <t>Hasmukh Patel</t>
        </is>
      </c>
      <c r="G1061" s="5" t="inlineStr">
        <is>
          <t>Co-lead</t>
        </is>
      </c>
      <c r="H1061" s="5" t="inlineStr">
        <is>
          <t>Major</t>
        </is>
      </c>
      <c r="I1061" s="5" t="inlineStr">
        <is>
          <t>The Gujarati father opposite his Punjabi one, whose daughter marries his son.</t>
        </is>
      </c>
      <c r="J1061" s="5" t="inlineStr">
        <is>
          <t>The other half of the film's collision of households.</t>
        </is>
      </c>
      <c r="K1061" s="19" t="inlineStr">
        <is>
          <t>The Gujarati patriarch whose daughter Pooja is to marry Guggi Tandon's son, credited with a mother, a son and two daughters of his own in the film's symmetrical families.</t>
        </is>
      </c>
      <c r="L1061" s="5" t="n"/>
      <c r="M1061" s="5" t="inlineStr">
        <is>
          <t>SOURCE-145</t>
        </is>
      </c>
    </row>
    <row r="1062" ht="49" customHeight="1">
      <c r="A1062" s="15" t="inlineStr">
        <is>
          <t>CAST-1061</t>
        </is>
      </c>
      <c r="B1062" s="18" t="inlineStr">
        <is>
          <t>FILM-153</t>
        </is>
      </c>
      <c r="C1062" s="5" t="inlineStr">
        <is>
          <t>Patel Ki Punjabi Shaadi</t>
        </is>
      </c>
      <c r="D1062" s="17" t="n">
        <v>2017</v>
      </c>
      <c r="E1062" s="5" t="inlineStr">
        <is>
          <t>Vir Das</t>
        </is>
      </c>
      <c r="F1062" s="5" t="inlineStr">
        <is>
          <t>Monty Tandon</t>
        </is>
      </c>
      <c r="G1062" s="5" t="inlineStr">
        <is>
          <t>Family</t>
        </is>
      </c>
      <c r="H1062" s="5" t="inlineStr">
        <is>
          <t>Major</t>
        </is>
      </c>
      <c r="I1062" s="5" t="inlineStr">
        <is>
          <t>His son, whose marriage is the occasion of the film.</t>
        </is>
      </c>
      <c r="J1062" s="5" t="inlineStr">
        <is>
          <t>Holds the film's romance; Kapoor's role is the paternal half.</t>
        </is>
      </c>
      <c r="K1062" s="19" t="inlineStr">
        <is>
          <t>Guggi Tandon's son, married to Hasmukh Patel's daughter Pooja, in the union the two fathers spend the film negotiating around.</t>
        </is>
      </c>
      <c r="L1062" s="5" t="n"/>
      <c r="M1062" s="5" t="inlineStr">
        <is>
          <t>SOURCE-145</t>
        </is>
      </c>
    </row>
    <row r="1063" ht="34" customHeight="1">
      <c r="A1063" s="15" t="inlineStr">
        <is>
          <t>CAST-1062</t>
        </is>
      </c>
      <c r="B1063" s="18" t="inlineStr">
        <is>
          <t>FILM-153</t>
        </is>
      </c>
      <c r="C1063" s="5" t="inlineStr">
        <is>
          <t>Patel Ki Punjabi Shaadi</t>
        </is>
      </c>
      <c r="D1063" s="17" t="n">
        <v>2017</v>
      </c>
      <c r="E1063" s="5" t="inlineStr">
        <is>
          <t>Payal Ghosh</t>
        </is>
      </c>
      <c r="F1063" s="5" t="inlineStr">
        <is>
          <t>Pooja Patel</t>
        </is>
      </c>
      <c r="G1063" s="5" t="inlineStr">
        <is>
          <t>Supporting</t>
        </is>
      </c>
      <c r="H1063" s="5" t="inlineStr">
        <is>
          <t>Major</t>
        </is>
      </c>
      <c r="I1063" s="5" t="inlineStr">
        <is>
          <t>His daughter-in-law, from the Gujarati household; the actress's debut.</t>
        </is>
      </c>
      <c r="J1063" s="5" t="inlineStr">
        <is>
          <t>The other half of the marriage the comedy is built on.</t>
        </is>
      </c>
      <c r="K1063" s="19" t="inlineStr">
        <is>
          <t>Hasmukh Patel's second daughter, married to Monty Tandon, the bride across whom the two families are matched.</t>
        </is>
      </c>
      <c r="L1063" s="5" t="n"/>
      <c r="M1063" s="5" t="inlineStr">
        <is>
          <t>SOURCE-145</t>
        </is>
      </c>
    </row>
    <row r="1064" ht="64" customHeight="1">
      <c r="A1064" s="15" t="inlineStr">
        <is>
          <t>CAST-1063</t>
        </is>
      </c>
      <c r="B1064" s="18" t="inlineStr">
        <is>
          <t>FILM-153</t>
        </is>
      </c>
      <c r="C1064" s="5" t="inlineStr">
        <is>
          <t>Patel Ki Punjabi Shaadi</t>
        </is>
      </c>
      <c r="D1064" s="17" t="n">
        <v>2017</v>
      </c>
      <c r="E1064" s="5" t="inlineStr">
        <is>
          <t>Divya Seth</t>
        </is>
      </c>
      <c r="F1064" s="5" t="inlineStr">
        <is>
          <t>Pummy Tandon</t>
        </is>
      </c>
      <c r="G1064" s="5" t="inlineStr">
        <is>
          <t>Family</t>
        </is>
      </c>
      <c r="H1064" s="5" t="inlineStr">
        <is>
          <t>Major</t>
        </is>
      </c>
      <c r="I1064" s="5" t="inlineStr">
        <is>
          <t>His wife, in the Punjabi household.</t>
        </is>
      </c>
      <c r="J1064" s="5" t="inlineStr">
        <is>
          <t>The filmography records no romance for Kapoor in this film, so the marriage is recorded here rather than in Romances.</t>
        </is>
      </c>
      <c r="K1064" s="19" t="inlineStr">
        <is>
          <t>Credited as Guggi's wife, with a sister of her own in the cast list, in the Punjabi half of the film's two families.</t>
        </is>
      </c>
      <c r="L1064" s="5" t="n"/>
      <c r="M1064" s="5" t="inlineStr">
        <is>
          <t>SOURCE-145</t>
        </is>
      </c>
    </row>
    <row r="1065" ht="34" customHeight="1">
      <c r="A1065" s="15" t="inlineStr">
        <is>
          <t>CAST-1064</t>
        </is>
      </c>
      <c r="B1065" s="18" t="inlineStr">
        <is>
          <t>FILM-153</t>
        </is>
      </c>
      <c r="C1065" s="5" t="inlineStr">
        <is>
          <t>Patel Ki Punjabi Shaadi</t>
        </is>
      </c>
      <c r="D1065" s="17" t="n">
        <v>2017</v>
      </c>
      <c r="E1065" s="5" t="inlineStr">
        <is>
          <t>Prem Chopra</t>
        </is>
      </c>
      <c r="F1065" s="5" t="inlineStr">
        <is>
          <t>Prem Lal Tandon</t>
        </is>
      </c>
      <c r="G1065" s="5" t="inlineStr">
        <is>
          <t>Family</t>
        </is>
      </c>
      <c r="H1065" s="5" t="inlineStr">
        <is>
          <t>Medium</t>
        </is>
      </c>
      <c r="I1065" s="5" t="inlineStr">
        <is>
          <t>His father, the eldest of the Punjabi household.</t>
        </is>
      </c>
      <c r="J1065" s="5" t="inlineStr">
        <is>
          <t>Family background to the marriage.</t>
        </is>
      </c>
      <c r="K1065" s="19" t="inlineStr">
        <is>
          <t>Credited as Guggi's father, in the last of the many films Prem Chopra and Kapoor appeared in together.</t>
        </is>
      </c>
      <c r="L1065" s="5" t="n"/>
      <c r="M1065" s="5" t="inlineStr">
        <is>
          <t>SOURCE-145</t>
        </is>
      </c>
    </row>
    <row r="1066" ht="34" customHeight="1">
      <c r="A1066" s="15" t="inlineStr">
        <is>
          <t>CAST-1065</t>
        </is>
      </c>
      <c r="B1066" s="18" t="inlineStr">
        <is>
          <t>FILM-153</t>
        </is>
      </c>
      <c r="C1066" s="5" t="inlineStr">
        <is>
          <t>Patel Ki Punjabi Shaadi</t>
        </is>
      </c>
      <c r="D1066" s="17" t="n">
        <v>2017</v>
      </c>
      <c r="E1066" s="5" t="inlineStr">
        <is>
          <t>Karanvir Bohra</t>
        </is>
      </c>
      <c r="F1066" s="5" t="inlineStr">
        <is>
          <t>Pankaj Patel</t>
        </is>
      </c>
      <c r="G1066" s="5" t="inlineStr">
        <is>
          <t>Supporting</t>
        </is>
      </c>
      <c r="H1066" s="5" t="inlineStr">
        <is>
          <t>Medium</t>
        </is>
      </c>
      <c r="I1066" s="5" t="inlineStr">
        <is>
          <t>The son of the other household, on the Gujarati side.</t>
        </is>
      </c>
      <c r="J1066" s="5" t="inlineStr">
        <is>
          <t>Part of the family symmetry the film works through.</t>
        </is>
      </c>
      <c r="K1066" s="19" t="inlineStr">
        <is>
          <t>Credited as Hasmukh Patel's son, also called Pet Singh, with Teejay Sidhu as his wife.</t>
        </is>
      </c>
      <c r="L1066" s="5" t="n"/>
      <c r="M1066" s="5" t="inlineStr">
        <is>
          <t>SOURCE-145</t>
        </is>
      </c>
    </row>
    <row r="1067" ht="34" customHeight="1">
      <c r="A1067" s="15" t="inlineStr">
        <is>
          <t>CAST-1066</t>
        </is>
      </c>
      <c r="B1067" s="18" t="inlineStr">
        <is>
          <t>FILM-153</t>
        </is>
      </c>
      <c r="C1067" s="5" t="inlineStr">
        <is>
          <t>Patel Ki Punjabi Shaadi</t>
        </is>
      </c>
      <c r="D1067" s="17" t="n">
        <v>2017</v>
      </c>
      <c r="E1067" s="5" t="inlineStr">
        <is>
          <t>Bharati Achrekar</t>
        </is>
      </c>
      <c r="F1067" s="5" t="inlineStr">
        <is>
          <t>Hasmukh's mother</t>
        </is>
      </c>
      <c r="G1067" s="5" t="inlineStr">
        <is>
          <t>Family</t>
        </is>
      </c>
      <c r="H1067" s="5" t="inlineStr">
        <is>
          <t>Medium</t>
        </is>
      </c>
      <c r="I1067" s="5" t="inlineStr">
        <is>
          <t>The senior figure of the opposing household.</t>
        </is>
      </c>
      <c r="J1067" s="5" t="inlineStr">
        <is>
          <t>Family background to the marriage.</t>
        </is>
      </c>
      <c r="K1067" s="19" t="inlineStr">
        <is>
          <t>Credited as Hasmukh's mother, the eldest of the Gujarati family in the film's pairing of households.</t>
        </is>
      </c>
      <c r="L1067" s="5" t="n"/>
      <c r="M1067" s="5" t="inlineStr">
        <is>
          <t>SOURCE-145</t>
        </is>
      </c>
    </row>
    <row r="1068" ht="64" customHeight="1">
      <c r="A1068" s="15" t="inlineStr">
        <is>
          <t>CAST-1067</t>
        </is>
      </c>
      <c r="B1068" s="18" t="inlineStr">
        <is>
          <t>FILM-154</t>
        </is>
      </c>
      <c r="C1068" s="5" t="inlineStr">
        <is>
          <t>102 Not Out</t>
        </is>
      </c>
      <c r="D1068" s="17" t="n">
        <v>2018</v>
      </c>
      <c r="E1068" s="5" t="inlineStr">
        <is>
          <t>Amitabh Bachchan</t>
        </is>
      </c>
      <c r="F1068" s="5" t="inlineStr">
        <is>
          <t>Dattatraya Jagjeevan Vakharia</t>
        </is>
      </c>
      <c r="G1068" s="5" t="inlineStr">
        <is>
          <t>Co-lead</t>
        </is>
      </c>
      <c r="H1068" s="5" t="inlineStr">
        <is>
          <t>Major</t>
        </is>
      </c>
      <c r="I1068" s="5" t="inlineStr">
        <is>
          <t>His 102-year-old father, who threatens him with an old age home to force him back into life; the last of their films together.</t>
        </is>
      </c>
      <c r="J1068" s="5" t="inlineStr">
        <is>
          <t>Sets the condition that makes Kapoor's character write to his dead wife.</t>
        </is>
      </c>
      <c r="K1068" s="19" t="inlineStr">
        <is>
          <t>A lively 102-year-old intending to break the record for the oldest living person, who must avoid negative-minded people to manage it and so sets his gloomy son a series of conditions to stay in the house.</t>
        </is>
      </c>
      <c r="L1068" s="5" t="inlineStr">
        <is>
          <t>The last of five films in which Amitabh Bachchan and Kapoor appeared together, across forty-two years.</t>
        </is>
      </c>
      <c r="M1068" s="5" t="inlineStr">
        <is>
          <t>SOURCE-146</t>
        </is>
      </c>
    </row>
    <row r="1069" ht="49" customHeight="1">
      <c r="A1069" s="15" t="inlineStr">
        <is>
          <t>CAST-1068</t>
        </is>
      </c>
      <c r="B1069" s="18" t="inlineStr">
        <is>
          <t>FILM-154</t>
        </is>
      </c>
      <c r="C1069" s="5" t="inlineStr">
        <is>
          <t>102 Not Out</t>
        </is>
      </c>
      <c r="D1069" s="17" t="n">
        <v>2018</v>
      </c>
      <c r="E1069" s="5" t="inlineStr">
        <is>
          <t>Jimit Trivedi</t>
        </is>
      </c>
      <c r="F1069" s="5" t="inlineStr">
        <is>
          <t>Dhiru</t>
        </is>
      </c>
      <c r="G1069" s="5" t="inlineStr">
        <is>
          <t>Friend</t>
        </is>
      </c>
      <c r="H1069" s="5" t="inlineStr">
        <is>
          <t>Major</t>
        </is>
      </c>
      <c r="I1069" s="5" t="inlineStr">
        <is>
          <t>The pharmacy employee who delivers his medicines and becomes the household's third member.</t>
        </is>
      </c>
      <c r="J1069" s="5" t="inlineStr">
        <is>
          <t>Witness and accomplice to the conditions, including the letter to the dead wife.</t>
        </is>
      </c>
      <c r="K1069" s="19" t="inlineStr">
        <is>
          <t>A pharmacy employee who brings medicines to the Vakharia house and is drawn into the father and son's contest as friend to both.</t>
        </is>
      </c>
      <c r="L1069" s="5" t="n"/>
      <c r="M1069" s="5" t="inlineStr">
        <is>
          <t>SOURCE-146</t>
        </is>
      </c>
    </row>
    <row r="1070" ht="49" customHeight="1">
      <c r="A1070" s="15" t="inlineStr">
        <is>
          <t>CAST-1069</t>
        </is>
      </c>
      <c r="B1070" s="18" t="inlineStr">
        <is>
          <t>FILM-154</t>
        </is>
      </c>
      <c r="C1070" s="5" t="inlineStr">
        <is>
          <t>102 Not Out</t>
        </is>
      </c>
      <c r="D1070" s="17" t="n">
        <v>2018</v>
      </c>
      <c r="E1070" s="5" t="inlineStr">
        <is>
          <t>Dharmendra Gohil</t>
        </is>
      </c>
      <c r="F1070" s="5" t="inlineStr">
        <is>
          <t>Amol Babulal Vakharia</t>
        </is>
      </c>
      <c r="G1070" s="5" t="inlineStr">
        <is>
          <t>Family</t>
        </is>
      </c>
      <c r="H1070" s="5" t="inlineStr">
        <is>
          <t>Medium</t>
        </is>
      </c>
      <c r="I1070" s="5" t="inlineStr">
        <is>
          <t>His son, settled abroad, and the disappointment at the centre of his condition-setting.</t>
        </is>
      </c>
      <c r="J1070" s="5" t="inlineStr">
        <is>
          <t>No part in the marriage he is made to write to.</t>
        </is>
      </c>
      <c r="K1070" s="19" t="inlineStr">
        <is>
          <t>Credited as Babulal's son and Dattatraya's grandson, living abroad with his wife Sujata, in the absence the old men's argument circles.</t>
        </is>
      </c>
      <c r="L1070" s="5" t="n"/>
      <c r="M1070" s="5" t="inlineStr">
        <is>
          <t>SOURCE-146</t>
        </is>
      </c>
    </row>
    <row r="1071" ht="34" customHeight="1">
      <c r="A1071" s="15" t="inlineStr">
        <is>
          <t>CAST-1070</t>
        </is>
      </c>
      <c r="B1071" s="18" t="inlineStr">
        <is>
          <t>FILM-154</t>
        </is>
      </c>
      <c r="C1071" s="5" t="inlineStr">
        <is>
          <t>102 Not Out</t>
        </is>
      </c>
      <c r="D1071" s="17" t="n">
        <v>2018</v>
      </c>
      <c r="E1071" s="5" t="inlineStr">
        <is>
          <t>Nilesh Pandya</t>
        </is>
      </c>
      <c r="F1071" s="5" t="inlineStr">
        <is>
          <t>Hasmukh Bhai</t>
        </is>
      </c>
      <c r="G1071" s="5" t="inlineStr">
        <is>
          <t>Supporting</t>
        </is>
      </c>
      <c r="H1071" s="5" t="inlineStr">
        <is>
          <t>Minor</t>
        </is>
      </c>
      <c r="I1071" s="5" t="inlineStr">
        <is>
          <t>The employer of the friend who attends the household.</t>
        </is>
      </c>
      <c r="J1071" s="5" t="inlineStr">
        <is>
          <t>No part in the marriage.</t>
        </is>
      </c>
      <c r="K1071" s="19" t="inlineStr">
        <is>
          <t>Credited as Dhiru's employer at the pharmacy, in the small world around the Vakharia house.</t>
        </is>
      </c>
      <c r="L1071" s="5" t="n"/>
      <c r="M1071" s="5" t="inlineStr">
        <is>
          <t>SOURCE-146</t>
        </is>
      </c>
    </row>
    <row r="1072" ht="34" customHeight="1">
      <c r="A1072" s="15" t="inlineStr">
        <is>
          <t>CAST-1071</t>
        </is>
      </c>
      <c r="B1072" s="18" t="inlineStr">
        <is>
          <t>FILM-154</t>
        </is>
      </c>
      <c r="C1072" s="5" t="inlineStr">
        <is>
          <t>102 Not Out</t>
        </is>
      </c>
      <c r="D1072" s="17" t="n">
        <v>2018</v>
      </c>
      <c r="E1072" s="5" t="inlineStr">
        <is>
          <t>Vijay Raaz</t>
        </is>
      </c>
      <c r="F1072" s="5" t="inlineStr">
        <is>
          <t>Narrator</t>
        </is>
      </c>
      <c r="G1072" s="5" t="inlineStr">
        <is>
          <t>Supporting</t>
        </is>
      </c>
      <c r="H1072" s="5" t="inlineStr">
        <is>
          <t>Minor</t>
        </is>
      </c>
      <c r="I1072" s="5" t="inlineStr">
        <is>
          <t>Narrates the story of the father and son.</t>
        </is>
      </c>
      <c r="J1072" s="5" t="inlineStr">
        <is>
          <t>Frames the film rather than participating in it.</t>
        </is>
      </c>
      <c r="K1072" s="19" t="inlineStr">
        <is>
          <t>Credited as the film's narrator, the voice that introduces the 102-year-old and his 75-year-old son.</t>
        </is>
      </c>
      <c r="L1072" s="5" t="n"/>
      <c r="M1072" s="5" t="inlineStr">
        <is>
          <t>SOURCE-146</t>
        </is>
      </c>
    </row>
    <row r="1073" ht="64" customHeight="1">
      <c r="A1073" s="15" t="inlineStr">
        <is>
          <t>CAST-1072</t>
        </is>
      </c>
      <c r="B1073" s="18" t="inlineStr">
        <is>
          <t>FILM-155</t>
        </is>
      </c>
      <c r="C1073" s="5" t="inlineStr">
        <is>
          <t>Mulk</t>
        </is>
      </c>
      <c r="D1073" s="17" t="n">
        <v>2018</v>
      </c>
      <c r="E1073" s="5" t="inlineStr">
        <is>
          <t>Taapsee Pannu</t>
        </is>
      </c>
      <c r="F1073" s="5" t="inlineStr">
        <is>
          <t>Aarti Malhotra Mohammed</t>
        </is>
      </c>
      <c r="G1073" s="5" t="inlineStr">
        <is>
          <t>Co-lead</t>
        </is>
      </c>
      <c r="H1073" s="5" t="inlineStr">
        <is>
          <t>Major</t>
        </is>
      </c>
      <c r="I1073" s="5" t="inlineStr">
        <is>
          <t>His daughter-in-law, estranged from the family, who takes over the defence of his brother.</t>
        </is>
      </c>
      <c r="J1073" s="5" t="inlineStr">
        <is>
          <t>No part in any romance; the film's second protagonist.</t>
        </is>
      </c>
      <c r="K1073" s="19" t="inlineStr">
        <is>
          <t>A Hindu lawyer married to Murad's son and living abroad, visiting on his sixty-fifth birthday, who stays to defend his brother in court and to argue the family's case against collective suspicion.</t>
        </is>
      </c>
      <c r="L1073" s="5" t="n"/>
      <c r="M1073" s="5" t="inlineStr">
        <is>
          <t>SOURCE-148</t>
        </is>
      </c>
    </row>
    <row r="1074" ht="79" customHeight="1">
      <c r="A1074" s="15" t="inlineStr">
        <is>
          <t>CAST-1073</t>
        </is>
      </c>
      <c r="B1074" s="18" t="inlineStr">
        <is>
          <t>FILM-155</t>
        </is>
      </c>
      <c r="C1074" s="5" t="inlineStr">
        <is>
          <t>Mulk</t>
        </is>
      </c>
      <c r="D1074" s="17" t="n">
        <v>2018</v>
      </c>
      <c r="E1074" s="5" t="inlineStr">
        <is>
          <t>Neena Gupta</t>
        </is>
      </c>
      <c r="F1074" s="5" t="inlineStr">
        <is>
          <t>Tabassum Ali Mohammed</t>
        </is>
      </c>
      <c r="G1074" s="5" t="inlineStr">
        <is>
          <t>Family</t>
        </is>
      </c>
      <c r="H1074" s="5" t="inlineStr">
        <is>
          <t>Major</t>
        </is>
      </c>
      <c r="I1074" s="5" t="inlineStr">
        <is>
          <t>His wife, in the house the police turn over.</t>
        </is>
      </c>
      <c r="J1074" s="5" t="inlineStr">
        <is>
          <t>The filmography records only a minor romance for Kapoor here and the article treats the marriage as part of the family's ordeal, which is why there is no Romances row.</t>
        </is>
      </c>
      <c r="K1074" s="19" t="inlineStr">
        <is>
          <t>Murad's wife, in the Varanasi household whose routine of neighbours, tea and namaz the bombing and the raid dismantle.</t>
        </is>
      </c>
      <c r="L1074" s="5" t="n"/>
      <c r="M1074" s="5" t="inlineStr">
        <is>
          <t>SOURCE-148</t>
        </is>
      </c>
    </row>
    <row r="1075" ht="49" customHeight="1">
      <c r="A1075" s="15" t="inlineStr">
        <is>
          <t>CAST-1074</t>
        </is>
      </c>
      <c r="B1075" s="18" t="inlineStr">
        <is>
          <t>FILM-155</t>
        </is>
      </c>
      <c r="C1075" s="5" t="inlineStr">
        <is>
          <t>Mulk</t>
        </is>
      </c>
      <c r="D1075" s="17" t="n">
        <v>2018</v>
      </c>
      <c r="E1075" s="5" t="inlineStr">
        <is>
          <t>Manoj Pahwa</t>
        </is>
      </c>
      <c r="F1075" s="5" t="inlineStr">
        <is>
          <t>Bilal Ali Mohammed</t>
        </is>
      </c>
      <c r="G1075" s="5" t="inlineStr">
        <is>
          <t>Family</t>
        </is>
      </c>
      <c r="H1075" s="5" t="inlineStr">
        <is>
          <t>Major</t>
        </is>
      </c>
      <c r="I1075" s="5" t="inlineStr">
        <is>
          <t>His brother, taken into custody for his own son's act and dying there.</t>
        </is>
      </c>
      <c r="J1075" s="5" t="inlineStr">
        <is>
          <t>No part in any romance.</t>
        </is>
      </c>
      <c r="K1075" s="19" t="inlineStr">
        <is>
          <t>Murad's brother, who runs a mobile phone shop, is the father of the bomber, and is taken into police custody in his son's place.</t>
        </is>
      </c>
      <c r="L1075" s="5" t="inlineStr">
        <is>
          <t>Widely named among the best supporting performances of the year.</t>
        </is>
      </c>
      <c r="M1075" s="5" t="inlineStr">
        <is>
          <t>SOURCE-148</t>
        </is>
      </c>
    </row>
    <row r="1076" ht="49" customHeight="1">
      <c r="A1076" s="15" t="inlineStr">
        <is>
          <t>CAST-1075</t>
        </is>
      </c>
      <c r="B1076" s="18" t="inlineStr">
        <is>
          <t>FILM-155</t>
        </is>
      </c>
      <c r="C1076" s="5" t="inlineStr">
        <is>
          <t>Mulk</t>
        </is>
      </c>
      <c r="D1076" s="17" t="n">
        <v>2018</v>
      </c>
      <c r="E1076" s="5" t="inlineStr">
        <is>
          <t>Prateik Babbar</t>
        </is>
      </c>
      <c r="F1076" s="5" t="inlineStr">
        <is>
          <t>Shahid Ali Mohammed</t>
        </is>
      </c>
      <c r="G1076" s="5" t="inlineStr">
        <is>
          <t>Family</t>
        </is>
      </c>
      <c r="H1076" s="5" t="inlineStr">
        <is>
          <t>Major</t>
        </is>
      </c>
      <c r="I1076" s="5" t="inlineStr">
        <is>
          <t>His nephew, whose bombing turns the family into suspects.</t>
        </is>
      </c>
      <c r="J1076" s="5" t="inlineStr">
        <is>
          <t>No part in any romance.</t>
        </is>
      </c>
      <c r="K1076" s="19" t="inlineStr">
        <is>
          <t>Murad's nephew, radicalised and responsible for a bomb blast in Allahabad, shot dead by the police, and the act the whole family is then held to answer for.</t>
        </is>
      </c>
      <c r="L1076" s="5" t="n"/>
      <c r="M1076" s="5" t="inlineStr">
        <is>
          <t>SOURCE-148</t>
        </is>
      </c>
    </row>
    <row r="1077" ht="49" customHeight="1">
      <c r="A1077" s="15" t="inlineStr">
        <is>
          <t>CAST-1076</t>
        </is>
      </c>
      <c r="B1077" s="18" t="inlineStr">
        <is>
          <t>FILM-155</t>
        </is>
      </c>
      <c r="C1077" s="5" t="inlineStr">
        <is>
          <t>Mulk</t>
        </is>
      </c>
      <c r="D1077" s="17" t="n">
        <v>2018</v>
      </c>
      <c r="E1077" s="5" t="inlineStr">
        <is>
          <t>Ashutosh Rana</t>
        </is>
      </c>
      <c r="F1077" s="5" t="inlineStr">
        <is>
          <t>Santosh Anand</t>
        </is>
      </c>
      <c r="G1077" s="5" t="inlineStr">
        <is>
          <t>Antagonist</t>
        </is>
      </c>
      <c r="H1077" s="5" t="inlineStr">
        <is>
          <t>Major</t>
        </is>
      </c>
      <c r="I1077" s="5" t="inlineStr">
        <is>
          <t>The prosecutor who turns the case into an argument about the loyalty of a community.</t>
        </is>
      </c>
      <c r="J1077" s="5" t="inlineStr">
        <is>
          <t>No part in any romance.</t>
        </is>
      </c>
      <c r="K1077" s="19" t="inlineStr">
        <is>
          <t>The public prosecutor whose case against the family is conducted as a case against Muslims generally, and the film's chief adversary in court.</t>
        </is>
      </c>
      <c r="L1077" s="5" t="n"/>
      <c r="M1077" s="5" t="inlineStr">
        <is>
          <t>SOURCE-148</t>
        </is>
      </c>
    </row>
    <row r="1078" ht="49" customHeight="1">
      <c r="A1078" s="15" t="inlineStr">
        <is>
          <t>CAST-1077</t>
        </is>
      </c>
      <c r="B1078" s="18" t="inlineStr">
        <is>
          <t>FILM-155</t>
        </is>
      </c>
      <c r="C1078" s="5" t="inlineStr">
        <is>
          <t>Mulk</t>
        </is>
      </c>
      <c r="D1078" s="17" t="n">
        <v>2018</v>
      </c>
      <c r="E1078" s="5" t="inlineStr">
        <is>
          <t>Rajat Kapoor</t>
        </is>
      </c>
      <c r="F1078" s="5" t="inlineStr">
        <is>
          <t>SSP Danish Javed</t>
        </is>
      </c>
      <c r="G1078" s="5" t="inlineStr">
        <is>
          <t>Authority figure</t>
        </is>
      </c>
      <c r="H1078" s="5" t="inlineStr">
        <is>
          <t>Major</t>
        </is>
      </c>
      <c r="I1078" s="5" t="inlineStr">
        <is>
          <t>The investigating officer, a Muslim policeman pursuing his family.</t>
        </is>
      </c>
      <c r="J1078" s="5" t="inlineStr">
        <is>
          <t>No part in any romance.</t>
        </is>
      </c>
      <c r="K1078" s="19" t="inlineStr">
        <is>
          <t>The senior officer leading the investigation, whose own position complicates the film's argument about suspicion and belonging.</t>
        </is>
      </c>
      <c r="L1078" s="5" t="n"/>
      <c r="M1078" s="5" t="inlineStr">
        <is>
          <t>SOURCE-148</t>
        </is>
      </c>
    </row>
    <row r="1079" ht="34" customHeight="1">
      <c r="A1079" s="15" t="inlineStr">
        <is>
          <t>CAST-1078</t>
        </is>
      </c>
      <c r="B1079" s="18" t="inlineStr">
        <is>
          <t>FILM-155</t>
        </is>
      </c>
      <c r="C1079" s="5" t="inlineStr">
        <is>
          <t>Mulk</t>
        </is>
      </c>
      <c r="D1079" s="17" t="n">
        <v>2018</v>
      </c>
      <c r="E1079" s="5" t="inlineStr">
        <is>
          <t>Kumud Mishra</t>
        </is>
      </c>
      <c r="F1079" s="5" t="inlineStr">
        <is>
          <t>Judge Harish Madhok</t>
        </is>
      </c>
      <c r="G1079" s="5" t="inlineStr">
        <is>
          <t>Authority figure</t>
        </is>
      </c>
      <c r="H1079" s="5" t="inlineStr">
        <is>
          <t>Medium</t>
        </is>
      </c>
      <c r="I1079" s="5" t="inlineStr">
        <is>
          <t>The judge who hears the case against his family.</t>
        </is>
      </c>
      <c r="J1079" s="5" t="inlineStr">
        <is>
          <t>No part in any romance.</t>
        </is>
      </c>
      <c r="K1079" s="19" t="inlineStr">
        <is>
          <t>The judge whose closing remarks carry the film's statement about citizenship and prejudice.</t>
        </is>
      </c>
      <c r="L1079" s="5" t="n"/>
      <c r="M1079" s="5" t="inlineStr">
        <is>
          <t>SOURCE-148</t>
        </is>
      </c>
    </row>
    <row r="1080" ht="34" customHeight="1">
      <c r="A1080" s="15" t="inlineStr">
        <is>
          <t>CAST-1079</t>
        </is>
      </c>
      <c r="B1080" s="18" t="inlineStr">
        <is>
          <t>FILM-155</t>
        </is>
      </c>
      <c r="C1080" s="5" t="inlineStr">
        <is>
          <t>Mulk</t>
        </is>
      </c>
      <c r="D1080" s="17" t="n">
        <v>2018</v>
      </c>
      <c r="E1080" s="5" t="inlineStr">
        <is>
          <t>Indraneil Sengupta</t>
        </is>
      </c>
      <c r="F1080" s="5" t="inlineStr">
        <is>
          <t>Aftab Ali Mohammed</t>
        </is>
      </c>
      <c r="G1080" s="5" t="inlineStr">
        <is>
          <t>Family</t>
        </is>
      </c>
      <c r="H1080" s="5" t="inlineStr">
        <is>
          <t>Medium</t>
        </is>
      </c>
      <c r="I1080" s="5" t="inlineStr">
        <is>
          <t>His son, living abroad and estranged from the household.</t>
        </is>
      </c>
      <c r="J1080" s="5" t="inlineStr">
        <is>
          <t>No part in any romance.</t>
        </is>
      </c>
      <c r="K1080" s="19" t="inlineStr">
        <is>
          <t>Murad's son, settled abroad with his lawyer wife and distant from the family whose crisis she returns into.</t>
        </is>
      </c>
      <c r="L1080" s="5" t="n"/>
      <c r="M1080" s="5" t="inlineStr">
        <is>
          <t>SOURCE-148</t>
        </is>
      </c>
    </row>
    <row r="1081" ht="34" customHeight="1">
      <c r="A1081" s="15" t="inlineStr">
        <is>
          <t>CAST-1080</t>
        </is>
      </c>
      <c r="B1081" s="18" t="inlineStr">
        <is>
          <t>FILM-155</t>
        </is>
      </c>
      <c r="C1081" s="5" t="inlineStr">
        <is>
          <t>Mulk</t>
        </is>
      </c>
      <c r="D1081" s="17" t="n">
        <v>2018</v>
      </c>
      <c r="E1081" s="5" t="inlineStr">
        <is>
          <t>Prachee Shah Pandya</t>
        </is>
      </c>
      <c r="F1081" s="5" t="inlineStr">
        <is>
          <t>Chhoti Tabassum Ali Mohammed</t>
        </is>
      </c>
      <c r="G1081" s="5" t="inlineStr">
        <is>
          <t>Family</t>
        </is>
      </c>
      <c r="H1081" s="5" t="inlineStr">
        <is>
          <t>Medium</t>
        </is>
      </c>
      <c r="I1081" s="5" t="inlineStr">
        <is>
          <t>His sister-in-law, the bomber's mother.</t>
        </is>
      </c>
      <c r="J1081" s="5" t="inlineStr">
        <is>
          <t>No part in any romance.</t>
        </is>
      </c>
      <c r="K1081" s="19" t="inlineStr">
        <is>
          <t>Bilal's wife and Shahid's mother, in the joint household the film's events break apart.</t>
        </is>
      </c>
      <c r="L1081" s="5" t="n"/>
      <c r="M1081" s="5" t="inlineStr">
        <is>
          <t>SOURCE-148</t>
        </is>
      </c>
    </row>
    <row r="1082" ht="49" customHeight="1">
      <c r="A1082" s="15" t="inlineStr">
        <is>
          <t>CAST-1081</t>
        </is>
      </c>
      <c r="B1082" s="18" t="inlineStr">
        <is>
          <t>FILM-156</t>
        </is>
      </c>
      <c r="C1082" s="5" t="inlineStr">
        <is>
          <t>Manto</t>
        </is>
      </c>
      <c r="D1082" s="17" t="n">
        <v>2018</v>
      </c>
      <c r="E1082" s="5" t="inlineStr">
        <is>
          <t>Nawazuddin Siddiqui</t>
        </is>
      </c>
      <c r="F1082" s="5" t="inlineStr">
        <is>
          <t>Saadat Hasan Manto</t>
        </is>
      </c>
      <c r="G1082" s="5" t="inlineStr">
        <is>
          <t>Co-lead</t>
        </is>
      </c>
      <c r="H1082" s="5" t="inlineStr">
        <is>
          <t>Major</t>
        </is>
      </c>
      <c r="I1082" s="5" t="inlineStr">
        <is>
          <t>The writer whose film-industry world Kapoor's producer belongs to.</t>
        </is>
      </c>
      <c r="J1082" s="5" t="inlineStr">
        <is>
          <t>Holds the film's marriage; Kapoor's cameo has no romance.</t>
        </is>
      </c>
      <c r="K1082" s="19" t="inlineStr">
        <is>
          <t>The short-story writer working as a scriptwriter in 1940s Bombay, acquitted of obscenity, who stays in the city as partition comes and is finally driven to Lahore.</t>
        </is>
      </c>
      <c r="L1082" s="5" t="inlineStr">
        <is>
          <t>Among the most praised of Nawazuddin Siddiqui's leading performances.</t>
        </is>
      </c>
      <c r="M1082" s="5" t="inlineStr">
        <is>
          <t>SOURCE-147</t>
        </is>
      </c>
    </row>
    <row r="1083" ht="49" customHeight="1">
      <c r="A1083" s="15" t="inlineStr">
        <is>
          <t>CAST-1082</t>
        </is>
      </c>
      <c r="B1083" s="18" t="inlineStr">
        <is>
          <t>FILM-156</t>
        </is>
      </c>
      <c r="C1083" s="5" t="inlineStr">
        <is>
          <t>Manto</t>
        </is>
      </c>
      <c r="D1083" s="17" t="n">
        <v>2018</v>
      </c>
      <c r="E1083" s="5" t="inlineStr">
        <is>
          <t>Rasika Dugal</t>
        </is>
      </c>
      <c r="F1083" s="5" t="inlineStr">
        <is>
          <t>Safia Manto</t>
        </is>
      </c>
      <c r="G1083" s="5" t="inlineStr">
        <is>
          <t>Co-lead</t>
        </is>
      </c>
      <c r="H1083" s="5" t="inlineStr">
        <is>
          <t>Major</t>
        </is>
      </c>
      <c r="I1083" s="5" t="inlineStr">
        <is>
          <t>The writer's wife, outside the industry Kapoor's producer represents.</t>
        </is>
      </c>
      <c r="J1083" s="5" t="inlineStr">
        <is>
          <t>The film's marriage, and its steadiest relationship.</t>
        </is>
      </c>
      <c r="K1083" s="19" t="inlineStr">
        <is>
          <t>Manto's wife and, as the film has it, his unwavering pillar of strength, who leaves for Lahore for her sister's wedding as the tensions flare.</t>
        </is>
      </c>
      <c r="L1083" s="5" t="n"/>
      <c r="M1083" s="5" t="inlineStr">
        <is>
          <t>SOURCE-147</t>
        </is>
      </c>
    </row>
    <row r="1084" ht="49" customHeight="1">
      <c r="A1084" s="15" t="inlineStr">
        <is>
          <t>CAST-1083</t>
        </is>
      </c>
      <c r="B1084" s="18" t="inlineStr">
        <is>
          <t>FILM-156</t>
        </is>
      </c>
      <c r="C1084" s="5" t="inlineStr">
        <is>
          <t>Manto</t>
        </is>
      </c>
      <c r="D1084" s="17" t="n">
        <v>2018</v>
      </c>
      <c r="E1084" s="5" t="inlineStr">
        <is>
          <t>Tahir Raj Bhasin</t>
        </is>
      </c>
      <c r="F1084" s="5" t="inlineStr">
        <is>
          <t>Shyam</t>
        </is>
      </c>
      <c r="G1084" s="5" t="inlineStr">
        <is>
          <t>Friend</t>
        </is>
      </c>
      <c r="H1084" s="5" t="inlineStr">
        <is>
          <t>Major</t>
        </is>
      </c>
      <c r="I1084" s="5" t="inlineStr">
        <is>
          <t>An actor of the same film world Kapoor's producer works in, and the writer's closest friend in it.</t>
        </is>
      </c>
      <c r="J1084" s="5" t="inlineStr">
        <is>
          <t>No part in the marriage.</t>
        </is>
      </c>
      <c r="K1084" s="19" t="inlineStr">
        <is>
          <t>Shyam Chadda, a charming young actor and Manto's closest friend in the industry, whose reaction to news of his family marks the film's turn.</t>
        </is>
      </c>
      <c r="L1084" s="5" t="n"/>
      <c r="M1084" s="5" t="inlineStr">
        <is>
          <t>SOURCE-147</t>
        </is>
      </c>
    </row>
    <row r="1085" ht="49" customHeight="1">
      <c r="A1085" s="15" t="inlineStr">
        <is>
          <t>CAST-1084</t>
        </is>
      </c>
      <c r="B1085" s="18" t="inlineStr">
        <is>
          <t>FILM-156</t>
        </is>
      </c>
      <c r="C1085" s="5" t="inlineStr">
        <is>
          <t>Manto</t>
        </is>
      </c>
      <c r="D1085" s="17" t="n">
        <v>2018</v>
      </c>
      <c r="E1085" s="5" t="inlineStr">
        <is>
          <t>Rajshri Deshpande</t>
        </is>
      </c>
      <c r="F1085" s="5" t="inlineStr">
        <is>
          <t>Ismat Chughtai</t>
        </is>
      </c>
      <c r="G1085" s="5" t="inlineStr">
        <is>
          <t>Supporting</t>
        </is>
      </c>
      <c r="H1085" s="5" t="inlineStr">
        <is>
          <t>Major</t>
        </is>
      </c>
      <c r="I1085" s="5" t="inlineStr">
        <is>
          <t>A fellow writer in the literary world beside the film one.</t>
        </is>
      </c>
      <c r="J1085" s="5" t="inlineStr">
        <is>
          <t>No part in the marriage.</t>
        </is>
      </c>
      <c r="K1085" s="19" t="inlineStr">
        <is>
          <t>The feminist writer tried for obscenity alongside Manto and acquitted with him, and among his closest associates in the Progressive Writers' Association.</t>
        </is>
      </c>
      <c r="L1085" s="5" t="n"/>
      <c r="M1085" s="5" t="inlineStr">
        <is>
          <t>SOURCE-147</t>
        </is>
      </c>
    </row>
    <row r="1086" ht="34" customHeight="1">
      <c r="A1086" s="15" t="inlineStr">
        <is>
          <t>CAST-1085</t>
        </is>
      </c>
      <c r="B1086" s="18" t="inlineStr">
        <is>
          <t>FILM-156</t>
        </is>
      </c>
      <c r="C1086" s="5" t="inlineStr">
        <is>
          <t>Manto</t>
        </is>
      </c>
      <c r="D1086" s="17" t="n">
        <v>2018</v>
      </c>
      <c r="E1086" s="5" t="inlineStr">
        <is>
          <t>Bhanu Uday</t>
        </is>
      </c>
      <c r="F1086" s="5" t="inlineStr">
        <is>
          <t>Ashok Kumar</t>
        </is>
      </c>
      <c r="G1086" s="5" t="inlineStr">
        <is>
          <t>Supporting</t>
        </is>
      </c>
      <c r="H1086" s="5" t="inlineStr">
        <is>
          <t>Medium</t>
        </is>
      </c>
      <c r="I1086" s="5" t="inlineStr">
        <is>
          <t>A star of the industry Kapoor's unnamed producer works in.</t>
        </is>
      </c>
      <c r="J1086" s="5" t="inlineStr">
        <is>
          <t>No part in the marriage.</t>
        </is>
      </c>
      <c r="K1086" s="19" t="inlineStr">
        <is>
          <t>Credited as the actor, director and producer Ashok Kumar, one of the writer's supporters in the Bombay film world.</t>
        </is>
      </c>
      <c r="L1086" s="5" t="n"/>
      <c r="M1086" s="5" t="inlineStr">
        <is>
          <t>SOURCE-147</t>
        </is>
      </c>
    </row>
    <row r="1087" ht="49" customHeight="1">
      <c r="A1087" s="15" t="inlineStr">
        <is>
          <t>CAST-1086</t>
        </is>
      </c>
      <c r="B1087" s="18" t="inlineStr">
        <is>
          <t>FILM-156</t>
        </is>
      </c>
      <c r="C1087" s="5" t="inlineStr">
        <is>
          <t>Manto</t>
        </is>
      </c>
      <c r="D1087" s="17" t="n">
        <v>2018</v>
      </c>
      <c r="E1087" s="5" t="inlineStr">
        <is>
          <t>Divya Dutta</t>
        </is>
      </c>
      <c r="F1087" s="5" t="inlineStr">
        <is>
          <t>Kulwant Kaur</t>
        </is>
      </c>
      <c r="G1087" s="5" t="inlineStr">
        <is>
          <t>Cameo</t>
        </is>
      </c>
      <c r="H1087" s="5" t="inlineStr">
        <is>
          <t>Minor</t>
        </is>
      </c>
      <c r="I1087" s="5" t="inlineStr">
        <is>
          <t>A figure from one of the writer's stories rather than his life.</t>
        </is>
      </c>
      <c r="J1087" s="5" t="inlineStr">
        <is>
          <t>No part in the marriage.</t>
        </is>
      </c>
      <c r="K1087" s="19" t="inlineStr">
        <is>
          <t>Credited as Kulwant Kaur, a character from Manto's own fiction dramatised inside the film, alongside Ranvir Shorey's Ishar Singh.</t>
        </is>
      </c>
      <c r="L1087" s="5" t="n"/>
      <c r="M1087" s="5" t="inlineStr">
        <is>
          <t>SOURCE-147</t>
        </is>
      </c>
    </row>
    <row r="1088" ht="49" customHeight="1">
      <c r="A1088" s="15" t="inlineStr">
        <is>
          <t>CAST-1087</t>
        </is>
      </c>
      <c r="B1088" s="18" t="inlineStr">
        <is>
          <t>FILM-156</t>
        </is>
      </c>
      <c r="C1088" s="5" t="inlineStr">
        <is>
          <t>Manto</t>
        </is>
      </c>
      <c r="D1088" s="17" t="n">
        <v>2018</v>
      </c>
      <c r="E1088" s="5" t="inlineStr">
        <is>
          <t>Paresh Rawal</t>
        </is>
      </c>
      <c r="F1088" s="5" t="inlineStr">
        <is>
          <t>Pimp</t>
        </is>
      </c>
      <c r="G1088" s="5" t="inlineStr">
        <is>
          <t>Cameo</t>
        </is>
      </c>
      <c r="H1088" s="5" t="inlineStr">
        <is>
          <t>Minor</t>
        </is>
      </c>
      <c r="I1088" s="5" t="inlineStr">
        <is>
          <t>One of the film's many guest appearances, in the same register as Kapoor's producer.</t>
        </is>
      </c>
      <c r="J1088" s="5" t="inlineStr">
        <is>
          <t>No part in the marriage.</t>
        </is>
      </c>
      <c r="K1088" s="19" t="inlineStr">
        <is>
          <t>Credited in a cameo as a pimp, among the gallery of guest appearances peopling the film's Bombay.</t>
        </is>
      </c>
      <c r="L1088" s="5" t="n"/>
      <c r="M1088" s="5" t="inlineStr">
        <is>
          <t>SOURCE-147</t>
        </is>
      </c>
    </row>
    <row r="1089" ht="64" customHeight="1">
      <c r="A1089" s="15" t="inlineStr">
        <is>
          <t>CAST-1088</t>
        </is>
      </c>
      <c r="B1089" s="18" t="inlineStr">
        <is>
          <t>FILM-157</t>
        </is>
      </c>
      <c r="C1089" s="5" t="inlineStr">
        <is>
          <t>Rajma Chawal</t>
        </is>
      </c>
      <c r="D1089" s="17" t="n">
        <v>2018</v>
      </c>
      <c r="E1089" s="5" t="inlineStr">
        <is>
          <t>Anirudh Tanwar</t>
        </is>
      </c>
      <c r="F1089" s="5" t="inlineStr">
        <is>
          <t>Kabir Mathur</t>
        </is>
      </c>
      <c r="G1089" s="5" t="inlineStr">
        <is>
          <t>Co-lead</t>
        </is>
      </c>
      <c r="H1089" s="5" t="inlineStr">
        <is>
          <t>Major</t>
        </is>
      </c>
      <c r="I1089" s="5" t="inlineStr">
        <is>
          <t>His son, who blocks him and then confides in the false identity he invents.</t>
        </is>
      </c>
      <c r="J1089" s="5" t="inlineStr">
        <is>
          <t>Holds the film's romance, with the woman whose identity his father has stolen.</t>
        </is>
      </c>
      <c r="K1089" s="19" t="inlineStr">
        <is>
          <t>A guitar player resentful of the move to Chandni Chowk and of the father who made it, who blocks him on Facebook and then pours out his grief about his mother to a stranger called Tara.</t>
        </is>
      </c>
      <c r="L1089" s="5" t="n"/>
      <c r="M1089" s="5" t="inlineStr">
        <is>
          <t>SOURCE-149</t>
        </is>
      </c>
    </row>
    <row r="1090" ht="49" customHeight="1">
      <c r="A1090" s="15" t="inlineStr">
        <is>
          <t>CAST-1089</t>
        </is>
      </c>
      <c r="B1090" s="18" t="inlineStr">
        <is>
          <t>FILM-157</t>
        </is>
      </c>
      <c r="C1090" s="5" t="inlineStr">
        <is>
          <t>Rajma Chawal</t>
        </is>
      </c>
      <c r="D1090" s="17" t="n">
        <v>2018</v>
      </c>
      <c r="E1090" s="5" t="inlineStr">
        <is>
          <t>Amyra Dastur</t>
        </is>
      </c>
      <c r="F1090" s="5" t="inlineStr">
        <is>
          <t>Tara, as Seher Chaudhary</t>
        </is>
      </c>
      <c r="G1090" s="5" t="inlineStr">
        <is>
          <t>Co-lead</t>
        </is>
      </c>
      <c r="H1090" s="5" t="inlineStr">
        <is>
          <t>Major</t>
        </is>
      </c>
      <c r="I1090" s="5" t="inlineStr">
        <is>
          <t>The woman whose abandoned profile he borrows, and who then has to appear in person.</t>
        </is>
      </c>
      <c r="J1090" s="5" t="inlineStr">
        <is>
          <t>The other half of the film's romance, conducted first by proxy.</t>
        </is>
      </c>
      <c r="K1090" s="19" t="inlineStr">
        <is>
          <t>A salon worker borrowing money from an abusive boyfriend, whose disused Facebook identity a father steals to talk to his son, and who is drawn into keeping the deception going.</t>
        </is>
      </c>
      <c r="L1090" s="5" t="n"/>
      <c r="M1090" s="5" t="inlineStr">
        <is>
          <t>SOURCE-149</t>
        </is>
      </c>
    </row>
    <row r="1091" ht="34" customHeight="1">
      <c r="A1091" s="15" t="inlineStr">
        <is>
          <t>CAST-1090</t>
        </is>
      </c>
      <c r="B1091" s="18" t="inlineStr">
        <is>
          <t>FILM-157</t>
        </is>
      </c>
      <c r="C1091" s="5" t="inlineStr">
        <is>
          <t>Rajma Chawal</t>
        </is>
      </c>
      <c r="D1091" s="17" t="n">
        <v>2018</v>
      </c>
      <c r="E1091" s="5" t="inlineStr">
        <is>
          <t>Nirmal Rishi</t>
        </is>
      </c>
      <c r="F1091" s="5" t="inlineStr">
        <is>
          <t>Beeji</t>
        </is>
      </c>
      <c r="G1091" s="5" t="inlineStr">
        <is>
          <t>Family</t>
        </is>
      </c>
      <c r="H1091" s="5" t="inlineStr">
        <is>
          <t>Major</t>
        </is>
      </c>
      <c r="I1091" s="5" t="inlineStr">
        <is>
          <t>His mother, who suggests the impersonation in the first place.</t>
        </is>
      </c>
      <c r="J1091" s="5" t="inlineStr">
        <is>
          <t>The author of the deception the romance grows out of.</t>
        </is>
      </c>
      <c r="K1091" s="19" t="inlineStr">
        <is>
          <t>The grandmother of the house, whose suggestion that he borrow someone else's identity sets the whole scheme going.</t>
        </is>
      </c>
      <c r="L1091" s="5" t="n"/>
      <c r="M1091" s="5" t="inlineStr">
        <is>
          <t>SOURCE-149</t>
        </is>
      </c>
    </row>
    <row r="1092" ht="34" customHeight="1">
      <c r="A1092" s="15" t="inlineStr">
        <is>
          <t>CAST-1091</t>
        </is>
      </c>
      <c r="B1092" s="18" t="inlineStr">
        <is>
          <t>FILM-157</t>
        </is>
      </c>
      <c r="C1092" s="5" t="inlineStr">
        <is>
          <t>Rajma Chawal</t>
        </is>
      </c>
      <c r="D1092" s="17" t="n">
        <v>2018</v>
      </c>
      <c r="E1092" s="5" t="inlineStr">
        <is>
          <t>Aparshakti Khurana</t>
        </is>
      </c>
      <c r="F1092" s="5" t="inlineStr">
        <is>
          <t>Baljeet Singh Chautala</t>
        </is>
      </c>
      <c r="G1092" s="5" t="inlineStr">
        <is>
          <t>Antagonist</t>
        </is>
      </c>
      <c r="H1092" s="5" t="inlineStr">
        <is>
          <t>Medium</t>
        </is>
      </c>
      <c r="I1092" s="5" t="inlineStr">
        <is>
          <t>The man the woman whose identity he took is running from.</t>
        </is>
      </c>
      <c r="J1092" s="5" t="inlineStr">
        <is>
          <t>The threat behind the heroine's situation.</t>
        </is>
      </c>
      <c r="K1092" s="19" t="inlineStr">
        <is>
          <t>Credited as Seher's abusive boyfriend, from whom she borrows money and from whom she is trying to get away.</t>
        </is>
      </c>
      <c r="L1092" s="5" t="n"/>
      <c r="M1092" s="5" t="inlineStr">
        <is>
          <t>SOURCE-149</t>
        </is>
      </c>
    </row>
    <row r="1093" ht="34" customHeight="1">
      <c r="A1093" s="15" t="inlineStr">
        <is>
          <t>CAST-1092</t>
        </is>
      </c>
      <c r="B1093" s="18" t="inlineStr">
        <is>
          <t>FILM-157</t>
        </is>
      </c>
      <c r="C1093" s="5" t="inlineStr">
        <is>
          <t>Rajma Chawal</t>
        </is>
      </c>
      <c r="D1093" s="17" t="n">
        <v>2018</v>
      </c>
      <c r="E1093" s="5" t="inlineStr">
        <is>
          <t>Sheeba Chaddha</t>
        </is>
      </c>
      <c r="F1093" s="5" t="inlineStr">
        <is>
          <t>Kabir's aunt</t>
        </is>
      </c>
      <c r="G1093" s="5" t="inlineStr">
        <is>
          <t>Family</t>
        </is>
      </c>
      <c r="H1093" s="5" t="inlineStr">
        <is>
          <t>Medium</t>
        </is>
      </c>
      <c r="I1093" s="5" t="inlineStr">
        <is>
          <t>A relative in the Chandni Chowk household they move back into.</t>
        </is>
      </c>
      <c r="J1093" s="5" t="inlineStr">
        <is>
          <t>Part of the family the deception is conducted inside.</t>
        </is>
      </c>
      <c r="K1093" s="19" t="inlineStr">
        <is>
          <t>Credited as Kabir's aunt, among the old friends and relatives the father says he wants to live beside again.</t>
        </is>
      </c>
      <c r="L1093" s="5" t="n"/>
      <c r="M1093" s="5" t="inlineStr">
        <is>
          <t>SOURCE-149</t>
        </is>
      </c>
    </row>
    <row r="1094" ht="34" customHeight="1">
      <c r="A1094" s="15" t="inlineStr">
        <is>
          <t>CAST-1093</t>
        </is>
      </c>
      <c r="B1094" s="18" t="inlineStr">
        <is>
          <t>FILM-157</t>
        </is>
      </c>
      <c r="C1094" s="5" t="inlineStr">
        <is>
          <t>Rajma Chawal</t>
        </is>
      </c>
      <c r="D1094" s="17" t="n">
        <v>2018</v>
      </c>
      <c r="E1094" s="5" t="inlineStr">
        <is>
          <t>Manu Rishi</t>
        </is>
      </c>
      <c r="F1094" s="5" t="inlineStr">
        <is>
          <t>Mittal</t>
        </is>
      </c>
      <c r="G1094" s="5" t="inlineStr">
        <is>
          <t>Friend</t>
        </is>
      </c>
      <c r="H1094" s="5" t="inlineStr">
        <is>
          <t>Minor</t>
        </is>
      </c>
      <c r="I1094" s="5" t="inlineStr">
        <is>
          <t>One of the Chandni Chowk circle around him.</t>
        </is>
      </c>
      <c r="J1094" s="5" t="inlineStr">
        <is>
          <t>Attends the scheme from the father's side.</t>
        </is>
      </c>
      <c r="K1094" s="19" t="inlineStr">
        <is>
          <t>Credited as Mittal, among the neighbours of the old family house.</t>
        </is>
      </c>
      <c r="L1094" s="5" t="n"/>
      <c r="M1094" s="5" t="inlineStr">
        <is>
          <t>SOURCE-149</t>
        </is>
      </c>
    </row>
    <row r="1095" ht="34" customHeight="1">
      <c r="A1095" s="15" t="inlineStr">
        <is>
          <t>CAST-1094</t>
        </is>
      </c>
      <c r="B1095" s="18" t="inlineStr">
        <is>
          <t>FILM-157</t>
        </is>
      </c>
      <c r="C1095" s="5" t="inlineStr">
        <is>
          <t>Rajma Chawal</t>
        </is>
      </c>
      <c r="D1095" s="17" t="n">
        <v>2018</v>
      </c>
      <c r="E1095" s="5" t="inlineStr">
        <is>
          <t>Vedant Sinha</t>
        </is>
      </c>
      <c r="F1095" s="5" t="inlineStr">
        <is>
          <t>Young Kabir</t>
        </is>
      </c>
      <c r="G1095" s="5" t="inlineStr">
        <is>
          <t>Cameo</t>
        </is>
      </c>
      <c r="H1095" s="5" t="inlineStr">
        <is>
          <t>Minor</t>
        </is>
      </c>
      <c r="I1095" s="5" t="inlineStr">
        <is>
          <t>Plays his son as a child.</t>
        </is>
      </c>
      <c r="J1095" s="5" t="inlineStr">
        <is>
          <t>No part in the romance.</t>
        </is>
      </c>
      <c r="K1095" s="19" t="inlineStr">
        <is>
          <t>Credited as the young Kabir, in the flashbacks to the family before the mother's death.</t>
        </is>
      </c>
      <c r="L1095" s="5" t="n"/>
      <c r="M1095" s="5" t="inlineStr">
        <is>
          <t>SOURCE-149</t>
        </is>
      </c>
    </row>
    <row r="1096" ht="49" customHeight="1">
      <c r="A1096" s="15" t="inlineStr">
        <is>
          <t>CAST-1095</t>
        </is>
      </c>
      <c r="B1096" s="18" t="inlineStr">
        <is>
          <t>FILM-158</t>
        </is>
      </c>
      <c r="C1096" s="5" t="inlineStr">
        <is>
          <t>Jhootha Kahin Ka</t>
        </is>
      </c>
      <c r="D1096" s="17" t="n">
        <v>2019</v>
      </c>
      <c r="E1096" s="5" t="inlineStr">
        <is>
          <t>Omkar Kapoor</t>
        </is>
      </c>
      <c r="F1096" s="5" t="inlineStr">
        <is>
          <t>Varun Singh</t>
        </is>
      </c>
      <c r="G1096" s="5" t="inlineStr">
        <is>
          <t>Co-lead</t>
        </is>
      </c>
      <c r="H1096" s="5" t="inlineStr">
        <is>
          <t>Major</t>
        </is>
      </c>
      <c r="I1096" s="5" t="inlineStr">
        <is>
          <t>His son, whose refusal to come home and whose double life the film turns on.</t>
        </is>
      </c>
      <c r="J1096" s="5" t="inlineStr">
        <is>
          <t>Holds the film's romance; Kapoor's role has none.</t>
        </is>
      </c>
      <c r="K1096" s="19" t="inlineStr">
        <is>
          <t>A graduate ten months without a job who will not leave Mauritius for his father's farm, and who ends up maintaining two households that believe different things about his marriage.</t>
        </is>
      </c>
      <c r="L1096" s="5" t="n"/>
      <c r="M1096" s="5" t="inlineStr">
        <is>
          <t>SOURCE-150</t>
        </is>
      </c>
    </row>
    <row r="1097" ht="34" customHeight="1">
      <c r="A1097" s="15" t="inlineStr">
        <is>
          <t>CAST-1096</t>
        </is>
      </c>
      <c r="B1097" s="18" t="inlineStr">
        <is>
          <t>FILM-158</t>
        </is>
      </c>
      <c r="C1097" s="5" t="inlineStr">
        <is>
          <t>Jhootha Kahin Ka</t>
        </is>
      </c>
      <c r="D1097" s="17" t="n">
        <v>2019</v>
      </c>
      <c r="E1097" s="5" t="inlineStr">
        <is>
          <t>Jimmy Sheirgill</t>
        </is>
      </c>
      <c r="F1097" s="5" t="inlineStr">
        <is>
          <t>Tommy Pandey</t>
        </is>
      </c>
      <c r="G1097" s="5" t="inlineStr">
        <is>
          <t>Co-lead</t>
        </is>
      </c>
      <c r="H1097" s="5" t="inlineStr">
        <is>
          <t>Major</t>
        </is>
      </c>
      <c r="I1097" s="5" t="inlineStr">
        <is>
          <t>Credited second, in the Mauritius half of the film his son lives in.</t>
        </is>
      </c>
      <c r="J1097" s="5" t="inlineStr">
        <is>
          <t>Part of the machinery of the deception.</t>
        </is>
      </c>
      <c r="K1097" s="19" t="inlineStr">
        <is>
          <t>Credited as Karan Pandey's brother, with a sidekick of his own, in the farce the son's lies generate.</t>
        </is>
      </c>
      <c r="L1097" s="5" t="n"/>
      <c r="M1097" s="5" t="inlineStr">
        <is>
          <t>SOURCE-150</t>
        </is>
      </c>
    </row>
    <row r="1098" ht="34" customHeight="1">
      <c r="A1098" s="15" t="inlineStr">
        <is>
          <t>CAST-1097</t>
        </is>
      </c>
      <c r="B1098" s="18" t="inlineStr">
        <is>
          <t>FILM-158</t>
        </is>
      </c>
      <c r="C1098" s="5" t="inlineStr">
        <is>
          <t>Jhootha Kahin Ka</t>
        </is>
      </c>
      <c r="D1098" s="17" t="n">
        <v>2019</v>
      </c>
      <c r="E1098" s="5" t="inlineStr">
        <is>
          <t>Sunny Singh</t>
        </is>
      </c>
      <c r="F1098" s="5" t="inlineStr">
        <is>
          <t>Karan Pandey</t>
        </is>
      </c>
      <c r="G1098" s="5" t="inlineStr">
        <is>
          <t>Co-lead</t>
        </is>
      </c>
      <c r="H1098" s="5" t="inlineStr">
        <is>
          <t>Major</t>
        </is>
      </c>
      <c r="I1098" s="5" t="inlineStr">
        <is>
          <t>His son's flatmate, from the same village.</t>
        </is>
      </c>
      <c r="J1098" s="5" t="inlineStr">
        <is>
          <t>Inside the deception the romance requires.</t>
        </is>
      </c>
      <c r="K1098" s="19" t="inlineStr">
        <is>
          <t>Credited as the man from the same village with whom Varun stays in Mauritius, and whose brother is Tommy Pandey.</t>
        </is>
      </c>
      <c r="L1098" s="5" t="n"/>
      <c r="M1098" s="5" t="inlineStr">
        <is>
          <t>SOURCE-150</t>
        </is>
      </c>
    </row>
    <row r="1099" ht="49" customHeight="1">
      <c r="A1099" s="15" t="inlineStr">
        <is>
          <t>CAST-1098</t>
        </is>
      </c>
      <c r="B1099" s="18" t="inlineStr">
        <is>
          <t>FILM-158</t>
        </is>
      </c>
      <c r="C1099" s="5" t="inlineStr">
        <is>
          <t>Jhootha Kahin Ka</t>
        </is>
      </c>
      <c r="D1099" s="17" t="n">
        <v>2019</v>
      </c>
      <c r="E1099" s="5" t="inlineStr">
        <is>
          <t>Nimisha Mehta</t>
        </is>
      </c>
      <c r="F1099" s="5" t="inlineStr">
        <is>
          <t>Riya Mehta</t>
        </is>
      </c>
      <c r="G1099" s="5" t="inlineStr">
        <is>
          <t>Supporting</t>
        </is>
      </c>
      <c r="H1099" s="5" t="inlineStr">
        <is>
          <t>Major</t>
        </is>
      </c>
      <c r="I1099" s="5" t="inlineStr">
        <is>
          <t>The woman his son meets in Mauritius, and whose father he ends up living next door to.</t>
        </is>
      </c>
      <c r="J1099" s="5" t="inlineStr">
        <is>
          <t>The film's romance, and the reason for the two households.</t>
        </is>
      </c>
      <c r="K1099" s="19" t="inlineStr">
        <is>
          <t>A young woman met at a wedding in Mauritius, unwilling to marry because she will not leave her disabled father.</t>
        </is>
      </c>
      <c r="L1099" s="5" t="n"/>
      <c r="M1099" s="5" t="inlineStr">
        <is>
          <t>SOURCE-150</t>
        </is>
      </c>
    </row>
    <row r="1100" ht="49" customHeight="1">
      <c r="A1100" s="15" t="inlineStr">
        <is>
          <t>CAST-1099</t>
        </is>
      </c>
      <c r="B1100" s="18" t="inlineStr">
        <is>
          <t>FILM-158</t>
        </is>
      </c>
      <c r="C1100" s="5" t="inlineStr">
        <is>
          <t>Jhootha Kahin Ka</t>
        </is>
      </c>
      <c r="D1100" s="17" t="n">
        <v>2019</v>
      </c>
      <c r="E1100" s="5" t="inlineStr">
        <is>
          <t>Lillete Dubey</t>
        </is>
      </c>
      <c r="F1100" s="5" t="inlineStr">
        <is>
          <t>Ruchi Mehta</t>
        </is>
      </c>
      <c r="G1100" s="5" t="inlineStr">
        <is>
          <t>Supporting</t>
        </is>
      </c>
      <c r="H1100" s="5" t="inlineStr">
        <is>
          <t>Major</t>
        </is>
      </c>
      <c r="I1100" s="5" t="inlineStr">
        <is>
          <t>The mother of his son's beloved, in the household next door.</t>
        </is>
      </c>
      <c r="J1100" s="5" t="inlineStr">
        <is>
          <t>Part of the family the deception is maintained in front of.</t>
        </is>
      </c>
      <c r="K1100" s="19" t="inlineStr">
        <is>
          <t>Riya's mother, whose taste for make-up and dress at her daughter's marriageable age annoys her husband, in the family the lies are told to.</t>
        </is>
      </c>
      <c r="L1100" s="5" t="n"/>
      <c r="M1100" s="5" t="inlineStr">
        <is>
          <t>SOURCE-150</t>
        </is>
      </c>
    </row>
    <row r="1101" ht="49" customHeight="1">
      <c r="A1101" s="15" t="inlineStr">
        <is>
          <t>CAST-1100</t>
        </is>
      </c>
      <c r="B1101" s="18" t="inlineStr">
        <is>
          <t>FILM-158</t>
        </is>
      </c>
      <c r="C1101" s="5" t="inlineStr">
        <is>
          <t>Jhootha Kahin Ka</t>
        </is>
      </c>
      <c r="D1101" s="17" t="n">
        <v>2019</v>
      </c>
      <c r="E1101" s="5" t="inlineStr">
        <is>
          <t>Manoj Joshi</t>
        </is>
      </c>
      <c r="F1101" s="5" t="inlineStr">
        <is>
          <t>Vinod Mehta</t>
        </is>
      </c>
      <c r="G1101" s="5" t="inlineStr">
        <is>
          <t>Supporting</t>
        </is>
      </c>
      <c r="H1101" s="5" t="inlineStr">
        <is>
          <t>Medium</t>
        </is>
      </c>
      <c r="I1101" s="5" t="inlineStr">
        <is>
          <t>The disabled father whose bungalow he rents next door to.</t>
        </is>
      </c>
      <c r="J1101" s="5" t="inlineStr">
        <is>
          <t>The reason the heroine will not leave, and so the reason for the arrangement.</t>
        </is>
      </c>
      <c r="K1101" s="19" t="inlineStr">
        <is>
          <t>Riya's father, disabled and devoted to by his daughter, and the neighbour Yograj installs himself beside.</t>
        </is>
      </c>
      <c r="L1101" s="5" t="n"/>
      <c r="M1101" s="5" t="inlineStr">
        <is>
          <t>SOURCE-150</t>
        </is>
      </c>
    </row>
    <row r="1102" ht="34" customHeight="1">
      <c r="A1102" s="15" t="inlineStr">
        <is>
          <t>CAST-1101</t>
        </is>
      </c>
      <c r="B1102" s="18" t="inlineStr">
        <is>
          <t>FILM-158</t>
        </is>
      </c>
      <c r="C1102" s="5" t="inlineStr">
        <is>
          <t>Jhootha Kahin Ka</t>
        </is>
      </c>
      <c r="D1102" s="17" t="n">
        <v>2019</v>
      </c>
      <c r="E1102" s="5" t="inlineStr">
        <is>
          <t>Rajesh Sharma</t>
        </is>
      </c>
      <c r="F1102" s="5" t="inlineStr">
        <is>
          <t>Kokey Singh</t>
        </is>
      </c>
      <c r="G1102" s="5" t="inlineStr">
        <is>
          <t>Family</t>
        </is>
      </c>
      <c r="H1102" s="5" t="inlineStr">
        <is>
          <t>Medium</t>
        </is>
      </c>
      <c r="I1102" s="5" t="inlineStr">
        <is>
          <t>His brother-in-law, with whom he lives on the farm.</t>
        </is>
      </c>
      <c r="J1102" s="5" t="inlineStr">
        <is>
          <t>No part in the romance.</t>
        </is>
      </c>
      <c r="K1102" s="19" t="inlineStr">
        <is>
          <t>Credited as Varun's maternal uncle, the brother-in-law Yograj shares the Punjab farm with.</t>
        </is>
      </c>
      <c r="L1102" s="5" t="n"/>
      <c r="M1102" s="5" t="inlineStr">
        <is>
          <t>SOURCE-150</t>
        </is>
      </c>
    </row>
    <row r="1103" ht="64" customHeight="1">
      <c r="A1103" s="15" t="inlineStr">
        <is>
          <t>CAST-1102</t>
        </is>
      </c>
      <c r="B1103" s="18" t="inlineStr">
        <is>
          <t>FILM-159</t>
        </is>
      </c>
      <c r="C1103" s="5" t="inlineStr">
        <is>
          <t>The Body</t>
        </is>
      </c>
      <c r="D1103" s="17" t="n">
        <v>2019</v>
      </c>
      <c r="E1103" s="5" t="inlineStr">
        <is>
          <t>Emraan Hashmi</t>
        </is>
      </c>
      <c r="F1103" s="5" t="inlineStr">
        <is>
          <t>Ajay Puri</t>
        </is>
      </c>
      <c r="G1103" s="5" t="inlineStr">
        <is>
          <t>Co-lead</t>
        </is>
      </c>
      <c r="H1103" s="5" t="inlineStr">
        <is>
          <t>Major</t>
        </is>
      </c>
      <c r="I1103" s="5" t="inlineStr">
        <is>
          <t>The husband he calls in for questioning and confines in the morgue, and the man his whole scheme is aimed at.</t>
        </is>
      </c>
      <c r="J1103" s="5" t="inlineStr">
        <is>
          <t>Holds the film's affair; Kapoor's role has no romance.</t>
        </is>
      </c>
      <c r="K1103" s="19" t="inlineStr">
        <is>
          <t>The husband of the dead businesswoman and owner of a lab under her company, who poisoned her with a cardiotoxin to escape her domination and his own affair, and who is broken by the hauntings staged around him.</t>
        </is>
      </c>
      <c r="L1103" s="5" t="n"/>
      <c r="M1103" s="5" t="inlineStr">
        <is>
          <t>SOURCE-151</t>
        </is>
      </c>
    </row>
    <row r="1104" ht="64" customHeight="1">
      <c r="A1104" s="15" t="inlineStr">
        <is>
          <t>CAST-1103</t>
        </is>
      </c>
      <c r="B1104" s="18" t="inlineStr">
        <is>
          <t>FILM-159</t>
        </is>
      </c>
      <c r="C1104" s="5" t="inlineStr">
        <is>
          <t>The Body</t>
        </is>
      </c>
      <c r="D1104" s="17" t="n">
        <v>2019</v>
      </c>
      <c r="E1104" s="5" t="inlineStr">
        <is>
          <t>Sobhita Dhulipala</t>
        </is>
      </c>
      <c r="F1104" s="5" t="inlineStr">
        <is>
          <t>Maya Varma</t>
        </is>
      </c>
      <c r="G1104" s="5" t="inlineStr">
        <is>
          <t>Co-lead</t>
        </is>
      </c>
      <c r="H1104" s="5" t="inlineStr">
        <is>
          <t>Major</t>
        </is>
      </c>
      <c r="I1104" s="5" t="inlineStr">
        <is>
          <t>The woman whose body has vanished, and one of the two people who killed his wife.</t>
        </is>
      </c>
      <c r="J1104" s="5" t="inlineStr">
        <is>
          <t>The marriage the murder ends, and the object of the film's apparent haunting.</t>
        </is>
      </c>
      <c r="K1104" s="19" t="inlineStr">
        <is>
          <t>A rich and powerful businesswoman who dominated her husband with her money, murdered by him with a toxin that mimicked a heart attack, and whose corpse disappears from the morgue before the autopsy.</t>
        </is>
      </c>
      <c r="L1104" s="5" t="n"/>
      <c r="M1104" s="5" t="inlineStr">
        <is>
          <t>SOURCE-151</t>
        </is>
      </c>
    </row>
    <row r="1105" ht="49" customHeight="1">
      <c r="A1105" s="15" t="inlineStr">
        <is>
          <t>CAST-1104</t>
        </is>
      </c>
      <c r="B1105" s="18" t="inlineStr">
        <is>
          <t>FILM-159</t>
        </is>
      </c>
      <c r="C1105" s="5" t="inlineStr">
        <is>
          <t>The Body</t>
        </is>
      </c>
      <c r="D1105" s="17" t="n">
        <v>2019</v>
      </c>
      <c r="E1105" s="5" t="inlineStr">
        <is>
          <t>Vedhika</t>
        </is>
      </c>
      <c r="F1105" s="5" t="inlineStr">
        <is>
          <t>Ritu Jha, in fact Isha Rawal</t>
        </is>
      </c>
      <c r="G1105" s="5" t="inlineStr">
        <is>
          <t>Co-lead</t>
        </is>
      </c>
      <c r="H1105" s="5" t="inlineStr">
        <is>
          <t>Major</t>
        </is>
      </c>
      <c r="I1105" s="5" t="inlineStr">
        <is>
          <t>His own daughter, working under a false name as the suspect's mistress; voice dubbed by Sonal Kaushal.</t>
        </is>
      </c>
      <c r="J1105" s="5" t="inlineStr">
        <is>
          <t>The affair that motivated the murder, and the instrument of her father's revenge.</t>
        </is>
      </c>
      <c r="K1105" s="19" t="inlineStr">
        <is>
          <t>Credited under a false name as Ajay's girlfriend and revealed to be the investigating officer's daughter, placed in the dead woman's household as part of the trap.</t>
        </is>
      </c>
      <c r="L1105" s="5" t="n"/>
      <c r="M1105" s="5" t="inlineStr">
        <is>
          <t>SOURCE-151</t>
        </is>
      </c>
    </row>
    <row r="1106" ht="34" customHeight="1">
      <c r="A1106" s="15" t="inlineStr">
        <is>
          <t>CAST-1105</t>
        </is>
      </c>
      <c r="B1106" s="18" t="inlineStr">
        <is>
          <t>FILM-159</t>
        </is>
      </c>
      <c r="C1106" s="5" t="inlineStr">
        <is>
          <t>The Body</t>
        </is>
      </c>
      <c r="D1106" s="17" t="n">
        <v>2019</v>
      </c>
      <c r="E1106" s="5" t="inlineStr">
        <is>
          <t>Arif Zakaria</t>
        </is>
      </c>
      <c r="F1106" s="5" t="inlineStr">
        <is>
          <t>Mohammed Shekhawat</t>
        </is>
      </c>
      <c r="G1106" s="5" t="inlineStr">
        <is>
          <t>Supporting</t>
        </is>
      </c>
      <c r="H1106" s="5" t="inlineStr">
        <is>
          <t>Medium</t>
        </is>
      </c>
      <c r="I1106" s="5" t="inlineStr">
        <is>
          <t>A credited figure in the investigation he conducts.</t>
        </is>
      </c>
      <c r="J1106" s="5" t="inlineStr">
        <is>
          <t>No part in the affair.</t>
        </is>
      </c>
      <c r="K1106" s="19" t="inlineStr">
        <is>
          <t>Credited as Mohammed Shekhawat, in the police and morgue apparatus of the film's single long night.</t>
        </is>
      </c>
      <c r="L1106" s="5" t="n"/>
      <c r="M1106" s="5" t="inlineStr">
        <is>
          <t>SOURCE-151</t>
        </is>
      </c>
    </row>
    <row r="1107" ht="34" customHeight="1">
      <c r="A1107" s="15" t="inlineStr">
        <is>
          <t>CAST-1106</t>
        </is>
      </c>
      <c r="B1107" s="18" t="inlineStr">
        <is>
          <t>FILM-159</t>
        </is>
      </c>
      <c r="C1107" s="5" t="inlineStr">
        <is>
          <t>The Body</t>
        </is>
      </c>
      <c r="D1107" s="17" t="n">
        <v>2019</v>
      </c>
      <c r="E1107" s="5" t="inlineStr">
        <is>
          <t>Rukhsar Rehman</t>
        </is>
      </c>
      <c r="F1107" s="5" t="inlineStr">
        <is>
          <t>Dr. Tanya Mehra</t>
        </is>
      </c>
      <c r="G1107" s="5" t="inlineStr">
        <is>
          <t>Supporting</t>
        </is>
      </c>
      <c r="H1107" s="5" t="inlineStr">
        <is>
          <t>Medium</t>
        </is>
      </c>
      <c r="I1107" s="5" t="inlineStr">
        <is>
          <t>The doctor attached to the case he is running.</t>
        </is>
      </c>
      <c r="J1107" s="5" t="inlineStr">
        <is>
          <t>No part in the affair.</t>
        </is>
      </c>
      <c r="K1107" s="19" t="inlineStr">
        <is>
          <t>Credited as Dr. Tanya Mehra, among the medical figures around the missing body.</t>
        </is>
      </c>
      <c r="L1107" s="5" t="n"/>
      <c r="M1107" s="5" t="inlineStr">
        <is>
          <t>SOURCE-151</t>
        </is>
      </c>
    </row>
    <row r="1108" ht="49" customHeight="1">
      <c r="A1108" s="15" t="inlineStr">
        <is>
          <t>CAST-1107</t>
        </is>
      </c>
      <c r="B1108" s="18" t="inlineStr">
        <is>
          <t>FILM-159</t>
        </is>
      </c>
      <c r="C1108" s="5" t="inlineStr">
        <is>
          <t>The Body</t>
        </is>
      </c>
      <c r="D1108" s="17" t="n">
        <v>2019</v>
      </c>
      <c r="E1108" s="5" t="inlineStr">
        <is>
          <t>Meenakshi Anoop</t>
        </is>
      </c>
      <c r="F1108" s="5" t="inlineStr">
        <is>
          <t>Little Isha</t>
        </is>
      </c>
      <c r="G1108" s="5" t="inlineStr">
        <is>
          <t>Cameo</t>
        </is>
      </c>
      <c r="H1108" s="5" t="inlineStr">
        <is>
          <t>Minor</t>
        </is>
      </c>
      <c r="I1108" s="5" t="inlineStr">
        <is>
          <t>Plays his daughter as a child, in the flashback that explains his motive.</t>
        </is>
      </c>
      <c r="J1108" s="5" t="inlineStr">
        <is>
          <t>No part in the affair.</t>
        </is>
      </c>
      <c r="K1108" s="19" t="inlineStr">
        <is>
          <t>Credited as the young Isha, in the flashback to the hit-and-run that killed the investigating officer's wife.</t>
        </is>
      </c>
      <c r="L1108" s="5" t="n"/>
      <c r="M1108" s="5" t="inlineStr">
        <is>
          <t>SOURCE-151</t>
        </is>
      </c>
    </row>
    <row r="1109" ht="34" customHeight="1">
      <c r="A1109" s="15" t="inlineStr">
        <is>
          <t>CAST-1108</t>
        </is>
      </c>
      <c r="B1109" s="18" t="inlineStr">
        <is>
          <t>FILM-159</t>
        </is>
      </c>
      <c r="C1109" s="5" t="inlineStr">
        <is>
          <t>The Body</t>
        </is>
      </c>
      <c r="D1109" s="17" t="n">
        <v>2019</v>
      </c>
      <c r="E1109" s="5" t="inlineStr">
        <is>
          <t>Anupam Bhattacharya</t>
        </is>
      </c>
      <c r="F1109" s="5" t="inlineStr">
        <is>
          <t>Pawan Sinha</t>
        </is>
      </c>
      <c r="G1109" s="5" t="inlineStr">
        <is>
          <t>Supporting</t>
        </is>
      </c>
      <c r="H1109" s="5" t="inlineStr">
        <is>
          <t>Minor</t>
        </is>
      </c>
      <c r="I1109" s="5" t="inlineStr">
        <is>
          <t>A credited supporting figure in the night's investigation.</t>
        </is>
      </c>
      <c r="J1109" s="5" t="inlineStr">
        <is>
          <t>No part in the affair.</t>
        </is>
      </c>
      <c r="K1109" s="19" t="inlineStr">
        <is>
          <t>Credited as Pawan Sinha, in the film's small supporting cast.</t>
        </is>
      </c>
      <c r="L1109" s="5" t="n"/>
      <c r="M1109" s="5" t="inlineStr">
        <is>
          <t>SOURCE-151</t>
        </is>
      </c>
    </row>
    <row r="1110" ht="79" customHeight="1">
      <c r="A1110" s="15" t="inlineStr">
        <is>
          <t>CAST-1109</t>
        </is>
      </c>
      <c r="B1110" s="18" t="inlineStr">
        <is>
          <t>FILM-160</t>
        </is>
      </c>
      <c r="C1110" s="5" t="inlineStr">
        <is>
          <t>Sharmaji Namkeen</t>
        </is>
      </c>
      <c r="D1110" s="17" t="n">
        <v>2022</v>
      </c>
      <c r="E1110" s="5" t="inlineStr">
        <is>
          <t>Paresh Rawal</t>
        </is>
      </c>
      <c r="F1110" s="5" t="inlineStr">
        <is>
          <t>Brij Gopal Sharma, in the scenes completed after Kapoor's death</t>
        </is>
      </c>
      <c r="G1110" s="5" t="inlineStr">
        <is>
          <t>Co-lead</t>
        </is>
      </c>
      <c r="H1110" s="5" t="inlineStr">
        <is>
          <t>Major</t>
        </is>
      </c>
      <c r="I1110" s="5" t="inlineStr">
        <is>
          <t>Plays the same character as Kapoor: the unfinished scenes were shot with him after Kapoor's death, so the two actors share the role across the film.</t>
        </is>
      </c>
      <c r="J1110" s="5" t="inlineStr">
        <is>
          <t>Carries part of the friendship with Veena that the Romances row records.</t>
        </is>
      </c>
      <c r="K1110" s="19" t="inlineStr">
        <is>
          <t>Credited as Sharmaji in the scenes not featuring Kapoor, filmed after his death in 2020 so that the unfinished film could be released; the film opens by explaining the arrangement to the audience.</t>
        </is>
      </c>
      <c r="L1110" s="5" t="inlineStr">
        <is>
          <t>An unusual solution to an actor's death mid-production, with both performers credited in the same part.</t>
        </is>
      </c>
      <c r="M1110" s="5" t="inlineStr">
        <is>
          <t>SOURCE-152</t>
        </is>
      </c>
    </row>
    <row r="1111" ht="79" customHeight="1">
      <c r="A1111" s="15" t="inlineStr">
        <is>
          <t>CAST-1110</t>
        </is>
      </c>
      <c r="B1111" s="18" t="inlineStr">
        <is>
          <t>FILM-160</t>
        </is>
      </c>
      <c r="C1111" s="5" t="inlineStr">
        <is>
          <t>Sharmaji Namkeen</t>
        </is>
      </c>
      <c r="D1111" s="17" t="n">
        <v>2022</v>
      </c>
      <c r="E1111" s="5" t="inlineStr">
        <is>
          <t>Juhi Chawla</t>
        </is>
      </c>
      <c r="F1111" s="5" t="inlineStr">
        <is>
          <t>Veena Manchanda</t>
        </is>
      </c>
      <c r="G1111" s="5" t="inlineStr">
        <is>
          <t>Co-lead</t>
        </is>
      </c>
      <c r="H1111" s="5" t="inlineStr">
        <is>
          <t>Major</t>
        </is>
      </c>
      <c r="I1111" s="5" t="inlineStr">
        <is>
          <t>The woman of the kitty-party circle he cooks for, and the attachment the film ends on; the last of their eight films together and his last screen partner.</t>
        </is>
      </c>
      <c r="J1111" s="5" t="inlineStr">
        <is>
          <t>The whole of the pairing in Romances, a friendship the film leaves at the edge of becoming more.</t>
        </is>
      </c>
      <c r="K1111" s="19" t="inlineStr">
        <is>
          <t>One of the women whose kitty parties Sharmaji caters, and the person his second life is built around; the eighth and final film of the Kapoor-Chawla pairing.</t>
        </is>
      </c>
      <c r="L1111" s="5" t="n"/>
      <c r="M1111" s="5" t="inlineStr">
        <is>
          <t>SOURCE-152</t>
        </is>
      </c>
    </row>
    <row r="1112" ht="64" customHeight="1">
      <c r="A1112" s="15" t="inlineStr">
        <is>
          <t>CAST-1111</t>
        </is>
      </c>
      <c r="B1112" s="18" t="inlineStr">
        <is>
          <t>FILM-160</t>
        </is>
      </c>
      <c r="C1112" s="5" t="inlineStr">
        <is>
          <t>Sharmaji Namkeen</t>
        </is>
      </c>
      <c r="D1112" s="17" t="n">
        <v>2022</v>
      </c>
      <c r="E1112" s="5" t="inlineStr">
        <is>
          <t>Suhail Nayyar</t>
        </is>
      </c>
      <c r="F1112" s="5" t="inlineStr">
        <is>
          <t>Sandeep Sharma, called Rinku</t>
        </is>
      </c>
      <c r="G1112" s="5" t="inlineStr">
        <is>
          <t>Family</t>
        </is>
      </c>
      <c r="H1112" s="5" t="inlineStr">
        <is>
          <t>Major</t>
        </is>
      </c>
      <c r="I1112" s="5" t="inlineStr">
        <is>
          <t>His elder son, embarrassed by him and quietly arranging to move the family.</t>
        </is>
      </c>
      <c r="J1112" s="5" t="inlineStr">
        <is>
          <t>The family resistance to the new life the friendship belongs to.</t>
        </is>
      </c>
      <c r="K1112" s="19" t="inlineStr">
        <is>
          <t>The elder son, in a relationship with his colleague Urmi and finalising a Gurgaon flat behind his father's back, humiliated when a video of his father dancing at a party circulates.</t>
        </is>
      </c>
      <c r="L1112" s="5" t="n"/>
      <c r="M1112" s="5" t="inlineStr">
        <is>
          <t>SOURCE-152</t>
        </is>
      </c>
    </row>
    <row r="1113" ht="49" customHeight="1">
      <c r="A1113" s="15" t="inlineStr">
        <is>
          <t>CAST-1112</t>
        </is>
      </c>
      <c r="B1113" s="18" t="inlineStr">
        <is>
          <t>FILM-160</t>
        </is>
      </c>
      <c r="C1113" s="5" t="inlineStr">
        <is>
          <t>Sharmaji Namkeen</t>
        </is>
      </c>
      <c r="D1113" s="17" t="n">
        <v>2022</v>
      </c>
      <c r="E1113" s="5" t="inlineStr">
        <is>
          <t>Taaruk Raina</t>
        </is>
      </c>
      <c r="F1113" s="5" t="inlineStr">
        <is>
          <t>Vinayak Sharma, called Vincy</t>
        </is>
      </c>
      <c r="G1113" s="5" t="inlineStr">
        <is>
          <t>Family</t>
        </is>
      </c>
      <c r="H1113" s="5" t="inlineStr">
        <is>
          <t>Major</t>
        </is>
      </c>
      <c r="I1113" s="5" t="inlineStr">
        <is>
          <t>His younger son, whose own passion sits oddly with his embarrassment at his father's.</t>
        </is>
      </c>
      <c r="J1113" s="5" t="inlineStr">
        <is>
          <t>Part of the household the new circle is concealed from.</t>
        </is>
      </c>
      <c r="K1113" s="19" t="inlineStr">
        <is>
          <t>The younger son, a final-year commerce student passionate about dance, in the household that cannot accommodate its father's reinvention.</t>
        </is>
      </c>
      <c r="L1113" s="5" t="n"/>
      <c r="M1113" s="5" t="inlineStr">
        <is>
          <t>SOURCE-152</t>
        </is>
      </c>
    </row>
    <row r="1114" ht="64" customHeight="1">
      <c r="A1114" s="15" t="inlineStr">
        <is>
          <t>CAST-1113</t>
        </is>
      </c>
      <c r="B1114" s="18" t="inlineStr">
        <is>
          <t>FILM-160</t>
        </is>
      </c>
      <c r="C1114" s="5" t="inlineStr">
        <is>
          <t>Sharmaji Namkeen</t>
        </is>
      </c>
      <c r="D1114" s="17" t="n">
        <v>2022</v>
      </c>
      <c r="E1114" s="5" t="inlineStr">
        <is>
          <t>Satish Kaushik</t>
        </is>
      </c>
      <c r="F1114" s="5" t="inlineStr">
        <is>
          <t>K. K. Chaddha</t>
        </is>
      </c>
      <c r="G1114" s="5" t="inlineStr">
        <is>
          <t>Friend</t>
        </is>
      </c>
      <c r="H1114" s="5" t="inlineStr">
        <is>
          <t>Major</t>
        </is>
      </c>
      <c r="I1114" s="5" t="inlineStr">
        <is>
          <t>His childhood friend, who talks him into the cooking that gives him his second life.</t>
        </is>
      </c>
      <c r="J1114" s="5" t="inlineStr">
        <is>
          <t>The agent of the circle in which the friendship forms.</t>
        </is>
      </c>
      <c r="K1114" s="19" t="inlineStr">
        <is>
          <t>Sharmaji's childhood friend, who after the Zumba classes and the property brokerage suggests he cook for kitty parties, through an acquaintance who had thanked him for an earlier job.</t>
        </is>
      </c>
      <c r="L1114" s="5" t="n"/>
      <c r="M1114" s="5" t="inlineStr">
        <is>
          <t>SOURCE-152</t>
        </is>
      </c>
    </row>
    <row r="1115" ht="34" customHeight="1">
      <c r="A1115" s="15" t="inlineStr">
        <is>
          <t>CAST-1114</t>
        </is>
      </c>
      <c r="B1115" s="18" t="inlineStr">
        <is>
          <t>FILM-160</t>
        </is>
      </c>
      <c r="C1115" s="5" t="inlineStr">
        <is>
          <t>Sharmaji Namkeen</t>
        </is>
      </c>
      <c r="D1115" s="17" t="n">
        <v>2022</v>
      </c>
      <c r="E1115" s="5" t="inlineStr">
        <is>
          <t>Sheeba Chaddha</t>
        </is>
      </c>
      <c r="F1115" s="5" t="inlineStr">
        <is>
          <t>Manju Gulati</t>
        </is>
      </c>
      <c r="G1115" s="5" t="inlineStr">
        <is>
          <t>Supporting</t>
        </is>
      </c>
      <c r="H1115" s="5" t="inlineStr">
        <is>
          <t>Medium</t>
        </is>
      </c>
      <c r="I1115" s="5" t="inlineStr">
        <is>
          <t>The acquaintance whose thanks lead to his first catering job.</t>
        </is>
      </c>
      <c r="J1115" s="5" t="inlineStr">
        <is>
          <t>Part of the circle the attachment forms in.</t>
        </is>
      </c>
      <c r="K1115" s="19" t="inlineStr">
        <is>
          <t>Credited as Manju Gulati, the woman whose appreciation of his cooking brings him into the kitty-party world.</t>
        </is>
      </c>
      <c r="L1115" s="5" t="n"/>
      <c r="M1115" s="5" t="inlineStr">
        <is>
          <t>SOURCE-152</t>
        </is>
      </c>
    </row>
    <row r="1116" ht="49" customHeight="1">
      <c r="A1116" s="15" t="inlineStr">
        <is>
          <t>CAST-1115</t>
        </is>
      </c>
      <c r="B1116" s="18" t="inlineStr">
        <is>
          <t>FILM-160</t>
        </is>
      </c>
      <c r="C1116" s="5" t="inlineStr">
        <is>
          <t>Sharmaji Namkeen</t>
        </is>
      </c>
      <c r="D1116" s="17" t="n">
        <v>2022</v>
      </c>
      <c r="E1116" s="5" t="inlineStr">
        <is>
          <t>Isha Talwar</t>
        </is>
      </c>
      <c r="F1116" s="5" t="inlineStr">
        <is>
          <t>Urmi Kaul</t>
        </is>
      </c>
      <c r="G1116" s="5" t="inlineStr">
        <is>
          <t>Supporting</t>
        </is>
      </c>
      <c r="H1116" s="5" t="inlineStr">
        <is>
          <t>Medium</t>
        </is>
      </c>
      <c r="I1116" s="5" t="inlineStr">
        <is>
          <t>His elder son's partner, and the reason for the planned move.</t>
        </is>
      </c>
      <c r="J1116" s="5" t="inlineStr">
        <is>
          <t>The younger couple's plans, set against his own new attachment.</t>
        </is>
      </c>
      <c r="K1116" s="19" t="inlineStr">
        <is>
          <t>Rinku's colleague and partner, with whom he plans to buy a Gurgaon flat after marriage; credited with both her parents in the cast list.</t>
        </is>
      </c>
      <c r="L1116" s="5" t="n"/>
      <c r="M1116" s="5" t="inlineStr">
        <is>
          <t>SOURCE-152</t>
        </is>
      </c>
    </row>
    <row r="1117" ht="34" customHeight="1">
      <c r="A1117" s="15" t="inlineStr">
        <is>
          <t>CAST-1116</t>
        </is>
      </c>
      <c r="B1117" s="18" t="inlineStr">
        <is>
          <t>FILM-160</t>
        </is>
      </c>
      <c r="C1117" s="5" t="inlineStr">
        <is>
          <t>Sharmaji Namkeen</t>
        </is>
      </c>
      <c r="D1117" s="17" t="n">
        <v>2022</v>
      </c>
      <c r="E1117" s="5" t="inlineStr">
        <is>
          <t>Parmeet Sethi</t>
        </is>
      </c>
      <c r="F1117" s="5" t="inlineStr">
        <is>
          <t>Robbie Sachdeva</t>
        </is>
      </c>
      <c r="G1117" s="5" t="inlineStr">
        <is>
          <t>Supporting</t>
        </is>
      </c>
      <c r="H1117" s="5" t="inlineStr">
        <is>
          <t>Minor</t>
        </is>
      </c>
      <c r="I1117" s="5" t="inlineStr">
        <is>
          <t>A figure of the social circle he caters for.</t>
        </is>
      </c>
      <c r="J1117" s="5" t="inlineStr">
        <is>
          <t>Connected to the woman he becomes attached to, as her brother-in-law.</t>
        </is>
      </c>
      <c r="K1117" s="19" t="inlineStr">
        <is>
          <t>Credited as a mayor and as Veena's brother-in-law, in the Delhi social world the kitty parties belong to.</t>
        </is>
      </c>
      <c r="L1117" s="5" t="n"/>
      <c r="M1117" s="5" t="inlineStr">
        <is>
          <t>SOURCE-152</t>
        </is>
      </c>
    </row>
  </sheetData>
  <autoFilter ref="A1:M1117"/>
  <dataValidations count="2">
    <dataValidation sqref="G2:G1317" showDropDown="0" showInputMessage="0" showErrorMessage="1" allowBlank="1" errorTitle="Cast Function" error="Choose a value from the list." type="list">
      <formula1>"Co-lead,Supporting,Antagonist,Mentor,Family,Friend,Comic support,Romantic rival,Authority figure,Cameo,Self appearance"</formula1>
    </dataValidation>
    <dataValidation sqref="H2:H1317" showDropDown="0" showInputMessage="0" showErrorMessage="1" allowBlank="1" errorTitle="Importance Level" error="Choose a value from the list." type="list">
      <formula1>"Major,Medium,Minor"</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9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24" customWidth="1" min="3" max="3"/>
    <col width="9" customWidth="1" min="4" max="4"/>
    <col width="26" customWidth="1" min="5" max="5"/>
    <col width="30" customWidth="1" min="6" max="6"/>
    <col width="24" customWidth="1" min="7" max="7"/>
    <col width="16" customWidth="1" min="8" max="8"/>
    <col width="14" customWidth="1" min="9" max="9"/>
    <col width="14" customWidth="1" min="10" max="10"/>
    <col width="36" customWidth="1" min="11" max="11"/>
    <col width="22" customWidth="1" min="12" max="12"/>
    <col width="12" customWidth="1" min="13" max="13"/>
  </cols>
  <sheetData>
    <row r="1" ht="36" customHeight="1">
      <c r="A1" s="12" t="inlineStr">
        <is>
          <t>Award ID</t>
        </is>
      </c>
      <c r="B1" s="12" t="inlineStr">
        <is>
          <t>Film ID</t>
        </is>
      </c>
      <c r="C1" s="12" t="inlineStr">
        <is>
          <t>Film</t>
        </is>
      </c>
      <c r="D1" s="12" t="inlineStr">
        <is>
          <t>Ceremony Year</t>
        </is>
      </c>
      <c r="E1" s="12" t="inlineStr">
        <is>
          <t>Award Organization</t>
        </is>
      </c>
      <c r="F1" s="12" t="inlineStr">
        <is>
          <t>Category</t>
        </is>
      </c>
      <c r="G1" s="12" t="inlineStr">
        <is>
          <t>Recipient</t>
        </is>
      </c>
      <c r="H1" s="12" t="inlineStr">
        <is>
          <t>Recipient Type</t>
        </is>
      </c>
      <c r="I1" s="12" t="inlineStr">
        <is>
          <t>Win or Nomination</t>
        </is>
      </c>
      <c r="J1" s="12" t="inlineStr">
        <is>
          <t>Competitive or Honorary</t>
        </is>
      </c>
      <c r="K1" s="12" t="inlineStr">
        <is>
          <t>Notes</t>
        </is>
      </c>
      <c r="L1" s="12" t="inlineStr">
        <is>
          <t>Source IDs</t>
        </is>
      </c>
      <c r="M1" s="12" t="inlineStr">
        <is>
          <t>Confidence Grade</t>
        </is>
      </c>
    </row>
    <row r="2" ht="79" customHeight="1">
      <c r="A2" s="15" t="inlineStr">
        <is>
          <t>AWARD-001</t>
        </is>
      </c>
      <c r="B2" s="18" t="inlineStr">
        <is>
          <t>FILM-001</t>
        </is>
      </c>
      <c r="C2" s="5" t="inlineStr">
        <is>
          <t>Shree 420</t>
        </is>
      </c>
      <c r="D2" s="17" t="n">
        <v>1956</v>
      </c>
      <c r="E2" s="5" t="inlineStr">
        <is>
          <t>National Film Awards</t>
        </is>
      </c>
      <c r="F2" s="5" t="inlineStr">
        <is>
          <t>Certificate of Merit for the Second Best Feature Film in Hindi</t>
        </is>
      </c>
      <c r="G2" s="5" t="inlineStr">
        <is>
          <t>Raj Kapoor</t>
        </is>
      </c>
      <c r="H2" s="5" t="inlineStr">
        <is>
          <t>Producer</t>
        </is>
      </c>
      <c r="I2" s="5" t="inlineStr">
        <is>
          <t>Win</t>
        </is>
      </c>
      <c r="J2" s="5" t="inlineStr">
        <is>
          <t>Competitive</t>
        </is>
      </c>
      <c r="K2" s="5" t="inlineStr">
        <is>
          <t>3rd National Film Awards, presented at Vigyan Bhavan, New Delhi in September 1956, for films of 1955. Kapoor appears in the film only as a toddler walking through the song 'Pyar Hua Iqrar Hua'.</t>
        </is>
      </c>
      <c r="L2" s="5" t="inlineStr">
        <is>
          <t>SOURCE-002; SOURCE-430</t>
        </is>
      </c>
      <c r="M2" s="5" t="inlineStr">
        <is>
          <t>Medium</t>
        </is>
      </c>
    </row>
    <row r="3" ht="94" customHeight="1">
      <c r="A3" s="15" t="inlineStr">
        <is>
          <t>AWARD-002</t>
        </is>
      </c>
      <c r="B3" s="18" t="inlineStr">
        <is>
          <t>FILM-001</t>
        </is>
      </c>
      <c r="C3" s="5" t="inlineStr">
        <is>
          <t>Shree 420</t>
        </is>
      </c>
      <c r="D3" s="17" t="n">
        <v>1957</v>
      </c>
      <c r="E3" s="5" t="inlineStr">
        <is>
          <t>Filmfare Awards</t>
        </is>
      </c>
      <c r="F3" s="5" t="inlineStr">
        <is>
          <t>Best Editing</t>
        </is>
      </c>
      <c r="G3" s="5" t="inlineStr">
        <is>
          <t>G. G. Mayekar</t>
        </is>
      </c>
      <c r="H3" s="5" t="inlineStr">
        <is>
          <t>Editor</t>
        </is>
      </c>
      <c r="I3" s="5" t="inlineStr">
        <is>
          <t>Win</t>
        </is>
      </c>
      <c r="J3" s="5" t="inlineStr">
        <is>
          <t>Competitive</t>
        </is>
      </c>
      <c r="K3" s="5" t="inlineStr">
        <is>
          <t>4th Filmfare Awards, held 5 May 1957. The ceremony nominally honoured 1956 films but, as its own article records, most of the main awards went to 1955 releases, Shree 420 among them; the film's Wikipedia article dates these two awards 1956 instead.</t>
        </is>
      </c>
      <c r="L3" s="5" t="inlineStr">
        <is>
          <t>SOURCE-002; SOURCE-431</t>
        </is>
      </c>
      <c r="M3" s="5" t="inlineStr">
        <is>
          <t>Medium</t>
        </is>
      </c>
    </row>
    <row r="4" ht="34" customHeight="1">
      <c r="A4" s="15" t="inlineStr">
        <is>
          <t>AWARD-003</t>
        </is>
      </c>
      <c r="B4" s="18" t="inlineStr">
        <is>
          <t>FILM-001</t>
        </is>
      </c>
      <c r="C4" s="5" t="inlineStr">
        <is>
          <t>Shree 420</t>
        </is>
      </c>
      <c r="D4" s="17" t="n">
        <v>1957</v>
      </c>
      <c r="E4" s="5" t="inlineStr">
        <is>
          <t>Filmfare Awards</t>
        </is>
      </c>
      <c r="F4" s="5" t="inlineStr">
        <is>
          <t>Best Cinematography</t>
        </is>
      </c>
      <c r="G4" s="5" t="inlineStr">
        <is>
          <t>Radhu Karmakar</t>
        </is>
      </c>
      <c r="H4" s="5" t="inlineStr">
        <is>
          <t>Cinematographer</t>
        </is>
      </c>
      <c r="I4" s="5" t="inlineStr">
        <is>
          <t>Win</t>
        </is>
      </c>
      <c r="J4" s="5" t="inlineStr">
        <is>
          <t>Competitive</t>
        </is>
      </c>
      <c r="K4" s="5" t="inlineStr">
        <is>
          <t>4th Filmfare Awards. Shree 420 took 2 nominations at the ceremony and won both.</t>
        </is>
      </c>
      <c r="L4" s="5" t="inlineStr">
        <is>
          <t>SOURCE-002; SOURCE-431</t>
        </is>
      </c>
      <c r="M4" s="5" t="inlineStr">
        <is>
          <t>Medium</t>
        </is>
      </c>
    </row>
    <row r="5" ht="94" customHeight="1">
      <c r="A5" s="15" t="inlineStr">
        <is>
          <t>AWARD-004</t>
        </is>
      </c>
      <c r="B5" s="18" t="inlineStr">
        <is>
          <t>FILM-002</t>
        </is>
      </c>
      <c r="C5" s="5" t="inlineStr">
        <is>
          <t>Mera Naam Joker</t>
        </is>
      </c>
      <c r="D5" s="17" t="n">
        <v>1971</v>
      </c>
      <c r="E5" s="5" t="inlineStr">
        <is>
          <t>National Film Awards</t>
        </is>
      </c>
      <c r="F5" s="5" t="inlineStr">
        <is>
          <t>Best Child Artist</t>
        </is>
      </c>
      <c r="G5" s="5" t="inlineStr">
        <is>
          <t>Rishi Kapoor</t>
        </is>
      </c>
      <c r="H5" s="5" t="inlineStr">
        <is>
          <t>Actor</t>
        </is>
      </c>
      <c r="I5" s="5" t="inlineStr">
        <is>
          <t>Win</t>
        </is>
      </c>
      <c r="J5" s="5" t="inlineStr">
        <is>
          <t>Competitive</t>
        </is>
      </c>
      <c r="K5" s="5" t="inlineStr">
        <is>
          <t>18th National Film Awards, held in Chennai in November 1971, for films of 1970. The first award of Kapoor's career, for his credited debut as the adolescent Raju. His own article's accolade list dates it 1970, by film year rather than ceremony.</t>
        </is>
      </c>
      <c r="L5" s="5" t="inlineStr">
        <is>
          <t>SOURCE-003; SOURCE-240; SOURCE-432</t>
        </is>
      </c>
      <c r="M5" s="5" t="inlineStr">
        <is>
          <t>High</t>
        </is>
      </c>
    </row>
    <row r="6" ht="34" customHeight="1">
      <c r="A6" s="15" t="inlineStr">
        <is>
          <t>AWARD-005</t>
        </is>
      </c>
      <c r="B6" s="18" t="inlineStr">
        <is>
          <t>FILM-002</t>
        </is>
      </c>
      <c r="C6" s="5" t="inlineStr">
        <is>
          <t>Mera Naam Joker</t>
        </is>
      </c>
      <c r="D6" s="17" t="n">
        <v>1971</v>
      </c>
      <c r="E6" s="5" t="inlineStr">
        <is>
          <t>National Film Awards</t>
        </is>
      </c>
      <c r="F6" s="5" t="inlineStr">
        <is>
          <t>Best Male Playback Singer</t>
        </is>
      </c>
      <c r="G6" s="5" t="inlineStr">
        <is>
          <t>Manna Dey</t>
        </is>
      </c>
      <c r="H6" s="5" t="inlineStr">
        <is>
          <t>Playback singer</t>
        </is>
      </c>
      <c r="I6" s="5" t="inlineStr">
        <is>
          <t>Win</t>
        </is>
      </c>
      <c r="J6" s="5" t="inlineStr">
        <is>
          <t>Competitive</t>
        </is>
      </c>
      <c r="K6" s="5" t="inlineStr">
        <is>
          <t>For "Ae Bhai Zara Dekh Ke Chalo". 18th National Film Awards.</t>
        </is>
      </c>
      <c r="L6" s="5" t="inlineStr">
        <is>
          <t>SOURCE-003; SOURCE-432</t>
        </is>
      </c>
      <c r="M6" s="5" t="inlineStr">
        <is>
          <t>Medium</t>
        </is>
      </c>
    </row>
    <row r="7" ht="49" customHeight="1">
      <c r="A7" s="15" t="inlineStr">
        <is>
          <t>AWARD-006</t>
        </is>
      </c>
      <c r="B7" s="18" t="inlineStr">
        <is>
          <t>FILM-002</t>
        </is>
      </c>
      <c r="C7" s="5" t="inlineStr">
        <is>
          <t>Mera Naam Joker</t>
        </is>
      </c>
      <c r="D7" s="17" t="n">
        <v>1971</v>
      </c>
      <c r="E7" s="5" t="inlineStr">
        <is>
          <t>National Film Awards</t>
        </is>
      </c>
      <c r="F7" s="5" t="inlineStr">
        <is>
          <t>Best Cinematography (Colour)</t>
        </is>
      </c>
      <c r="G7" s="5" t="inlineStr">
        <is>
          <t>Radhu Karmakar</t>
        </is>
      </c>
      <c r="H7" s="5" t="inlineStr">
        <is>
          <t>Cinematographer</t>
        </is>
      </c>
      <c r="I7" s="5" t="inlineStr">
        <is>
          <t>Win</t>
        </is>
      </c>
      <c r="J7" s="5" t="inlineStr">
        <is>
          <t>Competitive</t>
        </is>
      </c>
      <c r="K7" s="5" t="inlineStr">
        <is>
          <t>18th National Film Awards. Mera Naam Joker was one of three films to take three awards at the ceremony.</t>
        </is>
      </c>
      <c r="L7" s="5" t="inlineStr">
        <is>
          <t>SOURCE-003; SOURCE-432</t>
        </is>
      </c>
      <c r="M7" s="5" t="inlineStr">
        <is>
          <t>Medium</t>
        </is>
      </c>
    </row>
    <row r="8" ht="79" customHeight="1">
      <c r="A8" s="15" t="inlineStr">
        <is>
          <t>AWARD-007</t>
        </is>
      </c>
      <c r="B8" s="18" t="inlineStr">
        <is>
          <t>FILM-002</t>
        </is>
      </c>
      <c r="C8" s="5" t="inlineStr">
        <is>
          <t>Mera Naam Joker</t>
        </is>
      </c>
      <c r="D8" s="17" t="n">
        <v>1971</v>
      </c>
      <c r="E8" s="5" t="inlineStr">
        <is>
          <t>Bengal Film Journalists' Association Awards</t>
        </is>
      </c>
      <c r="F8" s="5" t="inlineStr">
        <is>
          <t>Special Award</t>
        </is>
      </c>
      <c r="G8" s="5" t="inlineStr">
        <is>
          <t>Rishi Kapoor</t>
        </is>
      </c>
      <c r="H8" s="5" t="inlineStr">
        <is>
          <t>Actor</t>
        </is>
      </c>
      <c r="I8" s="5" t="inlineStr">
        <is>
          <t>Win</t>
        </is>
      </c>
      <c r="J8" s="5" t="inlineStr">
        <is>
          <t>Honorary</t>
        </is>
      </c>
      <c r="K8" s="5" t="inlineStr">
        <is>
          <t>Kapoor's article lists this as 1970, by film year; the BFJA page it cites is the 1971 ceremony. Recorded here by ceremony year, consistent with the National Film Award for the same performance.</t>
        </is>
      </c>
      <c r="L8" s="5" t="inlineStr">
        <is>
          <t>SOURCE-240</t>
        </is>
      </c>
      <c r="M8" s="5" t="inlineStr">
        <is>
          <t>Medium</t>
        </is>
      </c>
    </row>
    <row r="9" ht="49" customHeight="1">
      <c r="A9" s="15" t="inlineStr">
        <is>
          <t>AWARD-008</t>
        </is>
      </c>
      <c r="B9" s="18" t="inlineStr">
        <is>
          <t>FILM-002</t>
        </is>
      </c>
      <c r="C9" s="5" t="inlineStr">
        <is>
          <t>Mera Naam Joker</t>
        </is>
      </c>
      <c r="D9" s="17" t="n">
        <v>1972</v>
      </c>
      <c r="E9" s="5" t="inlineStr">
        <is>
          <t>Filmfare Awards</t>
        </is>
      </c>
      <c r="F9" s="5" t="inlineStr">
        <is>
          <t>Best Director</t>
        </is>
      </c>
      <c r="G9" s="5" t="inlineStr">
        <is>
          <t>Raj Kapoor</t>
        </is>
      </c>
      <c r="H9" s="5" t="inlineStr">
        <is>
          <t>Director</t>
        </is>
      </c>
      <c r="I9" s="5" t="inlineStr">
        <is>
          <t>Win</t>
        </is>
      </c>
      <c r="J9" s="5" t="inlineStr">
        <is>
          <t>Competitive</t>
        </is>
      </c>
      <c r="K9" s="5" t="inlineStr">
        <is>
          <t>19th Filmfare Awards, held 1972 for films of 1971. Mera Naam Joker won 5 of its 7 nominations, second only to Anand.</t>
        </is>
      </c>
      <c r="L9" s="5" t="inlineStr">
        <is>
          <t>SOURCE-003; SOURCE-433</t>
        </is>
      </c>
      <c r="M9" s="5" t="inlineStr">
        <is>
          <t>Medium</t>
        </is>
      </c>
    </row>
    <row r="10" ht="19" customHeight="1">
      <c r="A10" s="15" t="inlineStr">
        <is>
          <t>AWARD-009</t>
        </is>
      </c>
      <c r="B10" s="18" t="inlineStr">
        <is>
          <t>FILM-002</t>
        </is>
      </c>
      <c r="C10" s="5" t="inlineStr">
        <is>
          <t>Mera Naam Joker</t>
        </is>
      </c>
      <c r="D10" s="17" t="n">
        <v>1972</v>
      </c>
      <c r="E10" s="5" t="inlineStr">
        <is>
          <t>Filmfare Awards</t>
        </is>
      </c>
      <c r="F10" s="5" t="inlineStr">
        <is>
          <t>Best Music Director</t>
        </is>
      </c>
      <c r="G10" s="5" t="inlineStr">
        <is>
          <t>Shankar–Jaikishan</t>
        </is>
      </c>
      <c r="H10" s="5" t="inlineStr">
        <is>
          <t>Music director</t>
        </is>
      </c>
      <c r="I10" s="5" t="inlineStr">
        <is>
          <t>Win</t>
        </is>
      </c>
      <c r="J10" s="5" t="inlineStr">
        <is>
          <t>Competitive</t>
        </is>
      </c>
      <c r="K10" s="5" t="n"/>
      <c r="L10" s="5" t="inlineStr">
        <is>
          <t>SOURCE-003; SOURCE-433</t>
        </is>
      </c>
      <c r="M10" s="5" t="inlineStr">
        <is>
          <t>Medium</t>
        </is>
      </c>
    </row>
    <row r="11" ht="49" customHeight="1">
      <c r="A11" s="15" t="inlineStr">
        <is>
          <t>AWARD-010</t>
        </is>
      </c>
      <c r="B11" s="18" t="inlineStr">
        <is>
          <t>FILM-002</t>
        </is>
      </c>
      <c r="C11" s="5" t="inlineStr">
        <is>
          <t>Mera Naam Joker</t>
        </is>
      </c>
      <c r="D11" s="17" t="n">
        <v>1972</v>
      </c>
      <c r="E11" s="5" t="inlineStr">
        <is>
          <t>Filmfare Awards</t>
        </is>
      </c>
      <c r="F11" s="5" t="inlineStr">
        <is>
          <t>Best Male Playback Singer</t>
        </is>
      </c>
      <c r="G11" s="5" t="inlineStr">
        <is>
          <t>Manna Dey</t>
        </is>
      </c>
      <c r="H11" s="5" t="inlineStr">
        <is>
          <t>Playback singer</t>
        </is>
      </c>
      <c r="I11" s="5" t="inlineStr">
        <is>
          <t>Win</t>
        </is>
      </c>
      <c r="J11" s="5" t="inlineStr">
        <is>
          <t>Competitive</t>
        </is>
      </c>
      <c r="K11" s="5" t="inlineStr">
        <is>
          <t>For "Ae Bhai Zara Dekh Ke Chalo"; the same performance also took the National Film Award.</t>
        </is>
      </c>
      <c r="L11" s="5" t="inlineStr">
        <is>
          <t>SOURCE-003; SOURCE-433</t>
        </is>
      </c>
      <c r="M11" s="5" t="inlineStr">
        <is>
          <t>Medium</t>
        </is>
      </c>
    </row>
    <row r="12" ht="19" customHeight="1">
      <c r="A12" s="15" t="inlineStr">
        <is>
          <t>AWARD-011</t>
        </is>
      </c>
      <c r="B12" s="18" t="inlineStr">
        <is>
          <t>FILM-002</t>
        </is>
      </c>
      <c r="C12" s="5" t="inlineStr">
        <is>
          <t>Mera Naam Joker</t>
        </is>
      </c>
      <c r="D12" s="17" t="n">
        <v>1972</v>
      </c>
      <c r="E12" s="5" t="inlineStr">
        <is>
          <t>Filmfare Awards</t>
        </is>
      </c>
      <c r="F12" s="5" t="inlineStr">
        <is>
          <t>Best Cinematography</t>
        </is>
      </c>
      <c r="G12" s="5" t="inlineStr">
        <is>
          <t>Radhu Karmakar</t>
        </is>
      </c>
      <c r="H12" s="5" t="inlineStr">
        <is>
          <t>Cinematographer</t>
        </is>
      </c>
      <c r="I12" s="5" t="inlineStr">
        <is>
          <t>Win</t>
        </is>
      </c>
      <c r="J12" s="5" t="inlineStr">
        <is>
          <t>Competitive</t>
        </is>
      </c>
      <c r="K12" s="5" t="n"/>
      <c r="L12" s="5" t="inlineStr">
        <is>
          <t>SOURCE-003; SOURCE-433</t>
        </is>
      </c>
      <c r="M12" s="5" t="inlineStr">
        <is>
          <t>Medium</t>
        </is>
      </c>
    </row>
    <row r="13" ht="19" customHeight="1">
      <c r="A13" s="15" t="inlineStr">
        <is>
          <t>AWARD-012</t>
        </is>
      </c>
      <c r="B13" s="18" t="inlineStr">
        <is>
          <t>FILM-002</t>
        </is>
      </c>
      <c r="C13" s="5" t="inlineStr">
        <is>
          <t>Mera Naam Joker</t>
        </is>
      </c>
      <c r="D13" s="17" t="n">
        <v>1972</v>
      </c>
      <c r="E13" s="5" t="inlineStr">
        <is>
          <t>Filmfare Awards</t>
        </is>
      </c>
      <c r="F13" s="5" t="inlineStr">
        <is>
          <t>Best Sound Design</t>
        </is>
      </c>
      <c r="G13" s="5" t="inlineStr">
        <is>
          <t>Allauddin Khan Qureshi</t>
        </is>
      </c>
      <c r="H13" s="5" t="inlineStr">
        <is>
          <t>Technician</t>
        </is>
      </c>
      <c r="I13" s="5" t="inlineStr">
        <is>
          <t>Win</t>
        </is>
      </c>
      <c r="J13" s="5" t="inlineStr">
        <is>
          <t>Competitive</t>
        </is>
      </c>
      <c r="K13" s="5" t="n"/>
      <c r="L13" s="5" t="inlineStr">
        <is>
          <t>SOURCE-003; SOURCE-433</t>
        </is>
      </c>
      <c r="M13" s="5" t="inlineStr">
        <is>
          <t>Medium</t>
        </is>
      </c>
    </row>
    <row r="14" ht="19" customHeight="1">
      <c r="A14" s="15" t="inlineStr">
        <is>
          <t>AWARD-013</t>
        </is>
      </c>
      <c r="B14" s="18" t="inlineStr">
        <is>
          <t>FILM-002</t>
        </is>
      </c>
      <c r="C14" s="5" t="inlineStr">
        <is>
          <t>Mera Naam Joker</t>
        </is>
      </c>
      <c r="D14" s="17" t="n">
        <v>1972</v>
      </c>
      <c r="E14" s="5" t="inlineStr">
        <is>
          <t>Filmfare Awards</t>
        </is>
      </c>
      <c r="F14" s="5" t="inlineStr">
        <is>
          <t>Best Film</t>
        </is>
      </c>
      <c r="G14" s="5" t="inlineStr">
        <is>
          <t>Raj Kapoor</t>
        </is>
      </c>
      <c r="H14" s="5" t="inlineStr">
        <is>
          <t>Producer</t>
        </is>
      </c>
      <c r="I14" s="5" t="inlineStr">
        <is>
          <t>Nomination</t>
        </is>
      </c>
      <c r="J14" s="5" t="inlineStr">
        <is>
          <t>Competitive</t>
        </is>
      </c>
      <c r="K14" s="5" t="inlineStr">
        <is>
          <t>Lost to Anand.</t>
        </is>
      </c>
      <c r="L14" s="5" t="inlineStr">
        <is>
          <t>SOURCE-003; SOURCE-433</t>
        </is>
      </c>
      <c r="M14" s="5" t="inlineStr">
        <is>
          <t>Medium</t>
        </is>
      </c>
    </row>
    <row r="15" ht="19" customHeight="1">
      <c r="A15" s="15" t="inlineStr">
        <is>
          <t>AWARD-014</t>
        </is>
      </c>
      <c r="B15" s="18" t="inlineStr">
        <is>
          <t>FILM-002</t>
        </is>
      </c>
      <c r="C15" s="5" t="inlineStr">
        <is>
          <t>Mera Naam Joker</t>
        </is>
      </c>
      <c r="D15" s="17" t="n">
        <v>1972</v>
      </c>
      <c r="E15" s="5" t="inlineStr">
        <is>
          <t>Filmfare Awards</t>
        </is>
      </c>
      <c r="F15" s="5" t="inlineStr">
        <is>
          <t>Best Lyricist</t>
        </is>
      </c>
      <c r="G15" s="5" t="inlineStr">
        <is>
          <t>Gopaldas Neeraj</t>
        </is>
      </c>
      <c r="H15" s="5" t="inlineStr">
        <is>
          <t>Lyricist</t>
        </is>
      </c>
      <c r="I15" s="5" t="inlineStr">
        <is>
          <t>Nomination</t>
        </is>
      </c>
      <c r="J15" s="5" t="inlineStr">
        <is>
          <t>Competitive</t>
        </is>
      </c>
      <c r="K15" s="5" t="inlineStr">
        <is>
          <t>For "Ae Bhai Zara Dekh Ke Chalo".</t>
        </is>
      </c>
      <c r="L15" s="5" t="inlineStr">
        <is>
          <t>SOURCE-003; SOURCE-433</t>
        </is>
      </c>
      <c r="M15" s="5" t="inlineStr">
        <is>
          <t>Medium</t>
        </is>
      </c>
    </row>
    <row r="16" ht="94" customHeight="1">
      <c r="A16" s="15" t="inlineStr">
        <is>
          <t>AWARD-015</t>
        </is>
      </c>
      <c r="B16" s="18" t="inlineStr">
        <is>
          <t>FILM-003</t>
        </is>
      </c>
      <c r="C16" s="5" t="inlineStr">
        <is>
          <t>Bobby</t>
        </is>
      </c>
      <c r="D16" s="17" t="n">
        <v>1974</v>
      </c>
      <c r="E16" s="5" t="inlineStr">
        <is>
          <t>Filmfare Awards</t>
        </is>
      </c>
      <c r="F16" s="5" t="inlineStr">
        <is>
          <t>Best Actor</t>
        </is>
      </c>
      <c r="G16" s="5" t="inlineStr">
        <is>
          <t>Rishi Kapoor</t>
        </is>
      </c>
      <c r="H16" s="5" t="inlineStr">
        <is>
          <t>Actor</t>
        </is>
      </c>
      <c r="I16" s="5" t="inlineStr">
        <is>
          <t>Win</t>
        </is>
      </c>
      <c r="J16" s="5" t="inlineStr">
        <is>
          <t>Competitive</t>
        </is>
      </c>
      <c r="K16" s="5" t="inlineStr">
        <is>
          <t>21st Filmfare Awards, held 11 April 1974. The only Filmfare Best Actor award of Kapoor's career and the award that fixed his romantic-hero standing at 21. Bobby led the ceremony with 14 nominations and won 5, the most of any film that year.</t>
        </is>
      </c>
      <c r="L16" s="5" t="inlineStr">
        <is>
          <t>SOURCE-004; SOURCE-240; SOURCE-434</t>
        </is>
      </c>
      <c r="M16" s="5" t="inlineStr">
        <is>
          <t>High</t>
        </is>
      </c>
    </row>
    <row r="17" ht="49" customHeight="1">
      <c r="A17" s="15" t="inlineStr">
        <is>
          <t>AWARD-016</t>
        </is>
      </c>
      <c r="B17" s="18" t="inlineStr">
        <is>
          <t>FILM-003</t>
        </is>
      </c>
      <c r="C17" s="5" t="inlineStr">
        <is>
          <t>Bobby</t>
        </is>
      </c>
      <c r="D17" s="17" t="n">
        <v>1974</v>
      </c>
      <c r="E17" s="5" t="inlineStr">
        <is>
          <t>Filmfare Awards</t>
        </is>
      </c>
      <c r="F17" s="5" t="inlineStr">
        <is>
          <t>Best Actress</t>
        </is>
      </c>
      <c r="G17" s="5" t="inlineStr">
        <is>
          <t>Dimple Kapadia</t>
        </is>
      </c>
      <c r="H17" s="5" t="inlineStr">
        <is>
          <t>Actress</t>
        </is>
      </c>
      <c r="I17" s="5" t="inlineStr">
        <is>
          <t>Win</t>
        </is>
      </c>
      <c r="J17" s="5" t="inlineStr">
        <is>
          <t>Competitive</t>
        </is>
      </c>
      <c r="K17" s="5" t="inlineStr">
        <is>
          <t>Tied with Jaya Bhaduri for Abhimaan, the first tie for an acting award in Filmfare history. Kapadia's debut, opposite Kapoor's.</t>
        </is>
      </c>
      <c r="L17" s="5" t="inlineStr">
        <is>
          <t>SOURCE-004; SOURCE-434</t>
        </is>
      </c>
      <c r="M17" s="5" t="inlineStr">
        <is>
          <t>High</t>
        </is>
      </c>
    </row>
    <row r="18" ht="19" customHeight="1">
      <c r="A18" s="15" t="inlineStr">
        <is>
          <t>AWARD-017</t>
        </is>
      </c>
      <c r="B18" s="18" t="inlineStr">
        <is>
          <t>FILM-003</t>
        </is>
      </c>
      <c r="C18" s="5" t="inlineStr">
        <is>
          <t>Bobby</t>
        </is>
      </c>
      <c r="D18" s="17" t="n">
        <v>1974</v>
      </c>
      <c r="E18" s="5" t="inlineStr">
        <is>
          <t>Filmfare Awards</t>
        </is>
      </c>
      <c r="F18" s="5" t="inlineStr">
        <is>
          <t>Best Male Playback Singer</t>
        </is>
      </c>
      <c r="G18" s="5" t="inlineStr">
        <is>
          <t>Narendra Chanchal</t>
        </is>
      </c>
      <c r="H18" s="5" t="inlineStr">
        <is>
          <t>Playback singer</t>
        </is>
      </c>
      <c r="I18" s="5" t="inlineStr">
        <is>
          <t>Win</t>
        </is>
      </c>
      <c r="J18" s="5" t="inlineStr">
        <is>
          <t>Competitive</t>
        </is>
      </c>
      <c r="K18" s="5" t="inlineStr">
        <is>
          <t>For "Beshak Mandir Masjid".</t>
        </is>
      </c>
      <c r="L18" s="5" t="inlineStr">
        <is>
          <t>SOURCE-004; SOURCE-434</t>
        </is>
      </c>
      <c r="M18" s="5" t="inlineStr">
        <is>
          <t>Medium</t>
        </is>
      </c>
    </row>
    <row r="19" ht="19" customHeight="1">
      <c r="A19" s="15" t="inlineStr">
        <is>
          <t>AWARD-018</t>
        </is>
      </c>
      <c r="B19" s="18" t="inlineStr">
        <is>
          <t>FILM-003</t>
        </is>
      </c>
      <c r="C19" s="5" t="inlineStr">
        <is>
          <t>Bobby</t>
        </is>
      </c>
      <c r="D19" s="17" t="n">
        <v>1974</v>
      </c>
      <c r="E19" s="5" t="inlineStr">
        <is>
          <t>Filmfare Awards</t>
        </is>
      </c>
      <c r="F19" s="5" t="inlineStr">
        <is>
          <t>Best Art Direction</t>
        </is>
      </c>
      <c r="G19" s="5" t="inlineStr">
        <is>
          <t>A. Rangaraj</t>
        </is>
      </c>
      <c r="H19" s="5" t="inlineStr">
        <is>
          <t>Technician</t>
        </is>
      </c>
      <c r="I19" s="5" t="inlineStr">
        <is>
          <t>Win</t>
        </is>
      </c>
      <c r="J19" s="5" t="inlineStr">
        <is>
          <t>Competitive</t>
        </is>
      </c>
      <c r="K19" s="5" t="n"/>
      <c r="L19" s="5" t="inlineStr">
        <is>
          <t>SOURCE-004; SOURCE-434</t>
        </is>
      </c>
      <c r="M19" s="5" t="inlineStr">
        <is>
          <t>Medium</t>
        </is>
      </c>
    </row>
    <row r="20" ht="19" customHeight="1">
      <c r="A20" s="15" t="inlineStr">
        <is>
          <t>AWARD-019</t>
        </is>
      </c>
      <c r="B20" s="18" t="inlineStr">
        <is>
          <t>FILM-003</t>
        </is>
      </c>
      <c r="C20" s="5" t="inlineStr">
        <is>
          <t>Bobby</t>
        </is>
      </c>
      <c r="D20" s="17" t="n">
        <v>1974</v>
      </c>
      <c r="E20" s="5" t="inlineStr">
        <is>
          <t>Filmfare Awards</t>
        </is>
      </c>
      <c r="F20" s="5" t="inlineStr">
        <is>
          <t>Best Sound Design</t>
        </is>
      </c>
      <c r="G20" s="5" t="inlineStr">
        <is>
          <t>Allauddin Khan Qureshi</t>
        </is>
      </c>
      <c r="H20" s="5" t="inlineStr">
        <is>
          <t>Technician</t>
        </is>
      </c>
      <c r="I20" s="5" t="inlineStr">
        <is>
          <t>Win</t>
        </is>
      </c>
      <c r="J20" s="5" t="inlineStr">
        <is>
          <t>Competitive</t>
        </is>
      </c>
      <c r="K20" s="5" t="n"/>
      <c r="L20" s="5" t="inlineStr">
        <is>
          <t>SOURCE-004; SOURCE-434</t>
        </is>
      </c>
      <c r="M20" s="5" t="inlineStr">
        <is>
          <t>Medium</t>
        </is>
      </c>
    </row>
    <row r="21" ht="34" customHeight="1">
      <c r="A21" s="15" t="inlineStr">
        <is>
          <t>AWARD-020</t>
        </is>
      </c>
      <c r="B21" s="18" t="inlineStr">
        <is>
          <t>FILM-003</t>
        </is>
      </c>
      <c r="C21" s="5" t="inlineStr">
        <is>
          <t>Bobby</t>
        </is>
      </c>
      <c r="D21" s="17" t="n">
        <v>1974</v>
      </c>
      <c r="E21" s="5" t="inlineStr">
        <is>
          <t>Filmfare Awards</t>
        </is>
      </c>
      <c r="F21" s="5" t="inlineStr">
        <is>
          <t>Best Film</t>
        </is>
      </c>
      <c r="G21" s="5" t="inlineStr">
        <is>
          <t>Raj Kapoor</t>
        </is>
      </c>
      <c r="H21" s="5" t="inlineStr">
        <is>
          <t>Producer</t>
        </is>
      </c>
      <c r="I21" s="5" t="inlineStr">
        <is>
          <t>Nomination</t>
        </is>
      </c>
      <c r="J21" s="5" t="inlineStr">
        <is>
          <t>Competitive</t>
        </is>
      </c>
      <c r="K21" s="5" t="inlineStr">
        <is>
          <t>Lost to Anuraag, which won Best Film without winning anything else.</t>
        </is>
      </c>
      <c r="L21" s="5" t="inlineStr">
        <is>
          <t>SOURCE-004; SOURCE-434</t>
        </is>
      </c>
      <c r="M21" s="5" t="inlineStr">
        <is>
          <t>Medium</t>
        </is>
      </c>
    </row>
    <row r="22" ht="19" customHeight="1">
      <c r="A22" s="15" t="inlineStr">
        <is>
          <t>AWARD-021</t>
        </is>
      </c>
      <c r="B22" s="18" t="inlineStr">
        <is>
          <t>FILM-003</t>
        </is>
      </c>
      <c r="C22" s="5" t="inlineStr">
        <is>
          <t>Bobby</t>
        </is>
      </c>
      <c r="D22" s="17" t="n">
        <v>1974</v>
      </c>
      <c r="E22" s="5" t="inlineStr">
        <is>
          <t>Filmfare Awards</t>
        </is>
      </c>
      <c r="F22" s="5" t="inlineStr">
        <is>
          <t>Best Director</t>
        </is>
      </c>
      <c r="G22" s="5" t="inlineStr">
        <is>
          <t>Raj Kapoor</t>
        </is>
      </c>
      <c r="H22" s="5" t="inlineStr">
        <is>
          <t>Director</t>
        </is>
      </c>
      <c r="I22" s="5" t="inlineStr">
        <is>
          <t>Nomination</t>
        </is>
      </c>
      <c r="J22" s="5" t="inlineStr">
        <is>
          <t>Competitive</t>
        </is>
      </c>
      <c r="K22" s="5" t="n"/>
      <c r="L22" s="5" t="inlineStr">
        <is>
          <t>SOURCE-004; SOURCE-434</t>
        </is>
      </c>
      <c r="M22" s="5" t="inlineStr">
        <is>
          <t>Medium</t>
        </is>
      </c>
    </row>
    <row r="23" ht="34" customHeight="1">
      <c r="A23" s="15" t="inlineStr">
        <is>
          <t>AWARD-022</t>
        </is>
      </c>
      <c r="B23" s="18" t="inlineStr">
        <is>
          <t>FILM-003</t>
        </is>
      </c>
      <c r="C23" s="5" t="inlineStr">
        <is>
          <t>Bobby</t>
        </is>
      </c>
      <c r="D23" s="17" t="n">
        <v>1974</v>
      </c>
      <c r="E23" s="5" t="inlineStr">
        <is>
          <t>Filmfare Awards</t>
        </is>
      </c>
      <c r="F23" s="5" t="inlineStr">
        <is>
          <t>Best Supporting Actor</t>
        </is>
      </c>
      <c r="G23" s="5" t="inlineStr">
        <is>
          <t>Prem Nath</t>
        </is>
      </c>
      <c r="H23" s="5" t="inlineStr">
        <is>
          <t>Actor</t>
        </is>
      </c>
      <c r="I23" s="5" t="inlineStr">
        <is>
          <t>Nomination</t>
        </is>
      </c>
      <c r="J23" s="5" t="inlineStr">
        <is>
          <t>Competitive</t>
        </is>
      </c>
      <c r="K23" s="5" t="inlineStr">
        <is>
          <t>As Bobby's father Jack Braganza, the source of the film's external opposition.</t>
        </is>
      </c>
      <c r="L23" s="5" t="inlineStr">
        <is>
          <t>SOURCE-004; SOURCE-434</t>
        </is>
      </c>
      <c r="M23" s="5" t="inlineStr">
        <is>
          <t>Medium</t>
        </is>
      </c>
    </row>
    <row r="24" ht="19" customHeight="1">
      <c r="A24" s="15" t="inlineStr">
        <is>
          <t>AWARD-023</t>
        </is>
      </c>
      <c r="B24" s="18" t="inlineStr">
        <is>
          <t>FILM-003</t>
        </is>
      </c>
      <c r="C24" s="5" t="inlineStr">
        <is>
          <t>Bobby</t>
        </is>
      </c>
      <c r="D24" s="17" t="n">
        <v>1974</v>
      </c>
      <c r="E24" s="5" t="inlineStr">
        <is>
          <t>Filmfare Awards</t>
        </is>
      </c>
      <c r="F24" s="5" t="inlineStr">
        <is>
          <t>Best Supporting Actress</t>
        </is>
      </c>
      <c r="G24" s="5" t="inlineStr">
        <is>
          <t>Aruna Irani</t>
        </is>
      </c>
      <c r="H24" s="5" t="inlineStr">
        <is>
          <t>Actress</t>
        </is>
      </c>
      <c r="I24" s="5" t="inlineStr">
        <is>
          <t>Nomination</t>
        </is>
      </c>
      <c r="J24" s="5" t="inlineStr">
        <is>
          <t>Competitive</t>
        </is>
      </c>
      <c r="K24" s="5" t="n"/>
      <c r="L24" s="5" t="inlineStr">
        <is>
          <t>SOURCE-004; SOURCE-434</t>
        </is>
      </c>
      <c r="M24" s="5" t="inlineStr">
        <is>
          <t>Medium</t>
        </is>
      </c>
    </row>
    <row r="25" ht="19" customHeight="1">
      <c r="A25" s="15" t="inlineStr">
        <is>
          <t>AWARD-024</t>
        </is>
      </c>
      <c r="B25" s="18" t="inlineStr">
        <is>
          <t>FILM-003</t>
        </is>
      </c>
      <c r="C25" s="5" t="inlineStr">
        <is>
          <t>Bobby</t>
        </is>
      </c>
      <c r="D25" s="17" t="n">
        <v>1974</v>
      </c>
      <c r="E25" s="5" t="inlineStr">
        <is>
          <t>Filmfare Awards</t>
        </is>
      </c>
      <c r="F25" s="5" t="inlineStr">
        <is>
          <t>Best Music Director</t>
        </is>
      </c>
      <c r="G25" s="5" t="inlineStr">
        <is>
          <t>Laxmikant–Pyarelal</t>
        </is>
      </c>
      <c r="H25" s="5" t="inlineStr">
        <is>
          <t>Music director</t>
        </is>
      </c>
      <c r="I25" s="5" t="inlineStr">
        <is>
          <t>Nomination</t>
        </is>
      </c>
      <c r="J25" s="5" t="inlineStr">
        <is>
          <t>Competitive</t>
        </is>
      </c>
      <c r="K25" s="5" t="n"/>
      <c r="L25" s="5" t="inlineStr">
        <is>
          <t>SOURCE-004; SOURCE-434</t>
        </is>
      </c>
      <c r="M25" s="5" t="inlineStr">
        <is>
          <t>Medium</t>
        </is>
      </c>
    </row>
    <row r="26" ht="49" customHeight="1">
      <c r="A26" s="15" t="inlineStr">
        <is>
          <t>AWARD-025</t>
        </is>
      </c>
      <c r="B26" s="18" t="inlineStr">
        <is>
          <t>FILM-003</t>
        </is>
      </c>
      <c r="C26" s="5" t="inlineStr">
        <is>
          <t>Bobby</t>
        </is>
      </c>
      <c r="D26" s="17" t="n">
        <v>1974</v>
      </c>
      <c r="E26" s="5" t="inlineStr">
        <is>
          <t>Filmfare Awards</t>
        </is>
      </c>
      <c r="F26" s="5" t="inlineStr">
        <is>
          <t>Best Lyricist</t>
        </is>
      </c>
      <c r="G26" s="5" t="inlineStr">
        <is>
          <t>Anand Bakshi</t>
        </is>
      </c>
      <c r="H26" s="5" t="inlineStr">
        <is>
          <t>Lyricist</t>
        </is>
      </c>
      <c r="I26" s="5" t="inlineStr">
        <is>
          <t>Nomination</t>
        </is>
      </c>
      <c r="J26" s="5" t="inlineStr">
        <is>
          <t>Competitive</t>
        </is>
      </c>
      <c r="K26" s="5" t="inlineStr">
        <is>
          <t>For "Hum Tum Ek Kamre Mein Band Ho", the film's central romantic song. One of three Best Lyricist nominations Bobby received.</t>
        </is>
      </c>
      <c r="L26" s="5" t="inlineStr">
        <is>
          <t>SOURCE-004; SOURCE-434</t>
        </is>
      </c>
      <c r="M26" s="5" t="inlineStr">
        <is>
          <t>Medium</t>
        </is>
      </c>
    </row>
    <row r="27" ht="19" customHeight="1">
      <c r="A27" s="15" t="inlineStr">
        <is>
          <t>AWARD-026</t>
        </is>
      </c>
      <c r="B27" s="18" t="inlineStr">
        <is>
          <t>FILM-003</t>
        </is>
      </c>
      <c r="C27" s="5" t="inlineStr">
        <is>
          <t>Bobby</t>
        </is>
      </c>
      <c r="D27" s="17" t="n">
        <v>1974</v>
      </c>
      <c r="E27" s="5" t="inlineStr">
        <is>
          <t>Filmfare Awards</t>
        </is>
      </c>
      <c r="F27" s="5" t="inlineStr">
        <is>
          <t>Best Lyricist</t>
        </is>
      </c>
      <c r="G27" s="5" t="inlineStr">
        <is>
          <t>Anand Bakshi</t>
        </is>
      </c>
      <c r="H27" s="5" t="inlineStr">
        <is>
          <t>Lyricist</t>
        </is>
      </c>
      <c r="I27" s="5" t="inlineStr">
        <is>
          <t>Nomination</t>
        </is>
      </c>
      <c r="J27" s="5" t="inlineStr">
        <is>
          <t>Competitive</t>
        </is>
      </c>
      <c r="K27" s="5" t="inlineStr">
        <is>
          <t>For "Main Shayar To Nahin".</t>
        </is>
      </c>
      <c r="L27" s="5" t="inlineStr">
        <is>
          <t>SOURCE-004; SOURCE-434</t>
        </is>
      </c>
      <c r="M27" s="5" t="inlineStr">
        <is>
          <t>Medium</t>
        </is>
      </c>
    </row>
    <row r="28" ht="19" customHeight="1">
      <c r="A28" s="15" t="inlineStr">
        <is>
          <t>AWARD-027</t>
        </is>
      </c>
      <c r="B28" s="18" t="inlineStr">
        <is>
          <t>FILM-003</t>
        </is>
      </c>
      <c r="C28" s="5" t="inlineStr">
        <is>
          <t>Bobby</t>
        </is>
      </c>
      <c r="D28" s="17" t="n">
        <v>1974</v>
      </c>
      <c r="E28" s="5" t="inlineStr">
        <is>
          <t>Filmfare Awards</t>
        </is>
      </c>
      <c r="F28" s="5" t="inlineStr">
        <is>
          <t>Best Lyricist</t>
        </is>
      </c>
      <c r="G28" s="5" t="inlineStr">
        <is>
          <t>Vitthalbhai Patel</t>
        </is>
      </c>
      <c r="H28" s="5" t="inlineStr">
        <is>
          <t>Lyricist</t>
        </is>
      </c>
      <c r="I28" s="5" t="inlineStr">
        <is>
          <t>Nomination</t>
        </is>
      </c>
      <c r="J28" s="5" t="inlineStr">
        <is>
          <t>Competitive</t>
        </is>
      </c>
      <c r="K28" s="5" t="inlineStr">
        <is>
          <t>For "Jhoot Bole Kauwa Kaate".</t>
        </is>
      </c>
      <c r="L28" s="5" t="inlineStr">
        <is>
          <t>SOURCE-004; SOURCE-434</t>
        </is>
      </c>
      <c r="M28" s="5" t="inlineStr">
        <is>
          <t>Medium</t>
        </is>
      </c>
    </row>
    <row r="29" ht="49" customHeight="1">
      <c r="A29" s="15" t="inlineStr">
        <is>
          <t>AWARD-028</t>
        </is>
      </c>
      <c r="B29" s="18" t="inlineStr">
        <is>
          <t>FILM-003</t>
        </is>
      </c>
      <c r="C29" s="5" t="inlineStr">
        <is>
          <t>Bobby</t>
        </is>
      </c>
      <c r="D29" s="17" t="n">
        <v>1974</v>
      </c>
      <c r="E29" s="5" t="inlineStr">
        <is>
          <t>Filmfare Awards</t>
        </is>
      </c>
      <c r="F29" s="5" t="inlineStr">
        <is>
          <t>Best Male Playback Singer</t>
        </is>
      </c>
      <c r="G29" s="5" t="inlineStr">
        <is>
          <t>Shailendra Singh</t>
        </is>
      </c>
      <c r="H29" s="5" t="inlineStr">
        <is>
          <t>Playback singer</t>
        </is>
      </c>
      <c r="I29" s="5" t="inlineStr">
        <is>
          <t>Nomination</t>
        </is>
      </c>
      <c r="J29" s="5" t="inlineStr">
        <is>
          <t>Competitive</t>
        </is>
      </c>
      <c r="K29" s="5" t="inlineStr">
        <is>
          <t>For "Main Shayar To Nahin". Singh was Kapoor's playback voice here and across much of his early career.</t>
        </is>
      </c>
      <c r="L29" s="5" t="inlineStr">
        <is>
          <t>SOURCE-004; SOURCE-434</t>
        </is>
      </c>
      <c r="M29" s="5" t="inlineStr">
        <is>
          <t>Medium</t>
        </is>
      </c>
    </row>
    <row r="30" ht="34" customHeight="1">
      <c r="A30" s="15" t="inlineStr">
        <is>
          <t>AWARD-029</t>
        </is>
      </c>
      <c r="B30" s="18" t="inlineStr">
        <is>
          <t>FILM-006</t>
        </is>
      </c>
      <c r="C30" s="5" t="inlineStr">
        <is>
          <t>Khel Khel Mein</t>
        </is>
      </c>
      <c r="D30" s="17" t="n">
        <v>1976</v>
      </c>
      <c r="E30" s="5" t="inlineStr">
        <is>
          <t>Filmfare Awards</t>
        </is>
      </c>
      <c r="F30" s="5" t="inlineStr">
        <is>
          <t>Best Music Director</t>
        </is>
      </c>
      <c r="G30" s="5" t="inlineStr">
        <is>
          <t>R. D. Burman</t>
        </is>
      </c>
      <c r="H30" s="5" t="inlineStr">
        <is>
          <t>Music director</t>
        </is>
      </c>
      <c r="I30" s="5" t="inlineStr">
        <is>
          <t>Nomination</t>
        </is>
      </c>
      <c r="J30" s="5" t="inlineStr">
        <is>
          <t>Competitive</t>
        </is>
      </c>
      <c r="K30" s="5" t="inlineStr">
        <is>
          <t>23rd Filmfare Awards, held in Bombay on 30 March 1976.</t>
        </is>
      </c>
      <c r="L30" s="5" t="inlineStr">
        <is>
          <t>SOURCE-006; SOURCE-435</t>
        </is>
      </c>
      <c r="M30" s="5" t="inlineStr">
        <is>
          <t>Medium</t>
        </is>
      </c>
    </row>
    <row r="31" ht="19" customHeight="1">
      <c r="A31" s="15" t="inlineStr">
        <is>
          <t>AWARD-030</t>
        </is>
      </c>
      <c r="B31" s="18" t="inlineStr">
        <is>
          <t>FILM-006</t>
        </is>
      </c>
      <c r="C31" s="5" t="inlineStr">
        <is>
          <t>Khel Khel Mein</t>
        </is>
      </c>
      <c r="D31" s="17" t="n">
        <v>1976</v>
      </c>
      <c r="E31" s="5" t="inlineStr">
        <is>
          <t>Filmfare Awards</t>
        </is>
      </c>
      <c r="F31" s="5" t="inlineStr">
        <is>
          <t>Best Female Playback Singer</t>
        </is>
      </c>
      <c r="G31" s="5" t="inlineStr">
        <is>
          <t>Asha Bhosle</t>
        </is>
      </c>
      <c r="H31" s="5" t="inlineStr">
        <is>
          <t>Playback singer</t>
        </is>
      </c>
      <c r="I31" s="5" t="inlineStr">
        <is>
          <t>Nomination</t>
        </is>
      </c>
      <c r="J31" s="5" t="inlineStr">
        <is>
          <t>Competitive</t>
        </is>
      </c>
      <c r="K31" s="5" t="inlineStr">
        <is>
          <t>For "Sapna Mera Toot Gaya".</t>
        </is>
      </c>
      <c r="L31" s="5" t="inlineStr">
        <is>
          <t>SOURCE-006; SOURCE-435</t>
        </is>
      </c>
      <c r="M31" s="5" t="inlineStr">
        <is>
          <t>Medium</t>
        </is>
      </c>
    </row>
    <row r="32" ht="19" customHeight="1">
      <c r="A32" s="15" t="inlineStr">
        <is>
          <t>AWARD-031</t>
        </is>
      </c>
      <c r="B32" s="18" t="inlineStr">
        <is>
          <t>FILM-007</t>
        </is>
      </c>
      <c r="C32" s="5" t="inlineStr">
        <is>
          <t>Rafoo Chakkar</t>
        </is>
      </c>
      <c r="D32" s="17" t="n">
        <v>1976</v>
      </c>
      <c r="E32" s="5" t="inlineStr">
        <is>
          <t>Filmfare Awards</t>
        </is>
      </c>
      <c r="F32" s="5" t="inlineStr">
        <is>
          <t>Best Performance in a Comic Role</t>
        </is>
      </c>
      <c r="G32" s="5" t="inlineStr">
        <is>
          <t>Asrani</t>
        </is>
      </c>
      <c r="H32" s="5" t="inlineStr">
        <is>
          <t>Actor</t>
        </is>
      </c>
      <c r="I32" s="5" t="inlineStr">
        <is>
          <t>Nomination</t>
        </is>
      </c>
      <c r="J32" s="5" t="inlineStr">
        <is>
          <t>Competitive</t>
        </is>
      </c>
      <c r="K32" s="5" t="inlineStr">
        <is>
          <t>23rd Filmfare Awards.</t>
        </is>
      </c>
      <c r="L32" s="5" t="inlineStr">
        <is>
          <t>SOURCE-007; SOURCE-435</t>
        </is>
      </c>
      <c r="M32" s="5" t="inlineStr">
        <is>
          <t>Medium</t>
        </is>
      </c>
    </row>
    <row r="33" ht="64" customHeight="1">
      <c r="A33" s="15" t="inlineStr">
        <is>
          <t>AWARD-032</t>
        </is>
      </c>
      <c r="B33" s="18" t="inlineStr">
        <is>
          <t>FILM-009</t>
        </is>
      </c>
      <c r="C33" s="5" t="inlineStr">
        <is>
          <t>Kabhie Kabhie</t>
        </is>
      </c>
      <c r="D33" s="17" t="n">
        <v>1977</v>
      </c>
      <c r="E33" s="5" t="inlineStr">
        <is>
          <t>Filmfare Awards</t>
        </is>
      </c>
      <c r="F33" s="5" t="inlineStr">
        <is>
          <t>Best Music Director</t>
        </is>
      </c>
      <c r="G33" s="5" t="inlineStr">
        <is>
          <t>Khayyam</t>
        </is>
      </c>
      <c r="H33" s="5" t="inlineStr">
        <is>
          <t>Music director</t>
        </is>
      </c>
      <c r="I33" s="5" t="inlineStr">
        <is>
          <t>Win</t>
        </is>
      </c>
      <c r="J33" s="5" t="inlineStr">
        <is>
          <t>Competitive</t>
        </is>
      </c>
      <c r="K33" s="5" t="inlineStr">
        <is>
          <t>24th Filmfare Awards, held in Bombay on 20 June 1977. Kapoor plays the supporting role in an ensemble led by Amitabh Bachchan and Raakhee.</t>
        </is>
      </c>
      <c r="L33" s="5" t="inlineStr">
        <is>
          <t>SOURCE-010; SOURCE-436</t>
        </is>
      </c>
      <c r="M33" s="5" t="inlineStr">
        <is>
          <t>Medium</t>
        </is>
      </c>
    </row>
    <row r="34" ht="19" customHeight="1">
      <c r="A34" s="15" t="inlineStr">
        <is>
          <t>AWARD-033</t>
        </is>
      </c>
      <c r="B34" s="18" t="inlineStr">
        <is>
          <t>FILM-009</t>
        </is>
      </c>
      <c r="C34" s="5" t="inlineStr">
        <is>
          <t>Kabhie Kabhie</t>
        </is>
      </c>
      <c r="D34" s="17" t="n">
        <v>1977</v>
      </c>
      <c r="E34" s="5" t="inlineStr">
        <is>
          <t>Filmfare Awards</t>
        </is>
      </c>
      <c r="F34" s="5" t="inlineStr">
        <is>
          <t>Best Lyricist</t>
        </is>
      </c>
      <c r="G34" s="5" t="inlineStr">
        <is>
          <t>Sahir Ludhianvi</t>
        </is>
      </c>
      <c r="H34" s="5" t="inlineStr">
        <is>
          <t>Lyricist</t>
        </is>
      </c>
      <c r="I34" s="5" t="inlineStr">
        <is>
          <t>Win</t>
        </is>
      </c>
      <c r="J34" s="5" t="inlineStr">
        <is>
          <t>Competitive</t>
        </is>
      </c>
      <c r="K34" s="5" t="inlineStr">
        <is>
          <t>For "Kabhi Kabhie Mere Dil Mein".</t>
        </is>
      </c>
      <c r="L34" s="5" t="inlineStr">
        <is>
          <t>SOURCE-010; SOURCE-436</t>
        </is>
      </c>
      <c r="M34" s="5" t="inlineStr">
        <is>
          <t>Medium</t>
        </is>
      </c>
    </row>
    <row r="35" ht="19" customHeight="1">
      <c r="A35" s="15" t="inlineStr">
        <is>
          <t>AWARD-034</t>
        </is>
      </c>
      <c r="B35" s="18" t="inlineStr">
        <is>
          <t>FILM-009</t>
        </is>
      </c>
      <c r="C35" s="5" t="inlineStr">
        <is>
          <t>Kabhie Kabhie</t>
        </is>
      </c>
      <c r="D35" s="17" t="n">
        <v>1977</v>
      </c>
      <c r="E35" s="5" t="inlineStr">
        <is>
          <t>Filmfare Awards</t>
        </is>
      </c>
      <c r="F35" s="5" t="inlineStr">
        <is>
          <t>Best Male Playback Singer</t>
        </is>
      </c>
      <c r="G35" s="5" t="inlineStr">
        <is>
          <t>Mukesh</t>
        </is>
      </c>
      <c r="H35" s="5" t="inlineStr">
        <is>
          <t>Playback singer</t>
        </is>
      </c>
      <c r="I35" s="5" t="inlineStr">
        <is>
          <t>Win</t>
        </is>
      </c>
      <c r="J35" s="5" t="inlineStr">
        <is>
          <t>Competitive</t>
        </is>
      </c>
      <c r="K35" s="5" t="inlineStr">
        <is>
          <t>For "Kabhi Kabhie Mere Dil Mein".</t>
        </is>
      </c>
      <c r="L35" s="5" t="inlineStr">
        <is>
          <t>SOURCE-010; SOURCE-436</t>
        </is>
      </c>
      <c r="M35" s="5" t="inlineStr">
        <is>
          <t>Medium</t>
        </is>
      </c>
    </row>
    <row r="36" ht="19" customHeight="1">
      <c r="A36" s="15" t="inlineStr">
        <is>
          <t>AWARD-035</t>
        </is>
      </c>
      <c r="B36" s="18" t="inlineStr">
        <is>
          <t>FILM-009</t>
        </is>
      </c>
      <c r="C36" s="5" t="inlineStr">
        <is>
          <t>Kabhie Kabhie</t>
        </is>
      </c>
      <c r="D36" s="17" t="n">
        <v>1977</v>
      </c>
      <c r="E36" s="5" t="inlineStr">
        <is>
          <t>Filmfare Awards</t>
        </is>
      </c>
      <c r="F36" s="5" t="inlineStr">
        <is>
          <t>Best Dialogue</t>
        </is>
      </c>
      <c r="G36" s="5" t="inlineStr">
        <is>
          <t>Sagar Sarhadi</t>
        </is>
      </c>
      <c r="H36" s="5" t="inlineStr">
        <is>
          <t>Writer</t>
        </is>
      </c>
      <c r="I36" s="5" t="inlineStr">
        <is>
          <t>Win</t>
        </is>
      </c>
      <c r="J36" s="5" t="inlineStr">
        <is>
          <t>Competitive</t>
        </is>
      </c>
      <c r="K36" s="5" t="n"/>
      <c r="L36" s="5" t="inlineStr">
        <is>
          <t>SOURCE-010; SOURCE-436</t>
        </is>
      </c>
      <c r="M36" s="5" t="inlineStr">
        <is>
          <t>Medium</t>
        </is>
      </c>
    </row>
    <row r="37" ht="19" customHeight="1">
      <c r="A37" s="15" t="inlineStr">
        <is>
          <t>AWARD-036</t>
        </is>
      </c>
      <c r="B37" s="18" t="inlineStr">
        <is>
          <t>FILM-009</t>
        </is>
      </c>
      <c r="C37" s="5" t="inlineStr">
        <is>
          <t>Kabhie Kabhie</t>
        </is>
      </c>
      <c r="D37" s="17" t="n">
        <v>1977</v>
      </c>
      <c r="E37" s="5" t="inlineStr">
        <is>
          <t>Filmfare Awards</t>
        </is>
      </c>
      <c r="F37" s="5" t="inlineStr">
        <is>
          <t>Best Film</t>
        </is>
      </c>
      <c r="G37" s="5" t="inlineStr">
        <is>
          <t>Yash Chopra</t>
        </is>
      </c>
      <c r="H37" s="5" t="inlineStr">
        <is>
          <t>Producer</t>
        </is>
      </c>
      <c r="I37" s="5" t="inlineStr">
        <is>
          <t>Nomination</t>
        </is>
      </c>
      <c r="J37" s="5" t="inlineStr">
        <is>
          <t>Competitive</t>
        </is>
      </c>
      <c r="K37" s="5" t="n"/>
      <c r="L37" s="5" t="inlineStr">
        <is>
          <t>SOURCE-010; SOURCE-436</t>
        </is>
      </c>
      <c r="M37" s="5" t="inlineStr">
        <is>
          <t>Medium</t>
        </is>
      </c>
    </row>
    <row r="38" ht="19" customHeight="1">
      <c r="A38" s="15" t="inlineStr">
        <is>
          <t>AWARD-037</t>
        </is>
      </c>
      <c r="B38" s="18" t="inlineStr">
        <is>
          <t>FILM-009</t>
        </is>
      </c>
      <c r="C38" s="5" t="inlineStr">
        <is>
          <t>Kabhie Kabhie</t>
        </is>
      </c>
      <c r="D38" s="17" t="n">
        <v>1977</v>
      </c>
      <c r="E38" s="5" t="inlineStr">
        <is>
          <t>Filmfare Awards</t>
        </is>
      </c>
      <c r="F38" s="5" t="inlineStr">
        <is>
          <t>Best Director</t>
        </is>
      </c>
      <c r="G38" s="5" t="inlineStr">
        <is>
          <t>Yash Chopra</t>
        </is>
      </c>
      <c r="H38" s="5" t="inlineStr">
        <is>
          <t>Director</t>
        </is>
      </c>
      <c r="I38" s="5" t="inlineStr">
        <is>
          <t>Nomination</t>
        </is>
      </c>
      <c r="J38" s="5" t="inlineStr">
        <is>
          <t>Competitive</t>
        </is>
      </c>
      <c r="K38" s="5" t="n"/>
      <c r="L38" s="5" t="inlineStr">
        <is>
          <t>SOURCE-010; SOURCE-436</t>
        </is>
      </c>
      <c r="M38" s="5" t="inlineStr">
        <is>
          <t>Medium</t>
        </is>
      </c>
    </row>
    <row r="39" ht="19" customHeight="1">
      <c r="A39" s="15" t="inlineStr">
        <is>
          <t>AWARD-038</t>
        </is>
      </c>
      <c r="B39" s="18" t="inlineStr">
        <is>
          <t>FILM-009</t>
        </is>
      </c>
      <c r="C39" s="5" t="inlineStr">
        <is>
          <t>Kabhie Kabhie</t>
        </is>
      </c>
      <c r="D39" s="17" t="n">
        <v>1977</v>
      </c>
      <c r="E39" s="5" t="inlineStr">
        <is>
          <t>Filmfare Awards</t>
        </is>
      </c>
      <c r="F39" s="5" t="inlineStr">
        <is>
          <t>Best Actor</t>
        </is>
      </c>
      <c r="G39" s="5" t="inlineStr">
        <is>
          <t>Amitabh Bachchan</t>
        </is>
      </c>
      <c r="H39" s="5" t="inlineStr">
        <is>
          <t>Actor</t>
        </is>
      </c>
      <c r="I39" s="5" t="inlineStr">
        <is>
          <t>Nomination</t>
        </is>
      </c>
      <c r="J39" s="5" t="inlineStr">
        <is>
          <t>Competitive</t>
        </is>
      </c>
      <c r="K39" s="5" t="n"/>
      <c r="L39" s="5" t="inlineStr">
        <is>
          <t>SOURCE-010; SOURCE-436</t>
        </is>
      </c>
      <c r="M39" s="5" t="inlineStr">
        <is>
          <t>Medium</t>
        </is>
      </c>
    </row>
    <row r="40" ht="19" customHeight="1">
      <c r="A40" s="15" t="inlineStr">
        <is>
          <t>AWARD-039</t>
        </is>
      </c>
      <c r="B40" s="18" t="inlineStr">
        <is>
          <t>FILM-009</t>
        </is>
      </c>
      <c r="C40" s="5" t="inlineStr">
        <is>
          <t>Kabhie Kabhie</t>
        </is>
      </c>
      <c r="D40" s="17" t="n">
        <v>1977</v>
      </c>
      <c r="E40" s="5" t="inlineStr">
        <is>
          <t>Filmfare Awards</t>
        </is>
      </c>
      <c r="F40" s="5" t="inlineStr">
        <is>
          <t>Best Actress</t>
        </is>
      </c>
      <c r="G40" s="5" t="inlineStr">
        <is>
          <t>Raakhee</t>
        </is>
      </c>
      <c r="H40" s="5" t="inlineStr">
        <is>
          <t>Actress</t>
        </is>
      </c>
      <c r="I40" s="5" t="inlineStr">
        <is>
          <t>Nomination</t>
        </is>
      </c>
      <c r="J40" s="5" t="inlineStr">
        <is>
          <t>Competitive</t>
        </is>
      </c>
      <c r="K40" s="5" t="n"/>
      <c r="L40" s="5" t="inlineStr">
        <is>
          <t>SOURCE-010; SOURCE-436</t>
        </is>
      </c>
      <c r="M40" s="5" t="inlineStr">
        <is>
          <t>Medium</t>
        </is>
      </c>
    </row>
    <row r="41" ht="34" customHeight="1">
      <c r="A41" s="15" t="inlineStr">
        <is>
          <t>AWARD-040</t>
        </is>
      </c>
      <c r="B41" s="18" t="inlineStr">
        <is>
          <t>FILM-009</t>
        </is>
      </c>
      <c r="C41" s="5" t="inlineStr">
        <is>
          <t>Kabhie Kabhie</t>
        </is>
      </c>
      <c r="D41" s="17" t="n">
        <v>1977</v>
      </c>
      <c r="E41" s="5" t="inlineStr">
        <is>
          <t>Filmfare Awards</t>
        </is>
      </c>
      <c r="F41" s="5" t="inlineStr">
        <is>
          <t>Best Supporting Actor</t>
        </is>
      </c>
      <c r="G41" s="5" t="inlineStr">
        <is>
          <t>Shashi Kapoor</t>
        </is>
      </c>
      <c r="H41" s="5" t="inlineStr">
        <is>
          <t>Actor</t>
        </is>
      </c>
      <c r="I41" s="5" t="inlineStr">
        <is>
          <t>Nomination</t>
        </is>
      </c>
      <c r="J41" s="5" t="inlineStr">
        <is>
          <t>Competitive</t>
        </is>
      </c>
      <c r="K41" s="5" t="inlineStr">
        <is>
          <t>Kapoor's uncle, in one of the four films the two appear in together.</t>
        </is>
      </c>
      <c r="L41" s="5" t="inlineStr">
        <is>
          <t>SOURCE-010; SOURCE-436</t>
        </is>
      </c>
      <c r="M41" s="5" t="inlineStr">
        <is>
          <t>Medium</t>
        </is>
      </c>
    </row>
    <row r="42" ht="19" customHeight="1">
      <c r="A42" s="15" t="inlineStr">
        <is>
          <t>AWARD-041</t>
        </is>
      </c>
      <c r="B42" s="18" t="inlineStr">
        <is>
          <t>FILM-009</t>
        </is>
      </c>
      <c r="C42" s="5" t="inlineStr">
        <is>
          <t>Kabhie Kabhie</t>
        </is>
      </c>
      <c r="D42" s="17" t="n">
        <v>1977</v>
      </c>
      <c r="E42" s="5" t="inlineStr">
        <is>
          <t>Filmfare Awards</t>
        </is>
      </c>
      <c r="F42" s="5" t="inlineStr">
        <is>
          <t>Best Supporting Actress</t>
        </is>
      </c>
      <c r="G42" s="5" t="inlineStr">
        <is>
          <t>Waheeda Rehman</t>
        </is>
      </c>
      <c r="H42" s="5" t="inlineStr">
        <is>
          <t>Actress</t>
        </is>
      </c>
      <c r="I42" s="5" t="inlineStr">
        <is>
          <t>Nomination</t>
        </is>
      </c>
      <c r="J42" s="5" t="inlineStr">
        <is>
          <t>Competitive</t>
        </is>
      </c>
      <c r="K42" s="5" t="n"/>
      <c r="L42" s="5" t="inlineStr">
        <is>
          <t>SOURCE-010; SOURCE-436</t>
        </is>
      </c>
      <c r="M42" s="5" t="inlineStr">
        <is>
          <t>Medium</t>
        </is>
      </c>
    </row>
    <row r="43" ht="19" customHeight="1">
      <c r="A43" s="15" t="inlineStr">
        <is>
          <t>AWARD-042</t>
        </is>
      </c>
      <c r="B43" s="18" t="inlineStr">
        <is>
          <t>FILM-009</t>
        </is>
      </c>
      <c r="C43" s="5" t="inlineStr">
        <is>
          <t>Kabhie Kabhie</t>
        </is>
      </c>
      <c r="D43" s="17" t="n">
        <v>1977</v>
      </c>
      <c r="E43" s="5" t="inlineStr">
        <is>
          <t>Filmfare Awards</t>
        </is>
      </c>
      <c r="F43" s="5" t="inlineStr">
        <is>
          <t>Best Lyricist</t>
        </is>
      </c>
      <c r="G43" s="5" t="inlineStr">
        <is>
          <t>Sahir Ludhianvi</t>
        </is>
      </c>
      <c r="H43" s="5" t="inlineStr">
        <is>
          <t>Lyricist</t>
        </is>
      </c>
      <c r="I43" s="5" t="inlineStr">
        <is>
          <t>Nomination</t>
        </is>
      </c>
      <c r="J43" s="5" t="inlineStr">
        <is>
          <t>Competitive</t>
        </is>
      </c>
      <c r="K43" s="5" t="inlineStr">
        <is>
          <t>For "Main Pal Do Pal Ka Shayar Hoon".</t>
        </is>
      </c>
      <c r="L43" s="5" t="inlineStr">
        <is>
          <t>SOURCE-010; SOURCE-436</t>
        </is>
      </c>
      <c r="M43" s="5" t="inlineStr">
        <is>
          <t>Medium</t>
        </is>
      </c>
    </row>
    <row r="44" ht="19" customHeight="1">
      <c r="A44" s="15" t="inlineStr">
        <is>
          <t>AWARD-043</t>
        </is>
      </c>
      <c r="B44" s="18" t="inlineStr">
        <is>
          <t>FILM-009</t>
        </is>
      </c>
      <c r="C44" s="5" t="inlineStr">
        <is>
          <t>Kabhie Kabhie</t>
        </is>
      </c>
      <c r="D44" s="17" t="n">
        <v>1977</v>
      </c>
      <c r="E44" s="5" t="inlineStr">
        <is>
          <t>Filmfare Awards</t>
        </is>
      </c>
      <c r="F44" s="5" t="inlineStr">
        <is>
          <t>Best Male Playback Singer</t>
        </is>
      </c>
      <c r="G44" s="5" t="inlineStr">
        <is>
          <t>Mukesh</t>
        </is>
      </c>
      <c r="H44" s="5" t="inlineStr">
        <is>
          <t>Playback singer</t>
        </is>
      </c>
      <c r="I44" s="5" t="inlineStr">
        <is>
          <t>Nomination</t>
        </is>
      </c>
      <c r="J44" s="5" t="inlineStr">
        <is>
          <t>Competitive</t>
        </is>
      </c>
      <c r="K44" s="5" t="inlineStr">
        <is>
          <t>For "Main Pal Do Pal Ka Shayar Hoon".</t>
        </is>
      </c>
      <c r="L44" s="5" t="inlineStr">
        <is>
          <t>SOURCE-010; SOURCE-436</t>
        </is>
      </c>
      <c r="M44" s="5" t="inlineStr">
        <is>
          <t>Medium</t>
        </is>
      </c>
    </row>
    <row r="45" ht="19" customHeight="1">
      <c r="A45" s="15" t="inlineStr">
        <is>
          <t>AWARD-044</t>
        </is>
      </c>
      <c r="B45" s="18" t="inlineStr">
        <is>
          <t>FILM-009</t>
        </is>
      </c>
      <c r="C45" s="5" t="inlineStr">
        <is>
          <t>Kabhie Kabhie</t>
        </is>
      </c>
      <c r="D45" s="17" t="n">
        <v>1977</v>
      </c>
      <c r="E45" s="5" t="inlineStr">
        <is>
          <t>Filmfare Awards</t>
        </is>
      </c>
      <c r="F45" s="5" t="inlineStr">
        <is>
          <t>Best Story</t>
        </is>
      </c>
      <c r="G45" s="5" t="inlineStr">
        <is>
          <t>Pamela Chopra</t>
        </is>
      </c>
      <c r="H45" s="5" t="inlineStr">
        <is>
          <t>Writer</t>
        </is>
      </c>
      <c r="I45" s="5" t="inlineStr">
        <is>
          <t>Nomination</t>
        </is>
      </c>
      <c r="J45" s="5" t="inlineStr">
        <is>
          <t>Competitive</t>
        </is>
      </c>
      <c r="K45" s="5" t="n"/>
      <c r="L45" s="5" t="inlineStr">
        <is>
          <t>SOURCE-010; SOURCE-436</t>
        </is>
      </c>
      <c r="M45" s="5" t="inlineStr">
        <is>
          <t>Medium</t>
        </is>
      </c>
    </row>
    <row r="46" ht="34" customHeight="1">
      <c r="A46" s="15" t="inlineStr">
        <is>
          <t>AWARD-045</t>
        </is>
      </c>
      <c r="B46" s="18" t="inlineStr">
        <is>
          <t>FILM-010</t>
        </is>
      </c>
      <c r="C46" s="5" t="inlineStr">
        <is>
          <t>Barood</t>
        </is>
      </c>
      <c r="D46" s="17" t="n">
        <v>1977</v>
      </c>
      <c r="E46" s="5" t="inlineStr">
        <is>
          <t>Filmfare Awards</t>
        </is>
      </c>
      <c r="F46" s="5" t="inlineStr">
        <is>
          <t>Best Female Playback Singer</t>
        </is>
      </c>
      <c r="G46" s="5" t="inlineStr">
        <is>
          <t>Asha Bhosle</t>
        </is>
      </c>
      <c r="H46" s="5" t="inlineStr">
        <is>
          <t>Playback singer</t>
        </is>
      </c>
      <c r="I46" s="5" t="inlineStr">
        <is>
          <t>Nomination</t>
        </is>
      </c>
      <c r="J46" s="5" t="inlineStr">
        <is>
          <t>Competitive</t>
        </is>
      </c>
      <c r="K46" s="5" t="inlineStr">
        <is>
          <t>For "I Love You". 24th Filmfare Awards; lost to Hemlata for Chitchor.</t>
        </is>
      </c>
      <c r="L46" s="5" t="inlineStr">
        <is>
          <t>SOURCE-014; SOURCE-436</t>
        </is>
      </c>
      <c r="M46" s="5" t="inlineStr">
        <is>
          <t>Medium</t>
        </is>
      </c>
    </row>
    <row r="47" ht="64" customHeight="1">
      <c r="A47" s="15" t="inlineStr">
        <is>
          <t>AWARD-046</t>
        </is>
      </c>
      <c r="B47" s="18" t="inlineStr">
        <is>
          <t>FILM-014</t>
        </is>
      </c>
      <c r="C47" s="5" t="inlineStr">
        <is>
          <t>Amar Akbar Anthony</t>
        </is>
      </c>
      <c r="D47" s="17" t="n">
        <v>1978</v>
      </c>
      <c r="E47" s="5" t="inlineStr">
        <is>
          <t>Filmfare Awards</t>
        </is>
      </c>
      <c r="F47" s="5" t="inlineStr">
        <is>
          <t>Best Actor</t>
        </is>
      </c>
      <c r="G47" s="5" t="inlineStr">
        <is>
          <t>Amitabh Bachchan</t>
        </is>
      </c>
      <c r="H47" s="5" t="inlineStr">
        <is>
          <t>Actor</t>
        </is>
      </c>
      <c r="I47" s="5" t="inlineStr">
        <is>
          <t>Win</t>
        </is>
      </c>
      <c r="J47" s="5" t="inlineStr">
        <is>
          <t>Competitive</t>
        </is>
      </c>
      <c r="K47" s="5" t="inlineStr">
        <is>
          <t>25th Filmfare Awards, held in Bombay in 1978. Amar Akbar Anthony and Hum Kisise Kum Naheen, both Kapoor films, led the ceremony with 7 nominations each and won 3 apiece.</t>
        </is>
      </c>
      <c r="L47" s="5" t="inlineStr">
        <is>
          <t>SOURCE-015; SOURCE-437</t>
        </is>
      </c>
      <c r="M47" s="5" t="inlineStr">
        <is>
          <t>High</t>
        </is>
      </c>
    </row>
    <row r="48" ht="19" customHeight="1">
      <c r="A48" s="15" t="inlineStr">
        <is>
          <t>AWARD-047</t>
        </is>
      </c>
      <c r="B48" s="18" t="inlineStr">
        <is>
          <t>FILM-014</t>
        </is>
      </c>
      <c r="C48" s="5" t="inlineStr">
        <is>
          <t>Amar Akbar Anthony</t>
        </is>
      </c>
      <c r="D48" s="17" t="n">
        <v>1978</v>
      </c>
      <c r="E48" s="5" t="inlineStr">
        <is>
          <t>Filmfare Awards</t>
        </is>
      </c>
      <c r="F48" s="5" t="inlineStr">
        <is>
          <t>Best Music Director</t>
        </is>
      </c>
      <c r="G48" s="5" t="inlineStr">
        <is>
          <t>Laxmikant–Pyarelal</t>
        </is>
      </c>
      <c r="H48" s="5" t="inlineStr">
        <is>
          <t>Music director</t>
        </is>
      </c>
      <c r="I48" s="5" t="inlineStr">
        <is>
          <t>Win</t>
        </is>
      </c>
      <c r="J48" s="5" t="inlineStr">
        <is>
          <t>Competitive</t>
        </is>
      </c>
      <c r="K48" s="5" t="n"/>
      <c r="L48" s="5" t="inlineStr">
        <is>
          <t>SOURCE-015; SOURCE-437</t>
        </is>
      </c>
      <c r="M48" s="5" t="inlineStr">
        <is>
          <t>Medium</t>
        </is>
      </c>
    </row>
    <row r="49" ht="19" customHeight="1">
      <c r="A49" s="15" t="inlineStr">
        <is>
          <t>AWARD-048</t>
        </is>
      </c>
      <c r="B49" s="18" t="inlineStr">
        <is>
          <t>FILM-014</t>
        </is>
      </c>
      <c r="C49" s="5" t="inlineStr">
        <is>
          <t>Amar Akbar Anthony</t>
        </is>
      </c>
      <c r="D49" s="17" t="n">
        <v>1978</v>
      </c>
      <c r="E49" s="5" t="inlineStr">
        <is>
          <t>Filmfare Awards</t>
        </is>
      </c>
      <c r="F49" s="5" t="inlineStr">
        <is>
          <t>Best Editing</t>
        </is>
      </c>
      <c r="G49" s="5" t="inlineStr">
        <is>
          <t>Kamlakar Karkhanis</t>
        </is>
      </c>
      <c r="H49" s="5" t="inlineStr">
        <is>
          <t>Editor</t>
        </is>
      </c>
      <c r="I49" s="5" t="inlineStr">
        <is>
          <t>Win</t>
        </is>
      </c>
      <c r="J49" s="5" t="inlineStr">
        <is>
          <t>Competitive</t>
        </is>
      </c>
      <c r="K49" s="5" t="n"/>
      <c r="L49" s="5" t="inlineStr">
        <is>
          <t>SOURCE-015; SOURCE-437</t>
        </is>
      </c>
      <c r="M49" s="5" t="inlineStr">
        <is>
          <t>Medium</t>
        </is>
      </c>
    </row>
    <row r="50" ht="19" customHeight="1">
      <c r="A50" s="15" t="inlineStr">
        <is>
          <t>AWARD-049</t>
        </is>
      </c>
      <c r="B50" s="18" t="inlineStr">
        <is>
          <t>FILM-014</t>
        </is>
      </c>
      <c r="C50" s="5" t="inlineStr">
        <is>
          <t>Amar Akbar Anthony</t>
        </is>
      </c>
      <c r="D50" s="17" t="n">
        <v>1978</v>
      </c>
      <c r="E50" s="5" t="inlineStr">
        <is>
          <t>Filmfare Awards</t>
        </is>
      </c>
      <c r="F50" s="5" t="inlineStr">
        <is>
          <t>Best Film</t>
        </is>
      </c>
      <c r="G50" s="5" t="inlineStr">
        <is>
          <t>Manmohan Desai</t>
        </is>
      </c>
      <c r="H50" s="5" t="inlineStr">
        <is>
          <t>Producer</t>
        </is>
      </c>
      <c r="I50" s="5" t="inlineStr">
        <is>
          <t>Nomination</t>
        </is>
      </c>
      <c r="J50" s="5" t="inlineStr">
        <is>
          <t>Competitive</t>
        </is>
      </c>
      <c r="K50" s="5" t="inlineStr">
        <is>
          <t>Lost to Shyam Benegal's Bhumika.</t>
        </is>
      </c>
      <c r="L50" s="5" t="inlineStr">
        <is>
          <t>SOURCE-015; SOURCE-437</t>
        </is>
      </c>
      <c r="M50" s="5" t="inlineStr">
        <is>
          <t>Medium</t>
        </is>
      </c>
    </row>
    <row r="51" ht="19" customHeight="1">
      <c r="A51" s="15" t="inlineStr">
        <is>
          <t>AWARD-050</t>
        </is>
      </c>
      <c r="B51" s="18" t="inlineStr">
        <is>
          <t>FILM-014</t>
        </is>
      </c>
      <c r="C51" s="5" t="inlineStr">
        <is>
          <t>Amar Akbar Anthony</t>
        </is>
      </c>
      <c r="D51" s="17" t="n">
        <v>1978</v>
      </c>
      <c r="E51" s="5" t="inlineStr">
        <is>
          <t>Filmfare Awards</t>
        </is>
      </c>
      <c r="F51" s="5" t="inlineStr">
        <is>
          <t>Best Director</t>
        </is>
      </c>
      <c r="G51" s="5" t="inlineStr">
        <is>
          <t>Manmohan Desai</t>
        </is>
      </c>
      <c r="H51" s="5" t="inlineStr">
        <is>
          <t>Director</t>
        </is>
      </c>
      <c r="I51" s="5" t="inlineStr">
        <is>
          <t>Nomination</t>
        </is>
      </c>
      <c r="J51" s="5" t="inlineStr">
        <is>
          <t>Competitive</t>
        </is>
      </c>
      <c r="K51" s="5" t="n"/>
      <c r="L51" s="5" t="inlineStr">
        <is>
          <t>SOURCE-015; SOURCE-437</t>
        </is>
      </c>
      <c r="M51" s="5" t="inlineStr">
        <is>
          <t>Medium</t>
        </is>
      </c>
    </row>
    <row r="52" ht="34" customHeight="1">
      <c r="A52" s="15" t="inlineStr">
        <is>
          <t>AWARD-051</t>
        </is>
      </c>
      <c r="B52" s="18" t="inlineStr">
        <is>
          <t>FILM-014</t>
        </is>
      </c>
      <c r="C52" s="5" t="inlineStr">
        <is>
          <t>Amar Akbar Anthony</t>
        </is>
      </c>
      <c r="D52" s="17" t="n">
        <v>1978</v>
      </c>
      <c r="E52" s="5" t="inlineStr">
        <is>
          <t>Filmfare Awards</t>
        </is>
      </c>
      <c r="F52" s="5" t="inlineStr">
        <is>
          <t>Best Lyricist</t>
        </is>
      </c>
      <c r="G52" s="5" t="inlineStr">
        <is>
          <t>Anand Bakshi</t>
        </is>
      </c>
      <c r="H52" s="5" t="inlineStr">
        <is>
          <t>Lyricist</t>
        </is>
      </c>
      <c r="I52" s="5" t="inlineStr">
        <is>
          <t>Nomination</t>
        </is>
      </c>
      <c r="J52" s="5" t="inlineStr">
        <is>
          <t>Competitive</t>
        </is>
      </c>
      <c r="K52" s="5" t="inlineStr">
        <is>
          <t>For "Parda Hai Parda", the qawwali staged on Kapoor as Akbar.</t>
        </is>
      </c>
      <c r="L52" s="5" t="inlineStr">
        <is>
          <t>SOURCE-015; SOURCE-437</t>
        </is>
      </c>
      <c r="M52" s="5" t="inlineStr">
        <is>
          <t>Medium</t>
        </is>
      </c>
    </row>
    <row r="53" ht="49" customHeight="1">
      <c r="A53" s="15" t="inlineStr">
        <is>
          <t>AWARD-052</t>
        </is>
      </c>
      <c r="B53" s="18" t="inlineStr">
        <is>
          <t>FILM-014</t>
        </is>
      </c>
      <c r="C53" s="5" t="inlineStr">
        <is>
          <t>Amar Akbar Anthony</t>
        </is>
      </c>
      <c r="D53" s="17" t="n">
        <v>1978</v>
      </c>
      <c r="E53" s="5" t="inlineStr">
        <is>
          <t>Filmfare Awards</t>
        </is>
      </c>
      <c r="F53" s="5" t="inlineStr">
        <is>
          <t>Best Male Playback Singer</t>
        </is>
      </c>
      <c r="G53" s="5" t="inlineStr">
        <is>
          <t>Mohammed Rafi</t>
        </is>
      </c>
      <c r="H53" s="5" t="inlineStr">
        <is>
          <t>Playback singer</t>
        </is>
      </c>
      <c r="I53" s="5" t="inlineStr">
        <is>
          <t>Nomination</t>
        </is>
      </c>
      <c r="J53" s="5" t="inlineStr">
        <is>
          <t>Competitive</t>
        </is>
      </c>
      <c r="K53" s="5" t="inlineStr">
        <is>
          <t>For "Parda Hai Parda", sung for Kapoor; Rafi won the category the same night for another Kapoor film, Hum Kisise Kum Naheen.</t>
        </is>
      </c>
      <c r="L53" s="5" t="inlineStr">
        <is>
          <t>SOURCE-015; SOURCE-437</t>
        </is>
      </c>
      <c r="M53" s="5" t="inlineStr">
        <is>
          <t>Medium</t>
        </is>
      </c>
    </row>
    <row r="54" ht="34" customHeight="1">
      <c r="A54" s="15" t="inlineStr">
        <is>
          <t>AWARD-053</t>
        </is>
      </c>
      <c r="B54" s="18" t="inlineStr">
        <is>
          <t>FILM-015</t>
        </is>
      </c>
      <c r="C54" s="5" t="inlineStr">
        <is>
          <t>Hum Kisise Kum Naheen</t>
        </is>
      </c>
      <c r="D54" s="17" t="n">
        <v>1978</v>
      </c>
      <c r="E54" s="5" t="inlineStr">
        <is>
          <t>National Film Awards</t>
        </is>
      </c>
      <c r="F54" s="5" t="inlineStr">
        <is>
          <t>Best Male Playback Singer</t>
        </is>
      </c>
      <c r="G54" s="5" t="inlineStr">
        <is>
          <t>Mohammed Rafi</t>
        </is>
      </c>
      <c r="H54" s="5" t="inlineStr">
        <is>
          <t>Playback singer</t>
        </is>
      </c>
      <c r="I54" s="5" t="inlineStr">
        <is>
          <t>Win</t>
        </is>
      </c>
      <c r="J54" s="5" t="inlineStr">
        <is>
          <t>Competitive</t>
        </is>
      </c>
      <c r="K54" s="5" t="inlineStr">
        <is>
          <t>For "Kya Hua Tera Vaada". 25th National Film Awards, presented 27 April 1978.</t>
        </is>
      </c>
      <c r="L54" s="5" t="inlineStr">
        <is>
          <t>SOURCE-016; SOURCE-438</t>
        </is>
      </c>
      <c r="M54" s="5" t="inlineStr">
        <is>
          <t>Medium</t>
        </is>
      </c>
    </row>
    <row r="55" ht="49" customHeight="1">
      <c r="A55" s="15" t="inlineStr">
        <is>
          <t>AWARD-054</t>
        </is>
      </c>
      <c r="B55" s="18" t="inlineStr">
        <is>
          <t>FILM-015</t>
        </is>
      </c>
      <c r="C55" s="5" t="inlineStr">
        <is>
          <t>Hum Kisise Kum Naheen</t>
        </is>
      </c>
      <c r="D55" s="17" t="n">
        <v>1978</v>
      </c>
      <c r="E55" s="5" t="inlineStr">
        <is>
          <t>Filmfare Awards</t>
        </is>
      </c>
      <c r="F55" s="5" t="inlineStr">
        <is>
          <t>Best Male Playback Singer</t>
        </is>
      </c>
      <c r="G55" s="5" t="inlineStr">
        <is>
          <t>Mohammed Rafi</t>
        </is>
      </c>
      <c r="H55" s="5" t="inlineStr">
        <is>
          <t>Playback singer</t>
        </is>
      </c>
      <c r="I55" s="5" t="inlineStr">
        <is>
          <t>Win</t>
        </is>
      </c>
      <c r="J55" s="5" t="inlineStr">
        <is>
          <t>Competitive</t>
        </is>
      </c>
      <c r="K55" s="5" t="inlineStr">
        <is>
          <t>For "Kya Hua Tera Vaada", sung for Kapoor; the same performance took the National Film Award that year. 25th Filmfare Awards.</t>
        </is>
      </c>
      <c r="L55" s="5" t="inlineStr">
        <is>
          <t>SOURCE-016; SOURCE-437</t>
        </is>
      </c>
      <c r="M55" s="5" t="inlineStr">
        <is>
          <t>Medium</t>
        </is>
      </c>
    </row>
    <row r="56" ht="19" customHeight="1">
      <c r="A56" s="15" t="inlineStr">
        <is>
          <t>AWARD-055</t>
        </is>
      </c>
      <c r="B56" s="18" t="inlineStr">
        <is>
          <t>FILM-015</t>
        </is>
      </c>
      <c r="C56" s="5" t="inlineStr">
        <is>
          <t>Hum Kisise Kum Naheen</t>
        </is>
      </c>
      <c r="D56" s="17" t="n">
        <v>1978</v>
      </c>
      <c r="E56" s="5" t="inlineStr">
        <is>
          <t>Filmfare Awards</t>
        </is>
      </c>
      <c r="F56" s="5" t="inlineStr">
        <is>
          <t>Best Cinematography</t>
        </is>
      </c>
      <c r="G56" s="5" t="inlineStr">
        <is>
          <t>Munir Khan</t>
        </is>
      </c>
      <c r="H56" s="5" t="inlineStr">
        <is>
          <t>Cinematographer</t>
        </is>
      </c>
      <c r="I56" s="5" t="inlineStr">
        <is>
          <t>Win</t>
        </is>
      </c>
      <c r="J56" s="5" t="inlineStr">
        <is>
          <t>Competitive</t>
        </is>
      </c>
      <c r="K56" s="5" t="n"/>
      <c r="L56" s="5" t="inlineStr">
        <is>
          <t>SOURCE-016; SOURCE-437</t>
        </is>
      </c>
      <c r="M56" s="5" t="inlineStr">
        <is>
          <t>Medium</t>
        </is>
      </c>
    </row>
    <row r="57" ht="19" customHeight="1">
      <c r="A57" s="15" t="inlineStr">
        <is>
          <t>AWARD-056</t>
        </is>
      </c>
      <c r="B57" s="18" t="inlineStr">
        <is>
          <t>FILM-015</t>
        </is>
      </c>
      <c r="C57" s="5" t="inlineStr">
        <is>
          <t>Hum Kisise Kum Naheen</t>
        </is>
      </c>
      <c r="D57" s="17" t="n">
        <v>1978</v>
      </c>
      <c r="E57" s="5" t="inlineStr">
        <is>
          <t>Filmfare Awards</t>
        </is>
      </c>
      <c r="F57" s="5" t="inlineStr">
        <is>
          <t>Best Art Direction</t>
        </is>
      </c>
      <c r="G57" s="5" t="inlineStr">
        <is>
          <t>Shanti Das</t>
        </is>
      </c>
      <c r="H57" s="5" t="inlineStr">
        <is>
          <t>Technician</t>
        </is>
      </c>
      <c r="I57" s="5" t="inlineStr">
        <is>
          <t>Win</t>
        </is>
      </c>
      <c r="J57" s="5" t="inlineStr">
        <is>
          <t>Competitive</t>
        </is>
      </c>
      <c r="K57" s="5" t="n"/>
      <c r="L57" s="5" t="inlineStr">
        <is>
          <t>SOURCE-016; SOURCE-437</t>
        </is>
      </c>
      <c r="M57" s="5" t="inlineStr">
        <is>
          <t>Medium</t>
        </is>
      </c>
    </row>
    <row r="58" ht="19" customHeight="1">
      <c r="A58" s="15" t="inlineStr">
        <is>
          <t>AWARD-057</t>
        </is>
      </c>
      <c r="B58" s="18" t="inlineStr">
        <is>
          <t>FILM-015</t>
        </is>
      </c>
      <c r="C58" s="5" t="inlineStr">
        <is>
          <t>Hum Kisise Kum Naheen</t>
        </is>
      </c>
      <c r="D58" s="17" t="n">
        <v>1978</v>
      </c>
      <c r="E58" s="5" t="inlineStr">
        <is>
          <t>Filmfare Awards</t>
        </is>
      </c>
      <c r="F58" s="5" t="inlineStr">
        <is>
          <t>Best Supporting Actor</t>
        </is>
      </c>
      <c r="G58" s="5" t="inlineStr">
        <is>
          <t>Tariq</t>
        </is>
      </c>
      <c r="H58" s="5" t="inlineStr">
        <is>
          <t>Actor</t>
        </is>
      </c>
      <c r="I58" s="5" t="inlineStr">
        <is>
          <t>Nomination</t>
        </is>
      </c>
      <c r="J58" s="5" t="inlineStr">
        <is>
          <t>Competitive</t>
        </is>
      </c>
      <c r="K58" s="5" t="n"/>
      <c r="L58" s="5" t="inlineStr">
        <is>
          <t>SOURCE-016; SOURCE-437</t>
        </is>
      </c>
      <c r="M58" s="5" t="inlineStr">
        <is>
          <t>Medium</t>
        </is>
      </c>
    </row>
    <row r="59" ht="19" customHeight="1">
      <c r="A59" s="15" t="inlineStr">
        <is>
          <t>AWARD-058</t>
        </is>
      </c>
      <c r="B59" s="18" t="inlineStr">
        <is>
          <t>FILM-015</t>
        </is>
      </c>
      <c r="C59" s="5" t="inlineStr">
        <is>
          <t>Hum Kisise Kum Naheen</t>
        </is>
      </c>
      <c r="D59" s="17" t="n">
        <v>1978</v>
      </c>
      <c r="E59" s="5" t="inlineStr">
        <is>
          <t>Filmfare Awards</t>
        </is>
      </c>
      <c r="F59" s="5" t="inlineStr">
        <is>
          <t>Best Music Director</t>
        </is>
      </c>
      <c r="G59" s="5" t="inlineStr">
        <is>
          <t>R. D. Burman</t>
        </is>
      </c>
      <c r="H59" s="5" t="inlineStr">
        <is>
          <t>Music director</t>
        </is>
      </c>
      <c r="I59" s="5" t="inlineStr">
        <is>
          <t>Nomination</t>
        </is>
      </c>
      <c r="J59" s="5" t="inlineStr">
        <is>
          <t>Competitive</t>
        </is>
      </c>
      <c r="K59" s="5" t="n"/>
      <c r="L59" s="5" t="inlineStr">
        <is>
          <t>SOURCE-016; SOURCE-437</t>
        </is>
      </c>
      <c r="M59" s="5" t="inlineStr">
        <is>
          <t>Medium</t>
        </is>
      </c>
    </row>
    <row r="60" ht="19" customHeight="1">
      <c r="A60" s="15" t="inlineStr">
        <is>
          <t>AWARD-059</t>
        </is>
      </c>
      <c r="B60" s="18" t="inlineStr">
        <is>
          <t>FILM-015</t>
        </is>
      </c>
      <c r="C60" s="5" t="inlineStr">
        <is>
          <t>Hum Kisise Kum Naheen</t>
        </is>
      </c>
      <c r="D60" s="17" t="n">
        <v>1978</v>
      </c>
      <c r="E60" s="5" t="inlineStr">
        <is>
          <t>Filmfare Awards</t>
        </is>
      </c>
      <c r="F60" s="5" t="inlineStr">
        <is>
          <t>Best Lyricist</t>
        </is>
      </c>
      <c r="G60" s="5" t="inlineStr">
        <is>
          <t>Majrooh Sultanpuri</t>
        </is>
      </c>
      <c r="H60" s="5" t="inlineStr">
        <is>
          <t>Lyricist</t>
        </is>
      </c>
      <c r="I60" s="5" t="inlineStr">
        <is>
          <t>Nomination</t>
        </is>
      </c>
      <c r="J60" s="5" t="inlineStr">
        <is>
          <t>Competitive</t>
        </is>
      </c>
      <c r="K60" s="5" t="inlineStr">
        <is>
          <t>For "Kya Hua Tera Vaada".</t>
        </is>
      </c>
      <c r="L60" s="5" t="inlineStr">
        <is>
          <t>SOURCE-016; SOURCE-437</t>
        </is>
      </c>
      <c r="M60" s="5" t="inlineStr">
        <is>
          <t>Medium</t>
        </is>
      </c>
    </row>
    <row r="61" ht="19" customHeight="1">
      <c r="A61" s="15" t="inlineStr">
        <is>
          <t>AWARD-060</t>
        </is>
      </c>
      <c r="B61" s="18" t="inlineStr">
        <is>
          <t>FILM-015</t>
        </is>
      </c>
      <c r="C61" s="5" t="inlineStr">
        <is>
          <t>Hum Kisise Kum Naheen</t>
        </is>
      </c>
      <c r="D61" s="17" t="n">
        <v>1978</v>
      </c>
      <c r="E61" s="5" t="inlineStr">
        <is>
          <t>Filmfare Awards</t>
        </is>
      </c>
      <c r="F61" s="5" t="inlineStr">
        <is>
          <t>Best Female Playback Singer</t>
        </is>
      </c>
      <c r="G61" s="5" t="inlineStr">
        <is>
          <t>Sushma Shrestha</t>
        </is>
      </c>
      <c r="H61" s="5" t="inlineStr">
        <is>
          <t>Playback singer</t>
        </is>
      </c>
      <c r="I61" s="5" t="inlineStr">
        <is>
          <t>Nomination</t>
        </is>
      </c>
      <c r="J61" s="5" t="inlineStr">
        <is>
          <t>Competitive</t>
        </is>
      </c>
      <c r="K61" s="5" t="inlineStr">
        <is>
          <t>For "Kya Hua Tera Vaada".</t>
        </is>
      </c>
      <c r="L61" s="5" t="inlineStr">
        <is>
          <t>SOURCE-016; SOURCE-437</t>
        </is>
      </c>
      <c r="M61" s="5" t="inlineStr">
        <is>
          <t>Medium</t>
        </is>
      </c>
    </row>
    <row r="62" ht="64" customHeight="1">
      <c r="A62" s="15" t="inlineStr">
        <is>
          <t>AWARD-061</t>
        </is>
      </c>
      <c r="B62" s="18" t="inlineStr">
        <is>
          <t>FILM-016</t>
        </is>
      </c>
      <c r="C62" s="5" t="inlineStr">
        <is>
          <t>Doosra Aadmi</t>
        </is>
      </c>
      <c r="D62" s="17" t="n">
        <v>1978</v>
      </c>
      <c r="E62" s="5" t="inlineStr">
        <is>
          <t>Filmfare Awards</t>
        </is>
      </c>
      <c r="F62" s="5" t="inlineStr">
        <is>
          <t>Best Actress</t>
        </is>
      </c>
      <c r="G62" s="5" t="inlineStr">
        <is>
          <t>Raakhee</t>
        </is>
      </c>
      <c r="H62" s="5" t="inlineStr">
        <is>
          <t>Actress</t>
        </is>
      </c>
      <c r="I62" s="5" t="inlineStr">
        <is>
          <t>Nomination</t>
        </is>
      </c>
      <c r="J62" s="5" t="inlineStr">
        <is>
          <t>Competitive</t>
        </is>
      </c>
      <c r="K62" s="5" t="inlineStr">
        <is>
          <t>25th Filmfare Awards. Raakhee was nominated twice for this film, in the lead and supporting categories, for the older woman Kapoor's character leaves his marriage for.</t>
        </is>
      </c>
      <c r="L62" s="5" t="inlineStr">
        <is>
          <t>SOURCE-017; SOURCE-437</t>
        </is>
      </c>
      <c r="M62" s="5" t="inlineStr">
        <is>
          <t>Medium</t>
        </is>
      </c>
    </row>
    <row r="63" ht="34" customHeight="1">
      <c r="A63" s="15" t="inlineStr">
        <is>
          <t>AWARD-062</t>
        </is>
      </c>
      <c r="B63" s="18" t="inlineStr">
        <is>
          <t>FILM-016</t>
        </is>
      </c>
      <c r="C63" s="5" t="inlineStr">
        <is>
          <t>Doosra Aadmi</t>
        </is>
      </c>
      <c r="D63" s="17" t="n">
        <v>1978</v>
      </c>
      <c r="E63" s="5" t="inlineStr">
        <is>
          <t>Filmfare Awards</t>
        </is>
      </c>
      <c r="F63" s="5" t="inlineStr">
        <is>
          <t>Best Supporting Actress</t>
        </is>
      </c>
      <c r="G63" s="5" t="inlineStr">
        <is>
          <t>Raakhee</t>
        </is>
      </c>
      <c r="H63" s="5" t="inlineStr">
        <is>
          <t>Actress</t>
        </is>
      </c>
      <c r="I63" s="5" t="inlineStr">
        <is>
          <t>Nomination</t>
        </is>
      </c>
      <c r="J63" s="5" t="inlineStr">
        <is>
          <t>Competitive</t>
        </is>
      </c>
      <c r="K63" s="5" t="inlineStr">
        <is>
          <t>Her second nomination for the same performance, in the supporting category.</t>
        </is>
      </c>
      <c r="L63" s="5" t="inlineStr">
        <is>
          <t>SOURCE-017; SOURCE-437</t>
        </is>
      </c>
      <c r="M63" s="5" t="inlineStr">
        <is>
          <t>Medium</t>
        </is>
      </c>
    </row>
    <row r="64" ht="19" customHeight="1">
      <c r="A64" s="15" t="inlineStr">
        <is>
          <t>AWARD-063</t>
        </is>
      </c>
      <c r="B64" s="18" t="inlineStr">
        <is>
          <t>FILM-016</t>
        </is>
      </c>
      <c r="C64" s="5" t="inlineStr">
        <is>
          <t>Doosra Aadmi</t>
        </is>
      </c>
      <c r="D64" s="17" t="n">
        <v>1978</v>
      </c>
      <c r="E64" s="5" t="inlineStr">
        <is>
          <t>Filmfare Awards</t>
        </is>
      </c>
      <c r="F64" s="5" t="inlineStr">
        <is>
          <t>Best Performance in a Comic Role</t>
        </is>
      </c>
      <c r="G64" s="5" t="inlineStr">
        <is>
          <t>Deven Verma</t>
        </is>
      </c>
      <c r="H64" s="5" t="inlineStr">
        <is>
          <t>Actor</t>
        </is>
      </c>
      <c r="I64" s="5" t="inlineStr">
        <is>
          <t>Nomination</t>
        </is>
      </c>
      <c r="J64" s="5" t="inlineStr">
        <is>
          <t>Competitive</t>
        </is>
      </c>
      <c r="K64" s="5" t="n"/>
      <c r="L64" s="5" t="inlineStr">
        <is>
          <t>SOURCE-017; SOURCE-437</t>
        </is>
      </c>
      <c r="M64" s="5" t="inlineStr">
        <is>
          <t>Medium</t>
        </is>
      </c>
    </row>
    <row r="65" ht="19" customHeight="1">
      <c r="A65" s="15" t="inlineStr">
        <is>
          <t>AWARD-064</t>
        </is>
      </c>
      <c r="B65" s="18" t="inlineStr">
        <is>
          <t>FILM-016</t>
        </is>
      </c>
      <c r="C65" s="5" t="inlineStr">
        <is>
          <t>Doosra Aadmi</t>
        </is>
      </c>
      <c r="D65" s="17" t="n">
        <v>1978</v>
      </c>
      <c r="E65" s="5" t="inlineStr">
        <is>
          <t>Filmfare Awards</t>
        </is>
      </c>
      <c r="F65" s="5" t="inlineStr">
        <is>
          <t>Best Story</t>
        </is>
      </c>
      <c r="G65" s="5" t="inlineStr">
        <is>
          <t>Raju Saigal</t>
        </is>
      </c>
      <c r="H65" s="5" t="inlineStr">
        <is>
          <t>Writer</t>
        </is>
      </c>
      <c r="I65" s="5" t="inlineStr">
        <is>
          <t>Nomination</t>
        </is>
      </c>
      <c r="J65" s="5" t="inlineStr">
        <is>
          <t>Competitive</t>
        </is>
      </c>
      <c r="K65" s="5" t="n"/>
      <c r="L65" s="5" t="inlineStr">
        <is>
          <t>SOURCE-017; SOURCE-437</t>
        </is>
      </c>
      <c r="M65" s="5" t="inlineStr">
        <is>
          <t>Medium</t>
        </is>
      </c>
    </row>
    <row r="66" ht="49" customHeight="1">
      <c r="A66" s="15" t="inlineStr">
        <is>
          <t>AWARD-065</t>
        </is>
      </c>
      <c r="B66" s="18" t="inlineStr">
        <is>
          <t>FILM-017</t>
        </is>
      </c>
      <c r="C66" s="5" t="inlineStr">
        <is>
          <t>Chala Murari Hero Banne</t>
        </is>
      </c>
      <c r="D66" s="17" t="n">
        <v>1978</v>
      </c>
      <c r="E66" s="5" t="inlineStr">
        <is>
          <t>Filmfare Awards</t>
        </is>
      </c>
      <c r="F66" s="5" t="inlineStr">
        <is>
          <t>Best Performance in a Comic Role</t>
        </is>
      </c>
      <c r="G66" s="5" t="inlineStr">
        <is>
          <t>Paintal</t>
        </is>
      </c>
      <c r="H66" s="5" t="inlineStr">
        <is>
          <t>Actor</t>
        </is>
      </c>
      <c r="I66" s="5" t="inlineStr">
        <is>
          <t>Win</t>
        </is>
      </c>
      <c r="J66" s="5" t="inlineStr">
        <is>
          <t>Competitive</t>
        </is>
      </c>
      <c r="K66" s="5" t="inlineStr">
        <is>
          <t>25th Filmfare Awards. Kapoor appears as himself in Asrani's film about an aspiring actor.</t>
        </is>
      </c>
      <c r="L66" s="5" t="inlineStr">
        <is>
          <t>SOURCE-018; SOURCE-437</t>
        </is>
      </c>
      <c r="M66" s="5" t="inlineStr">
        <is>
          <t>Medium</t>
        </is>
      </c>
    </row>
    <row r="67" ht="19" customHeight="1">
      <c r="A67" s="15" t="inlineStr">
        <is>
          <t>AWARD-066</t>
        </is>
      </c>
      <c r="B67" s="18" t="inlineStr">
        <is>
          <t>FILM-017</t>
        </is>
      </c>
      <c r="C67" s="5" t="inlineStr">
        <is>
          <t>Chala Murari Hero Banne</t>
        </is>
      </c>
      <c r="D67" s="17" t="n">
        <v>1978</v>
      </c>
      <c r="E67" s="5" t="inlineStr">
        <is>
          <t>Filmfare Awards</t>
        </is>
      </c>
      <c r="F67" s="5" t="inlineStr">
        <is>
          <t>Best Director</t>
        </is>
      </c>
      <c r="G67" s="5" t="inlineStr">
        <is>
          <t>Asrani</t>
        </is>
      </c>
      <c r="H67" s="5" t="inlineStr">
        <is>
          <t>Director</t>
        </is>
      </c>
      <c r="I67" s="5" t="inlineStr">
        <is>
          <t>Nomination</t>
        </is>
      </c>
      <c r="J67" s="5" t="inlineStr">
        <is>
          <t>Competitive</t>
        </is>
      </c>
      <c r="K67" s="5" t="n"/>
      <c r="L67" s="5" t="inlineStr">
        <is>
          <t>SOURCE-018; SOURCE-437</t>
        </is>
      </c>
      <c r="M67" s="5" t="inlineStr">
        <is>
          <t>Medium</t>
        </is>
      </c>
    </row>
    <row r="68" ht="19" customHeight="1">
      <c r="A68" s="15" t="inlineStr">
        <is>
          <t>AWARD-067</t>
        </is>
      </c>
      <c r="B68" s="18" t="inlineStr">
        <is>
          <t>FILM-017</t>
        </is>
      </c>
      <c r="C68" s="5" t="inlineStr">
        <is>
          <t>Chala Murari Hero Banne</t>
        </is>
      </c>
      <c r="D68" s="17" t="n">
        <v>1978</v>
      </c>
      <c r="E68" s="5" t="inlineStr">
        <is>
          <t>Filmfare Awards</t>
        </is>
      </c>
      <c r="F68" s="5" t="inlineStr">
        <is>
          <t>Best Story</t>
        </is>
      </c>
      <c r="G68" s="5" t="inlineStr">
        <is>
          <t>Asrani</t>
        </is>
      </c>
      <c r="H68" s="5" t="inlineStr">
        <is>
          <t>Writer</t>
        </is>
      </c>
      <c r="I68" s="5" t="inlineStr">
        <is>
          <t>Nomination</t>
        </is>
      </c>
      <c r="J68" s="5" t="inlineStr">
        <is>
          <t>Competitive</t>
        </is>
      </c>
      <c r="K68" s="5" t="n"/>
      <c r="L68" s="5" t="inlineStr">
        <is>
          <t>SOURCE-018; SOURCE-437</t>
        </is>
      </c>
      <c r="M68" s="5" t="inlineStr">
        <is>
          <t>Medium</t>
        </is>
      </c>
    </row>
    <row r="69" ht="49" customHeight="1">
      <c r="A69" s="15" t="inlineStr">
        <is>
          <t>AWARD-068</t>
        </is>
      </c>
      <c r="B69" s="18" t="inlineStr">
        <is>
          <t>FILM-020</t>
        </is>
      </c>
      <c r="C69" s="5" t="inlineStr">
        <is>
          <t>Pati Patni Aur Woh</t>
        </is>
      </c>
      <c r="D69" s="17" t="n">
        <v>1979</v>
      </c>
      <c r="E69" s="5" t="inlineStr">
        <is>
          <t>Filmfare Awards</t>
        </is>
      </c>
      <c r="F69" s="5" t="inlineStr">
        <is>
          <t>Best Screenplay</t>
        </is>
      </c>
      <c r="G69" s="5" t="inlineStr">
        <is>
          <t>Kamleshwar</t>
        </is>
      </c>
      <c r="H69" s="5" t="inlineStr">
        <is>
          <t>Writer</t>
        </is>
      </c>
      <c r="I69" s="5" t="inlineStr">
        <is>
          <t>Win</t>
        </is>
      </c>
      <c r="J69" s="5" t="inlineStr">
        <is>
          <t>Competitive</t>
        </is>
      </c>
      <c r="K69" s="5" t="inlineStr">
        <is>
          <t>26th Filmfare Awards, held 6 April 1979. Kapoor appears in an extended special appearance.</t>
        </is>
      </c>
      <c r="L69" s="5" t="inlineStr">
        <is>
          <t>SOURCE-022; SOURCE-439</t>
        </is>
      </c>
      <c r="M69" s="5" t="inlineStr">
        <is>
          <t>Medium</t>
        </is>
      </c>
    </row>
    <row r="70" ht="34" customHeight="1">
      <c r="A70" s="15" t="inlineStr">
        <is>
          <t>AWARD-069</t>
        </is>
      </c>
      <c r="B70" s="18" t="inlineStr">
        <is>
          <t>FILM-020</t>
        </is>
      </c>
      <c r="C70" s="5" t="inlineStr">
        <is>
          <t>Pati Patni Aur Woh</t>
        </is>
      </c>
      <c r="D70" s="17" t="n">
        <v>1979</v>
      </c>
      <c r="E70" s="5" t="inlineStr">
        <is>
          <t>Filmfare Awards</t>
        </is>
      </c>
      <c r="F70" s="5" t="inlineStr">
        <is>
          <t>Best Actor</t>
        </is>
      </c>
      <c r="G70" s="5" t="inlineStr">
        <is>
          <t>Sanjeev Kumar</t>
        </is>
      </c>
      <c r="H70" s="5" t="inlineStr">
        <is>
          <t>Actor</t>
        </is>
      </c>
      <c r="I70" s="5" t="inlineStr">
        <is>
          <t>Nomination</t>
        </is>
      </c>
      <c r="J70" s="5" t="inlineStr">
        <is>
          <t>Competitive</t>
        </is>
      </c>
      <c r="K70" s="5" t="inlineStr">
        <is>
          <t>One of Kumar's two Best Actor nominations that year; both lost to Amitabh Bachchan.</t>
        </is>
      </c>
      <c r="L70" s="5" t="inlineStr">
        <is>
          <t>SOURCE-022; SOURCE-439</t>
        </is>
      </c>
      <c r="M70" s="5" t="inlineStr">
        <is>
          <t>Medium</t>
        </is>
      </c>
    </row>
    <row r="71" ht="19" customHeight="1">
      <c r="A71" s="15" t="inlineStr">
        <is>
          <t>AWARD-070</t>
        </is>
      </c>
      <c r="B71" s="18" t="inlineStr">
        <is>
          <t>FILM-020</t>
        </is>
      </c>
      <c r="C71" s="5" t="inlineStr">
        <is>
          <t>Pati Patni Aur Woh</t>
        </is>
      </c>
      <c r="D71" s="17" t="n">
        <v>1979</v>
      </c>
      <c r="E71" s="5" t="inlineStr">
        <is>
          <t>Filmfare Awards</t>
        </is>
      </c>
      <c r="F71" s="5" t="inlineStr">
        <is>
          <t>Best Supporting Actress</t>
        </is>
      </c>
      <c r="G71" s="5" t="inlineStr">
        <is>
          <t>Ranjeeta Kaur</t>
        </is>
      </c>
      <c r="H71" s="5" t="inlineStr">
        <is>
          <t>Actress</t>
        </is>
      </c>
      <c r="I71" s="5" t="inlineStr">
        <is>
          <t>Nomination</t>
        </is>
      </c>
      <c r="J71" s="5" t="inlineStr">
        <is>
          <t>Competitive</t>
        </is>
      </c>
      <c r="K71" s="5" t="n"/>
      <c r="L71" s="5" t="inlineStr">
        <is>
          <t>SOURCE-022; SOURCE-439</t>
        </is>
      </c>
      <c r="M71" s="5" t="inlineStr">
        <is>
          <t>Medium</t>
        </is>
      </c>
    </row>
    <row r="72" ht="34" customHeight="1">
      <c r="A72" s="15" t="inlineStr">
        <is>
          <t>AWARD-071</t>
        </is>
      </c>
      <c r="B72" s="18" t="inlineStr">
        <is>
          <t>FILM-020</t>
        </is>
      </c>
      <c r="C72" s="5" t="inlineStr">
        <is>
          <t>Pati Patni Aur Woh</t>
        </is>
      </c>
      <c r="D72" s="17" t="n">
        <v>1979</v>
      </c>
      <c r="E72" s="5" t="inlineStr">
        <is>
          <t>Filmfare Awards</t>
        </is>
      </c>
      <c r="F72" s="5" t="inlineStr">
        <is>
          <t>Best Performance in a Comic Role</t>
        </is>
      </c>
      <c r="G72" s="5" t="inlineStr">
        <is>
          <t>Asrani</t>
        </is>
      </c>
      <c r="H72" s="5" t="inlineStr">
        <is>
          <t>Actor</t>
        </is>
      </c>
      <c r="I72" s="5" t="inlineStr">
        <is>
          <t>Nomination</t>
        </is>
      </c>
      <c r="J72" s="5" t="inlineStr">
        <is>
          <t>Competitive</t>
        </is>
      </c>
      <c r="K72" s="5" t="inlineStr">
        <is>
          <t>Recorded in the ceremony article rather than the film's own award table.</t>
        </is>
      </c>
      <c r="L72" s="5" t="inlineStr">
        <is>
          <t>SOURCE-439</t>
        </is>
      </c>
      <c r="M72" s="5" t="inlineStr">
        <is>
          <t>Medium</t>
        </is>
      </c>
    </row>
    <row r="73" ht="19" customHeight="1">
      <c r="A73" s="15" t="inlineStr">
        <is>
          <t>AWARD-072</t>
        </is>
      </c>
      <c r="B73" s="18" t="inlineStr">
        <is>
          <t>FILM-022</t>
        </is>
      </c>
      <c r="C73" s="5" t="inlineStr">
        <is>
          <t>Badaltey Rishtey</t>
        </is>
      </c>
      <c r="D73" s="17" t="n">
        <v>1979</v>
      </c>
      <c r="E73" s="5" t="inlineStr">
        <is>
          <t>Filmfare Awards</t>
        </is>
      </c>
      <c r="F73" s="5" t="inlineStr">
        <is>
          <t>Best Editing</t>
        </is>
      </c>
      <c r="G73" s="5" t="inlineStr">
        <is>
          <t>B. Prasad</t>
        </is>
      </c>
      <c r="H73" s="5" t="inlineStr">
        <is>
          <t>Editor</t>
        </is>
      </c>
      <c r="I73" s="5" t="inlineStr">
        <is>
          <t>Win</t>
        </is>
      </c>
      <c r="J73" s="5" t="inlineStr">
        <is>
          <t>Competitive</t>
        </is>
      </c>
      <c r="K73" s="5" t="inlineStr">
        <is>
          <t>26th Filmfare Awards.</t>
        </is>
      </c>
      <c r="L73" s="5" t="inlineStr">
        <is>
          <t>SOURCE-020; SOURCE-439</t>
        </is>
      </c>
      <c r="M73" s="5" t="inlineStr">
        <is>
          <t>Medium</t>
        </is>
      </c>
    </row>
    <row r="74" ht="49" customHeight="1">
      <c r="A74" s="15" t="inlineStr">
        <is>
          <t>AWARD-073</t>
        </is>
      </c>
      <c r="B74" s="18" t="inlineStr">
        <is>
          <t>FILM-023</t>
        </is>
      </c>
      <c r="C74" s="5" t="inlineStr">
        <is>
          <t>Sargam</t>
        </is>
      </c>
      <c r="D74" s="17" t="n">
        <v>1980</v>
      </c>
      <c r="E74" s="5" t="inlineStr">
        <is>
          <t>Filmfare Awards</t>
        </is>
      </c>
      <c r="F74" s="5" t="inlineStr">
        <is>
          <t>Best Music Director</t>
        </is>
      </c>
      <c r="G74" s="5" t="inlineStr">
        <is>
          <t>Laxmikant–Pyarelal</t>
        </is>
      </c>
      <c r="H74" s="5" t="inlineStr">
        <is>
          <t>Music director</t>
        </is>
      </c>
      <c r="I74" s="5" t="inlineStr">
        <is>
          <t>Win</t>
        </is>
      </c>
      <c r="J74" s="5" t="inlineStr">
        <is>
          <t>Competitive</t>
        </is>
      </c>
      <c r="K74" s="5" t="inlineStr">
        <is>
          <t>27th Filmfare Awards, held in Bombay in 1980. Sargam took 7 nominations and won this one.</t>
        </is>
      </c>
      <c r="L74" s="5" t="inlineStr">
        <is>
          <t>SOURCE-024; SOURCE-440</t>
        </is>
      </c>
      <c r="M74" s="5" t="inlineStr">
        <is>
          <t>Medium</t>
        </is>
      </c>
    </row>
    <row r="75" ht="19" customHeight="1">
      <c r="A75" s="15" t="inlineStr">
        <is>
          <t>AWARD-074</t>
        </is>
      </c>
      <c r="B75" s="18" t="inlineStr">
        <is>
          <t>FILM-023</t>
        </is>
      </c>
      <c r="C75" s="5" t="inlineStr">
        <is>
          <t>Sargam</t>
        </is>
      </c>
      <c r="D75" s="17" t="n">
        <v>1980</v>
      </c>
      <c r="E75" s="5" t="inlineStr">
        <is>
          <t>Filmfare Awards</t>
        </is>
      </c>
      <c r="F75" s="5" t="inlineStr">
        <is>
          <t>Best Film</t>
        </is>
      </c>
      <c r="G75" s="5" t="inlineStr">
        <is>
          <t>N. N. Sippy</t>
        </is>
      </c>
      <c r="H75" s="5" t="inlineStr">
        <is>
          <t>Producer</t>
        </is>
      </c>
      <c r="I75" s="5" t="inlineStr">
        <is>
          <t>Nomination</t>
        </is>
      </c>
      <c r="J75" s="5" t="inlineStr">
        <is>
          <t>Competitive</t>
        </is>
      </c>
      <c r="K75" s="5" t="n"/>
      <c r="L75" s="5" t="inlineStr">
        <is>
          <t>SOURCE-024; SOURCE-440</t>
        </is>
      </c>
      <c r="M75" s="5" t="inlineStr">
        <is>
          <t>Medium</t>
        </is>
      </c>
    </row>
    <row r="76" ht="49" customHeight="1">
      <c r="A76" s="15" t="inlineStr">
        <is>
          <t>AWARD-075</t>
        </is>
      </c>
      <c r="B76" s="18" t="inlineStr">
        <is>
          <t>FILM-023</t>
        </is>
      </c>
      <c r="C76" s="5" t="inlineStr">
        <is>
          <t>Sargam</t>
        </is>
      </c>
      <c r="D76" s="17" t="n">
        <v>1980</v>
      </c>
      <c r="E76" s="5" t="inlineStr">
        <is>
          <t>Filmfare Awards</t>
        </is>
      </c>
      <c r="F76" s="5" t="inlineStr">
        <is>
          <t>Best Actor</t>
        </is>
      </c>
      <c r="G76" s="5" t="inlineStr">
        <is>
          <t>Rishi Kapoor</t>
        </is>
      </c>
      <c r="H76" s="5" t="inlineStr">
        <is>
          <t>Actor</t>
        </is>
      </c>
      <c r="I76" s="5" t="inlineStr">
        <is>
          <t>Nomination</t>
        </is>
      </c>
      <c r="J76" s="5" t="inlineStr">
        <is>
          <t>Competitive</t>
        </is>
      </c>
      <c r="K76" s="5" t="inlineStr">
        <is>
          <t>His second Best Actor nomination, as the mute dafli player; one of five Filmfare acting nominations he received without winning.</t>
        </is>
      </c>
      <c r="L76" s="5" t="inlineStr">
        <is>
          <t>SOURCE-024; SOURCE-440</t>
        </is>
      </c>
      <c r="M76" s="5" t="inlineStr">
        <is>
          <t>High</t>
        </is>
      </c>
    </row>
    <row r="77" ht="19" customHeight="1">
      <c r="A77" s="15" t="inlineStr">
        <is>
          <t>AWARD-076</t>
        </is>
      </c>
      <c r="B77" s="18" t="inlineStr">
        <is>
          <t>FILM-023</t>
        </is>
      </c>
      <c r="C77" s="5" t="inlineStr">
        <is>
          <t>Sargam</t>
        </is>
      </c>
      <c r="D77" s="17" t="n">
        <v>1980</v>
      </c>
      <c r="E77" s="5" t="inlineStr">
        <is>
          <t>Filmfare Awards</t>
        </is>
      </c>
      <c r="F77" s="5" t="inlineStr">
        <is>
          <t>Best Actress</t>
        </is>
      </c>
      <c r="G77" s="5" t="inlineStr">
        <is>
          <t>Jaya Prada</t>
        </is>
      </c>
      <c r="H77" s="5" t="inlineStr">
        <is>
          <t>Actress</t>
        </is>
      </c>
      <c r="I77" s="5" t="inlineStr">
        <is>
          <t>Nomination</t>
        </is>
      </c>
      <c r="J77" s="5" t="inlineStr">
        <is>
          <t>Competitive</t>
        </is>
      </c>
      <c r="K77" s="5" t="inlineStr">
        <is>
          <t>Her Hindi debut, opposite Kapoor.</t>
        </is>
      </c>
      <c r="L77" s="5" t="inlineStr">
        <is>
          <t>SOURCE-024; SOURCE-440</t>
        </is>
      </c>
      <c r="M77" s="5" t="inlineStr">
        <is>
          <t>Medium</t>
        </is>
      </c>
    </row>
    <row r="78" ht="19" customHeight="1">
      <c r="A78" s="15" t="inlineStr">
        <is>
          <t>AWARD-077</t>
        </is>
      </c>
      <c r="B78" s="18" t="inlineStr">
        <is>
          <t>FILM-023</t>
        </is>
      </c>
      <c r="C78" s="5" t="inlineStr">
        <is>
          <t>Sargam</t>
        </is>
      </c>
      <c r="D78" s="17" t="n">
        <v>1980</v>
      </c>
      <c r="E78" s="5" t="inlineStr">
        <is>
          <t>Filmfare Awards</t>
        </is>
      </c>
      <c r="F78" s="5" t="inlineStr">
        <is>
          <t>Best Performance in a Comic Role</t>
        </is>
      </c>
      <c r="G78" s="5" t="inlineStr">
        <is>
          <t>Asrani</t>
        </is>
      </c>
      <c r="H78" s="5" t="inlineStr">
        <is>
          <t>Actor</t>
        </is>
      </c>
      <c r="I78" s="5" t="inlineStr">
        <is>
          <t>Nomination</t>
        </is>
      </c>
      <c r="J78" s="5" t="inlineStr">
        <is>
          <t>Competitive</t>
        </is>
      </c>
      <c r="K78" s="5" t="n"/>
      <c r="L78" s="5" t="inlineStr">
        <is>
          <t>SOURCE-024; SOURCE-440</t>
        </is>
      </c>
      <c r="M78" s="5" t="inlineStr">
        <is>
          <t>Medium</t>
        </is>
      </c>
    </row>
    <row r="79" ht="19" customHeight="1">
      <c r="A79" s="15" t="inlineStr">
        <is>
          <t>AWARD-078</t>
        </is>
      </c>
      <c r="B79" s="18" t="inlineStr">
        <is>
          <t>FILM-023</t>
        </is>
      </c>
      <c r="C79" s="5" t="inlineStr">
        <is>
          <t>Sargam</t>
        </is>
      </c>
      <c r="D79" s="17" t="n">
        <v>1980</v>
      </c>
      <c r="E79" s="5" t="inlineStr">
        <is>
          <t>Filmfare Awards</t>
        </is>
      </c>
      <c r="F79" s="5" t="inlineStr">
        <is>
          <t>Best Lyricist</t>
        </is>
      </c>
      <c r="G79" s="5" t="inlineStr">
        <is>
          <t>Anand Bakshi</t>
        </is>
      </c>
      <c r="H79" s="5" t="inlineStr">
        <is>
          <t>Lyricist</t>
        </is>
      </c>
      <c r="I79" s="5" t="inlineStr">
        <is>
          <t>Nomination</t>
        </is>
      </c>
      <c r="J79" s="5" t="inlineStr">
        <is>
          <t>Competitive</t>
        </is>
      </c>
      <c r="K79" s="5" t="inlineStr">
        <is>
          <t>For "Dafliwale".</t>
        </is>
      </c>
      <c r="L79" s="5" t="inlineStr">
        <is>
          <t>SOURCE-024; SOURCE-440</t>
        </is>
      </c>
      <c r="M79" s="5" t="inlineStr">
        <is>
          <t>Medium</t>
        </is>
      </c>
    </row>
    <row r="80" ht="19" customHeight="1">
      <c r="A80" s="15" t="inlineStr">
        <is>
          <t>AWARD-079</t>
        </is>
      </c>
      <c r="B80" s="18" t="inlineStr">
        <is>
          <t>FILM-023</t>
        </is>
      </c>
      <c r="C80" s="5" t="inlineStr">
        <is>
          <t>Sargam</t>
        </is>
      </c>
      <c r="D80" s="17" t="n">
        <v>1980</v>
      </c>
      <c r="E80" s="5" t="inlineStr">
        <is>
          <t>Filmfare Awards</t>
        </is>
      </c>
      <c r="F80" s="5" t="inlineStr">
        <is>
          <t>Best Story</t>
        </is>
      </c>
      <c r="G80" s="5" t="inlineStr">
        <is>
          <t>K. Viswanath</t>
        </is>
      </c>
      <c r="H80" s="5" t="inlineStr">
        <is>
          <t>Writer</t>
        </is>
      </c>
      <c r="I80" s="5" t="inlineStr">
        <is>
          <t>Nomination</t>
        </is>
      </c>
      <c r="J80" s="5" t="inlineStr">
        <is>
          <t>Competitive</t>
        </is>
      </c>
      <c r="K80" s="5" t="n"/>
      <c r="L80" s="5" t="inlineStr">
        <is>
          <t>SOURCE-024; SOURCE-440</t>
        </is>
      </c>
      <c r="M80" s="5" t="inlineStr">
        <is>
          <t>Medium</t>
        </is>
      </c>
    </row>
    <row r="81" ht="94" customHeight="1">
      <c r="A81" s="15" t="inlineStr">
        <is>
          <t>AWARD-080</t>
        </is>
      </c>
      <c r="B81" s="18" t="inlineStr">
        <is>
          <t>FILM-023</t>
        </is>
      </c>
      <c r="C81" s="5" t="inlineStr">
        <is>
          <t>Sargam</t>
        </is>
      </c>
      <c r="D81" s="17" t="n">
        <v>1981</v>
      </c>
      <c r="E81" s="5" t="inlineStr">
        <is>
          <t>Filmfare Awards</t>
        </is>
      </c>
      <c r="F81" s="5" t="inlineStr">
        <is>
          <t>Best Male Playback Singer</t>
        </is>
      </c>
      <c r="G81" s="5" t="inlineStr">
        <is>
          <t>Mohammed Rafi</t>
        </is>
      </c>
      <c r="H81" s="5" t="inlineStr">
        <is>
          <t>Playback singer</t>
        </is>
      </c>
      <c r="I81" s="5" t="inlineStr">
        <is>
          <t>Nomination</t>
        </is>
      </c>
      <c r="J81" s="5" t="inlineStr">
        <is>
          <t>Competitive</t>
        </is>
      </c>
      <c r="K81" s="5" t="inlineStr">
        <is>
          <t>For "Dafliwale Dafli Baja". Listed at the 28th Filmfare Awards (1981) although Sargam is a 1979 release whose other seven nominations came at the 27th; the film's own article does not record this nomination. Year and placement are therefore uncertain.</t>
        </is>
      </c>
      <c r="L81" s="5" t="inlineStr">
        <is>
          <t>SOURCE-441</t>
        </is>
      </c>
      <c r="M81" s="5" t="inlineStr">
        <is>
          <t>Low</t>
        </is>
      </c>
    </row>
    <row r="82" ht="64" customHeight="1">
      <c r="A82" s="15" t="inlineStr">
        <is>
          <t>AWARD-081</t>
        </is>
      </c>
      <c r="B82" s="18" t="inlineStr">
        <is>
          <t>FILM-031</t>
        </is>
      </c>
      <c r="C82" s="5" t="inlineStr">
        <is>
          <t>Karz</t>
        </is>
      </c>
      <c r="D82" s="17" t="n">
        <v>1981</v>
      </c>
      <c r="E82" s="5" t="inlineStr">
        <is>
          <t>Filmfare Awards</t>
        </is>
      </c>
      <c r="F82" s="5" t="inlineStr">
        <is>
          <t>Best Music Director</t>
        </is>
      </c>
      <c r="G82" s="5" t="inlineStr">
        <is>
          <t>Laxmikant–Pyarelal</t>
        </is>
      </c>
      <c r="H82" s="5" t="inlineStr">
        <is>
          <t>Music director</t>
        </is>
      </c>
      <c r="I82" s="5" t="inlineStr">
        <is>
          <t>Win</t>
        </is>
      </c>
      <c r="J82" s="5" t="inlineStr">
        <is>
          <t>Competitive</t>
        </is>
      </c>
      <c r="K82" s="5" t="inlineStr">
        <is>
          <t>28th Filmfare Awards, held in Bombay in 1981. Karz took 6 nominations and won this one; its score, and "Om Shanti Om" in particular, became the film's lasting legacy.</t>
        </is>
      </c>
      <c r="L82" s="5" t="inlineStr">
        <is>
          <t>SOURCE-031; SOURCE-441</t>
        </is>
      </c>
      <c r="M82" s="5" t="inlineStr">
        <is>
          <t>Medium</t>
        </is>
      </c>
    </row>
    <row r="83" ht="34" customHeight="1">
      <c r="A83" s="15" t="inlineStr">
        <is>
          <t>AWARD-082</t>
        </is>
      </c>
      <c r="B83" s="18" t="inlineStr">
        <is>
          <t>FILM-031</t>
        </is>
      </c>
      <c r="C83" s="5" t="inlineStr">
        <is>
          <t>Karz</t>
        </is>
      </c>
      <c r="D83" s="17" t="n">
        <v>1981</v>
      </c>
      <c r="E83" s="5" t="inlineStr">
        <is>
          <t>Filmfare Awards</t>
        </is>
      </c>
      <c r="F83" s="5" t="inlineStr">
        <is>
          <t>Best Supporting Actress</t>
        </is>
      </c>
      <c r="G83" s="5" t="inlineStr">
        <is>
          <t>Simi Garewal</t>
        </is>
      </c>
      <c r="H83" s="5" t="inlineStr">
        <is>
          <t>Actress</t>
        </is>
      </c>
      <c r="I83" s="5" t="inlineStr">
        <is>
          <t>Nomination</t>
        </is>
      </c>
      <c r="J83" s="5" t="inlineStr">
        <is>
          <t>Competitive</t>
        </is>
      </c>
      <c r="K83" s="5" t="inlineStr">
        <is>
          <t>As Kamini, the wife who murders Kapoor's character in his previous life.</t>
        </is>
      </c>
      <c r="L83" s="5" t="inlineStr">
        <is>
          <t>SOURCE-031; SOURCE-441</t>
        </is>
      </c>
      <c r="M83" s="5" t="inlineStr">
        <is>
          <t>Medium</t>
        </is>
      </c>
    </row>
    <row r="84" ht="19" customHeight="1">
      <c r="A84" s="15" t="inlineStr">
        <is>
          <t>AWARD-083</t>
        </is>
      </c>
      <c r="B84" s="18" t="inlineStr">
        <is>
          <t>FILM-031</t>
        </is>
      </c>
      <c r="C84" s="5" t="inlineStr">
        <is>
          <t>Karz</t>
        </is>
      </c>
      <c r="D84" s="17" t="n">
        <v>1981</v>
      </c>
      <c r="E84" s="5" t="inlineStr">
        <is>
          <t>Filmfare Awards</t>
        </is>
      </c>
      <c r="F84" s="5" t="inlineStr">
        <is>
          <t>Best Lyricist</t>
        </is>
      </c>
      <c r="G84" s="5" t="inlineStr">
        <is>
          <t>Anand Bakshi</t>
        </is>
      </c>
      <c r="H84" s="5" t="inlineStr">
        <is>
          <t>Lyricist</t>
        </is>
      </c>
      <c r="I84" s="5" t="inlineStr">
        <is>
          <t>Nomination</t>
        </is>
      </c>
      <c r="J84" s="5" t="inlineStr">
        <is>
          <t>Competitive</t>
        </is>
      </c>
      <c r="K84" s="5" t="inlineStr">
        <is>
          <t>For "Dard-E-Dil".</t>
        </is>
      </c>
      <c r="L84" s="5" t="inlineStr">
        <is>
          <t>SOURCE-031; SOURCE-441</t>
        </is>
      </c>
      <c r="M84" s="5" t="inlineStr">
        <is>
          <t>Medium</t>
        </is>
      </c>
    </row>
    <row r="85" ht="49" customHeight="1">
      <c r="A85" s="15" t="inlineStr">
        <is>
          <t>AWARD-084</t>
        </is>
      </c>
      <c r="B85" s="18" t="inlineStr">
        <is>
          <t>FILM-031</t>
        </is>
      </c>
      <c r="C85" s="5" t="inlineStr">
        <is>
          <t>Karz</t>
        </is>
      </c>
      <c r="D85" s="17" t="n">
        <v>1981</v>
      </c>
      <c r="E85" s="5" t="inlineStr">
        <is>
          <t>Filmfare Awards</t>
        </is>
      </c>
      <c r="F85" s="5" t="inlineStr">
        <is>
          <t>Best Lyricist</t>
        </is>
      </c>
      <c r="G85" s="5" t="inlineStr">
        <is>
          <t>Anand Bakshi</t>
        </is>
      </c>
      <c r="H85" s="5" t="inlineStr">
        <is>
          <t>Lyricist</t>
        </is>
      </c>
      <c r="I85" s="5" t="inlineStr">
        <is>
          <t>Nomination</t>
        </is>
      </c>
      <c r="J85" s="5" t="inlineStr">
        <is>
          <t>Competitive</t>
        </is>
      </c>
      <c r="K85" s="5" t="inlineStr">
        <is>
          <t>For "Om Shanti Om". Farah Khan's 2007 film takes its title from this song, and Kapoor appears as himself in it.</t>
        </is>
      </c>
      <c r="L85" s="5" t="inlineStr">
        <is>
          <t>SOURCE-031; SOURCE-441</t>
        </is>
      </c>
      <c r="M85" s="5" t="inlineStr">
        <is>
          <t>Medium</t>
        </is>
      </c>
    </row>
    <row r="86" ht="19" customHeight="1">
      <c r="A86" s="15" t="inlineStr">
        <is>
          <t>AWARD-085</t>
        </is>
      </c>
      <c r="B86" s="18" t="inlineStr">
        <is>
          <t>FILM-031</t>
        </is>
      </c>
      <c r="C86" s="5" t="inlineStr">
        <is>
          <t>Karz</t>
        </is>
      </c>
      <c r="D86" s="17" t="n">
        <v>1981</v>
      </c>
      <c r="E86" s="5" t="inlineStr">
        <is>
          <t>Filmfare Awards</t>
        </is>
      </c>
      <c r="F86" s="5" t="inlineStr">
        <is>
          <t>Best Male Playback Singer</t>
        </is>
      </c>
      <c r="G86" s="5" t="inlineStr">
        <is>
          <t>Kishore Kumar</t>
        </is>
      </c>
      <c r="H86" s="5" t="inlineStr">
        <is>
          <t>Playback singer</t>
        </is>
      </c>
      <c r="I86" s="5" t="inlineStr">
        <is>
          <t>Nomination</t>
        </is>
      </c>
      <c r="J86" s="5" t="inlineStr">
        <is>
          <t>Competitive</t>
        </is>
      </c>
      <c r="K86" s="5" t="inlineStr">
        <is>
          <t>For "Om Shanti Om".</t>
        </is>
      </c>
      <c r="L86" s="5" t="inlineStr">
        <is>
          <t>SOURCE-031; SOURCE-441</t>
        </is>
      </c>
      <c r="M86" s="5" t="inlineStr">
        <is>
          <t>Medium</t>
        </is>
      </c>
    </row>
    <row r="87" ht="19" customHeight="1">
      <c r="A87" s="15" t="inlineStr">
        <is>
          <t>AWARD-086</t>
        </is>
      </c>
      <c r="B87" s="18" t="inlineStr">
        <is>
          <t>FILM-031</t>
        </is>
      </c>
      <c r="C87" s="5" t="inlineStr">
        <is>
          <t>Karz</t>
        </is>
      </c>
      <c r="D87" s="17" t="n">
        <v>1981</v>
      </c>
      <c r="E87" s="5" t="inlineStr">
        <is>
          <t>Filmfare Awards</t>
        </is>
      </c>
      <c r="F87" s="5" t="inlineStr">
        <is>
          <t>Best Male Playback Singer</t>
        </is>
      </c>
      <c r="G87" s="5" t="inlineStr">
        <is>
          <t>Mohammed Rafi</t>
        </is>
      </c>
      <c r="H87" s="5" t="inlineStr">
        <is>
          <t>Playback singer</t>
        </is>
      </c>
      <c r="I87" s="5" t="inlineStr">
        <is>
          <t>Nomination</t>
        </is>
      </c>
      <c r="J87" s="5" t="inlineStr">
        <is>
          <t>Competitive</t>
        </is>
      </c>
      <c r="K87" s="5" t="inlineStr">
        <is>
          <t>For "Dard-E-Dil".</t>
        </is>
      </c>
      <c r="L87" s="5" t="inlineStr">
        <is>
          <t>SOURCE-031; SOURCE-441</t>
        </is>
      </c>
      <c r="M87" s="5" t="inlineStr">
        <is>
          <t>Medium</t>
        </is>
      </c>
    </row>
    <row r="88" ht="49" customHeight="1">
      <c r="A88" s="15" t="inlineStr">
        <is>
          <t>AWARD-087</t>
        </is>
      </c>
      <c r="B88" s="18" t="inlineStr">
        <is>
          <t>FILM-032</t>
        </is>
      </c>
      <c r="C88" s="5" t="inlineStr">
        <is>
          <t>Naseeb</t>
        </is>
      </c>
      <c r="D88" s="17" t="n">
        <v>1982</v>
      </c>
      <c r="E88" s="5" t="inlineStr">
        <is>
          <t>Filmfare Awards</t>
        </is>
      </c>
      <c r="F88" s="5" t="inlineStr">
        <is>
          <t>Best Actress</t>
        </is>
      </c>
      <c r="G88" s="5" t="inlineStr">
        <is>
          <t>Hema Malini</t>
        </is>
      </c>
      <c r="H88" s="5" t="inlineStr">
        <is>
          <t>Actress</t>
        </is>
      </c>
      <c r="I88" s="5" t="inlineStr">
        <is>
          <t>Nomination</t>
        </is>
      </c>
      <c r="J88" s="5" t="inlineStr">
        <is>
          <t>Competitive</t>
        </is>
      </c>
      <c r="K88" s="5" t="inlineStr">
        <is>
          <t>29th Filmfare Awards, held 1982. Kapoor plays a supporting role in Manmohan Desai's multi-starrer.</t>
        </is>
      </c>
      <c r="L88" s="5" t="inlineStr">
        <is>
          <t>SOURCE-032; SOURCE-442</t>
        </is>
      </c>
      <c r="M88" s="5" t="inlineStr">
        <is>
          <t>Medium</t>
        </is>
      </c>
    </row>
    <row r="89" ht="94" customHeight="1">
      <c r="A89" s="15" t="inlineStr">
        <is>
          <t>AWARD-088</t>
        </is>
      </c>
      <c r="B89" s="18" t="inlineStr">
        <is>
          <t>FILM-037</t>
        </is>
      </c>
      <c r="C89" s="5" t="inlineStr">
        <is>
          <t>Prem Rog</t>
        </is>
      </c>
      <c r="D89" s="17" t="n">
        <v>1983</v>
      </c>
      <c r="E89" s="5" t="inlineStr">
        <is>
          <t>Filmfare Awards</t>
        </is>
      </c>
      <c r="F89" s="5" t="inlineStr">
        <is>
          <t>Best Director</t>
        </is>
      </c>
      <c r="G89" s="5" t="inlineStr">
        <is>
          <t>Raj Kapoor</t>
        </is>
      </c>
      <c r="H89" s="5" t="inlineStr">
        <is>
          <t>Director</t>
        </is>
      </c>
      <c r="I89" s="5" t="inlineStr">
        <is>
          <t>Win</t>
        </is>
      </c>
      <c r="J89" s="5" t="inlineStr">
        <is>
          <t>Competitive</t>
        </is>
      </c>
      <c r="K89" s="5" t="inlineStr">
        <is>
          <t>30th Filmfare Awards, held 25 September 1983. Prem Rog led the ceremony with 12 nominations and won 4, tying Shakti as the night's most-awarded film; it is the film on which Kapoor's father directed him to his strongest reviews.</t>
        </is>
      </c>
      <c r="L89" s="5" t="inlineStr">
        <is>
          <t>SOURCE-037; SOURCE-443</t>
        </is>
      </c>
      <c r="M89" s="5" t="inlineStr">
        <is>
          <t>High</t>
        </is>
      </c>
    </row>
    <row r="90" ht="34" customHeight="1">
      <c r="A90" s="15" t="inlineStr">
        <is>
          <t>AWARD-089</t>
        </is>
      </c>
      <c r="B90" s="18" t="inlineStr">
        <is>
          <t>FILM-037</t>
        </is>
      </c>
      <c r="C90" s="5" t="inlineStr">
        <is>
          <t>Prem Rog</t>
        </is>
      </c>
      <c r="D90" s="17" t="n">
        <v>1983</v>
      </c>
      <c r="E90" s="5" t="inlineStr">
        <is>
          <t>Filmfare Awards</t>
        </is>
      </c>
      <c r="F90" s="5" t="inlineStr">
        <is>
          <t>Best Actress</t>
        </is>
      </c>
      <c r="G90" s="5" t="inlineStr">
        <is>
          <t>Padmini Kolhapure</t>
        </is>
      </c>
      <c r="H90" s="5" t="inlineStr">
        <is>
          <t>Actress</t>
        </is>
      </c>
      <c r="I90" s="5" t="inlineStr">
        <is>
          <t>Win</t>
        </is>
      </c>
      <c r="J90" s="5" t="inlineStr">
        <is>
          <t>Competitive</t>
        </is>
      </c>
      <c r="K90" s="5" t="inlineStr">
        <is>
          <t>As the widowed Manorama, opposite Kapoor; the second of their six films together.</t>
        </is>
      </c>
      <c r="L90" s="5" t="inlineStr">
        <is>
          <t>SOURCE-037; SOURCE-443</t>
        </is>
      </c>
      <c r="M90" s="5" t="inlineStr">
        <is>
          <t>High</t>
        </is>
      </c>
    </row>
    <row r="91" ht="19" customHeight="1">
      <c r="A91" s="15" t="inlineStr">
        <is>
          <t>AWARD-090</t>
        </is>
      </c>
      <c r="B91" s="18" t="inlineStr">
        <is>
          <t>FILM-037</t>
        </is>
      </c>
      <c r="C91" s="5" t="inlineStr">
        <is>
          <t>Prem Rog</t>
        </is>
      </c>
      <c r="D91" s="17" t="n">
        <v>1983</v>
      </c>
      <c r="E91" s="5" t="inlineStr">
        <is>
          <t>Filmfare Awards</t>
        </is>
      </c>
      <c r="F91" s="5" t="inlineStr">
        <is>
          <t>Best Lyricist</t>
        </is>
      </c>
      <c r="G91" s="5" t="inlineStr">
        <is>
          <t>Santosh Anand</t>
        </is>
      </c>
      <c r="H91" s="5" t="inlineStr">
        <is>
          <t>Lyricist</t>
        </is>
      </c>
      <c r="I91" s="5" t="inlineStr">
        <is>
          <t>Win</t>
        </is>
      </c>
      <c r="J91" s="5" t="inlineStr">
        <is>
          <t>Competitive</t>
        </is>
      </c>
      <c r="K91" s="5" t="inlineStr">
        <is>
          <t>For "Mohabbat Hai Kya Cheez".</t>
        </is>
      </c>
      <c r="L91" s="5" t="inlineStr">
        <is>
          <t>SOURCE-037; SOURCE-443</t>
        </is>
      </c>
      <c r="M91" s="5" t="inlineStr">
        <is>
          <t>Medium</t>
        </is>
      </c>
    </row>
    <row r="92" ht="19" customHeight="1">
      <c r="A92" s="15" t="inlineStr">
        <is>
          <t>AWARD-091</t>
        </is>
      </c>
      <c r="B92" s="18" t="inlineStr">
        <is>
          <t>FILM-037</t>
        </is>
      </c>
      <c r="C92" s="5" t="inlineStr">
        <is>
          <t>Prem Rog</t>
        </is>
      </c>
      <c r="D92" s="17" t="n">
        <v>1983</v>
      </c>
      <c r="E92" s="5" t="inlineStr">
        <is>
          <t>Filmfare Awards</t>
        </is>
      </c>
      <c r="F92" s="5" t="inlineStr">
        <is>
          <t>Best Editing</t>
        </is>
      </c>
      <c r="G92" s="5" t="inlineStr">
        <is>
          <t>Raj Kapoor</t>
        </is>
      </c>
      <c r="H92" s="5" t="inlineStr">
        <is>
          <t>Editor</t>
        </is>
      </c>
      <c r="I92" s="5" t="inlineStr">
        <is>
          <t>Win</t>
        </is>
      </c>
      <c r="J92" s="5" t="inlineStr">
        <is>
          <t>Competitive</t>
        </is>
      </c>
      <c r="K92" s="5" t="n"/>
      <c r="L92" s="5" t="inlineStr">
        <is>
          <t>SOURCE-037; SOURCE-443</t>
        </is>
      </c>
      <c r="M92" s="5" t="inlineStr">
        <is>
          <t>Medium</t>
        </is>
      </c>
    </row>
    <row r="93" ht="19" customHeight="1">
      <c r="A93" s="15" t="inlineStr">
        <is>
          <t>AWARD-092</t>
        </is>
      </c>
      <c r="B93" s="18" t="inlineStr">
        <is>
          <t>FILM-037</t>
        </is>
      </c>
      <c r="C93" s="5" t="inlineStr">
        <is>
          <t>Prem Rog</t>
        </is>
      </c>
      <c r="D93" s="17" t="n">
        <v>1983</v>
      </c>
      <c r="E93" s="5" t="inlineStr">
        <is>
          <t>Filmfare Awards</t>
        </is>
      </c>
      <c r="F93" s="5" t="inlineStr">
        <is>
          <t>Best Film</t>
        </is>
      </c>
      <c r="G93" s="5" t="inlineStr">
        <is>
          <t>Raj Kapoor</t>
        </is>
      </c>
      <c r="H93" s="5" t="inlineStr">
        <is>
          <t>Producer</t>
        </is>
      </c>
      <c r="I93" s="5" t="inlineStr">
        <is>
          <t>Nomination</t>
        </is>
      </c>
      <c r="J93" s="5" t="inlineStr">
        <is>
          <t>Competitive</t>
        </is>
      </c>
      <c r="K93" s="5" t="inlineStr">
        <is>
          <t>For R. K. Films; lost to Shakti.</t>
        </is>
      </c>
      <c r="L93" s="5" t="inlineStr">
        <is>
          <t>SOURCE-037; SOURCE-443</t>
        </is>
      </c>
      <c r="M93" s="5" t="inlineStr">
        <is>
          <t>Medium</t>
        </is>
      </c>
    </row>
    <row r="94" ht="64" customHeight="1">
      <c r="A94" s="15" t="inlineStr">
        <is>
          <t>AWARD-093</t>
        </is>
      </c>
      <c r="B94" s="18" t="inlineStr">
        <is>
          <t>FILM-037</t>
        </is>
      </c>
      <c r="C94" s="5" t="inlineStr">
        <is>
          <t>Prem Rog</t>
        </is>
      </c>
      <c r="D94" s="17" t="n">
        <v>1983</v>
      </c>
      <c r="E94" s="5" t="inlineStr">
        <is>
          <t>Filmfare Awards</t>
        </is>
      </c>
      <c r="F94" s="5" t="inlineStr">
        <is>
          <t>Best Actor</t>
        </is>
      </c>
      <c r="G94" s="5" t="inlineStr">
        <is>
          <t>Rishi Kapoor</t>
        </is>
      </c>
      <c r="H94" s="5" t="inlineStr">
        <is>
          <t>Actor</t>
        </is>
      </c>
      <c r="I94" s="5" t="inlineStr">
        <is>
          <t>Nomination</t>
        </is>
      </c>
      <c r="J94" s="5" t="inlineStr">
        <is>
          <t>Competitive</t>
        </is>
      </c>
      <c r="K94" s="5" t="inlineStr">
        <is>
          <t>His third Best Actor nomination, as the chauffeur Devdhar who marries a widow against his village; lost to Dilip Kumar for Shakti.</t>
        </is>
      </c>
      <c r="L94" s="5" t="inlineStr">
        <is>
          <t>SOURCE-037; SOURCE-240; SOURCE-443</t>
        </is>
      </c>
      <c r="M94" s="5" t="inlineStr">
        <is>
          <t>High</t>
        </is>
      </c>
    </row>
    <row r="95" ht="19" customHeight="1">
      <c r="A95" s="15" t="inlineStr">
        <is>
          <t>AWARD-094</t>
        </is>
      </c>
      <c r="B95" s="18" t="inlineStr">
        <is>
          <t>FILM-037</t>
        </is>
      </c>
      <c r="C95" s="5" t="inlineStr">
        <is>
          <t>Prem Rog</t>
        </is>
      </c>
      <c r="D95" s="17" t="n">
        <v>1983</v>
      </c>
      <c r="E95" s="5" t="inlineStr">
        <is>
          <t>Filmfare Awards</t>
        </is>
      </c>
      <c r="F95" s="5" t="inlineStr">
        <is>
          <t>Best Supporting Actress</t>
        </is>
      </c>
      <c r="G95" s="5" t="inlineStr">
        <is>
          <t>Nanda</t>
        </is>
      </c>
      <c r="H95" s="5" t="inlineStr">
        <is>
          <t>Actress</t>
        </is>
      </c>
      <c r="I95" s="5" t="inlineStr">
        <is>
          <t>Nomination</t>
        </is>
      </c>
      <c r="J95" s="5" t="inlineStr">
        <is>
          <t>Competitive</t>
        </is>
      </c>
      <c r="K95" s="5" t="n"/>
      <c r="L95" s="5" t="inlineStr">
        <is>
          <t>SOURCE-037; SOURCE-443</t>
        </is>
      </c>
      <c r="M95" s="5" t="inlineStr">
        <is>
          <t>Medium</t>
        </is>
      </c>
    </row>
    <row r="96" ht="19" customHeight="1">
      <c r="A96" s="15" t="inlineStr">
        <is>
          <t>AWARD-095</t>
        </is>
      </c>
      <c r="B96" s="18" t="inlineStr">
        <is>
          <t>FILM-037</t>
        </is>
      </c>
      <c r="C96" s="5" t="inlineStr">
        <is>
          <t>Prem Rog</t>
        </is>
      </c>
      <c r="D96" s="17" t="n">
        <v>1983</v>
      </c>
      <c r="E96" s="5" t="inlineStr">
        <is>
          <t>Filmfare Awards</t>
        </is>
      </c>
      <c r="F96" s="5" t="inlineStr">
        <is>
          <t>Best Story</t>
        </is>
      </c>
      <c r="G96" s="5" t="inlineStr">
        <is>
          <t>Kamna Chandra</t>
        </is>
      </c>
      <c r="H96" s="5" t="inlineStr">
        <is>
          <t>Writer</t>
        </is>
      </c>
      <c r="I96" s="5" t="inlineStr">
        <is>
          <t>Nomination</t>
        </is>
      </c>
      <c r="J96" s="5" t="inlineStr">
        <is>
          <t>Competitive</t>
        </is>
      </c>
      <c r="K96" s="5" t="n"/>
      <c r="L96" s="5" t="inlineStr">
        <is>
          <t>SOURCE-037; SOURCE-443</t>
        </is>
      </c>
      <c r="M96" s="5" t="inlineStr">
        <is>
          <t>Medium</t>
        </is>
      </c>
    </row>
    <row r="97" ht="19" customHeight="1">
      <c r="A97" s="15" t="inlineStr">
        <is>
          <t>AWARD-096</t>
        </is>
      </c>
      <c r="B97" s="18" t="inlineStr">
        <is>
          <t>FILM-037</t>
        </is>
      </c>
      <c r="C97" s="5" t="inlineStr">
        <is>
          <t>Prem Rog</t>
        </is>
      </c>
      <c r="D97" s="17" t="n">
        <v>1983</v>
      </c>
      <c r="E97" s="5" t="inlineStr">
        <is>
          <t>Filmfare Awards</t>
        </is>
      </c>
      <c r="F97" s="5" t="inlineStr">
        <is>
          <t>Best Music Director</t>
        </is>
      </c>
      <c r="G97" s="5" t="inlineStr">
        <is>
          <t>Laxmikant–Pyarelal</t>
        </is>
      </c>
      <c r="H97" s="5" t="inlineStr">
        <is>
          <t>Music director</t>
        </is>
      </c>
      <c r="I97" s="5" t="inlineStr">
        <is>
          <t>Nomination</t>
        </is>
      </c>
      <c r="J97" s="5" t="inlineStr">
        <is>
          <t>Competitive</t>
        </is>
      </c>
      <c r="K97" s="5" t="n"/>
      <c r="L97" s="5" t="inlineStr">
        <is>
          <t>SOURCE-037; SOURCE-443</t>
        </is>
      </c>
      <c r="M97" s="5" t="inlineStr">
        <is>
          <t>Medium</t>
        </is>
      </c>
    </row>
    <row r="98" ht="19" customHeight="1">
      <c r="A98" s="15" t="inlineStr">
        <is>
          <t>AWARD-097</t>
        </is>
      </c>
      <c r="B98" s="18" t="inlineStr">
        <is>
          <t>FILM-037</t>
        </is>
      </c>
      <c r="C98" s="5" t="inlineStr">
        <is>
          <t>Prem Rog</t>
        </is>
      </c>
      <c r="D98" s="17" t="n">
        <v>1983</v>
      </c>
      <c r="E98" s="5" t="inlineStr">
        <is>
          <t>Filmfare Awards</t>
        </is>
      </c>
      <c r="F98" s="5" t="inlineStr">
        <is>
          <t>Best Lyricist</t>
        </is>
      </c>
      <c r="G98" s="5" t="inlineStr">
        <is>
          <t>Ameer Qazalbash</t>
        </is>
      </c>
      <c r="H98" s="5" t="inlineStr">
        <is>
          <t>Lyricist</t>
        </is>
      </c>
      <c r="I98" s="5" t="inlineStr">
        <is>
          <t>Nomination</t>
        </is>
      </c>
      <c r="J98" s="5" t="inlineStr">
        <is>
          <t>Competitive</t>
        </is>
      </c>
      <c r="K98" s="5" t="inlineStr">
        <is>
          <t>For "Meri Kismat Mein Tu".</t>
        </is>
      </c>
      <c r="L98" s="5" t="inlineStr">
        <is>
          <t>SOURCE-037; SOURCE-443</t>
        </is>
      </c>
      <c r="M98" s="5" t="inlineStr">
        <is>
          <t>Medium</t>
        </is>
      </c>
    </row>
    <row r="99" ht="19" customHeight="1">
      <c r="A99" s="15" t="inlineStr">
        <is>
          <t>AWARD-098</t>
        </is>
      </c>
      <c r="B99" s="18" t="inlineStr">
        <is>
          <t>FILM-037</t>
        </is>
      </c>
      <c r="C99" s="5" t="inlineStr">
        <is>
          <t>Prem Rog</t>
        </is>
      </c>
      <c r="D99" s="17" t="n">
        <v>1983</v>
      </c>
      <c r="E99" s="5" t="inlineStr">
        <is>
          <t>Filmfare Awards</t>
        </is>
      </c>
      <c r="F99" s="5" t="inlineStr">
        <is>
          <t>Best Male Playback Singer</t>
        </is>
      </c>
      <c r="G99" s="5" t="inlineStr">
        <is>
          <t>Suresh Wadkar</t>
        </is>
      </c>
      <c r="H99" s="5" t="inlineStr">
        <is>
          <t>Playback singer</t>
        </is>
      </c>
      <c r="I99" s="5" t="inlineStr">
        <is>
          <t>Nomination</t>
        </is>
      </c>
      <c r="J99" s="5" t="inlineStr">
        <is>
          <t>Competitive</t>
        </is>
      </c>
      <c r="K99" s="5" t="inlineStr">
        <is>
          <t>For "Main Hoon Prem Rogi", sung for Kapoor.</t>
        </is>
      </c>
      <c r="L99" s="5" t="inlineStr">
        <is>
          <t>SOURCE-037; SOURCE-443</t>
        </is>
      </c>
      <c r="M99" s="5" t="inlineStr">
        <is>
          <t>Medium</t>
        </is>
      </c>
    </row>
    <row r="100" ht="19" customHeight="1">
      <c r="A100" s="15" t="inlineStr">
        <is>
          <t>AWARD-099</t>
        </is>
      </c>
      <c r="B100" s="18" t="inlineStr">
        <is>
          <t>FILM-037</t>
        </is>
      </c>
      <c r="C100" s="5" t="inlineStr">
        <is>
          <t>Prem Rog</t>
        </is>
      </c>
      <c r="D100" s="17" t="n">
        <v>1983</v>
      </c>
      <c r="E100" s="5" t="inlineStr">
        <is>
          <t>Filmfare Awards</t>
        </is>
      </c>
      <c r="F100" s="5" t="inlineStr">
        <is>
          <t>Best Male Playback Singer</t>
        </is>
      </c>
      <c r="G100" s="5" t="inlineStr">
        <is>
          <t>Suresh Wadkar</t>
        </is>
      </c>
      <c r="H100" s="5" t="inlineStr">
        <is>
          <t>Playback singer</t>
        </is>
      </c>
      <c r="I100" s="5" t="inlineStr">
        <is>
          <t>Nomination</t>
        </is>
      </c>
      <c r="J100" s="5" t="inlineStr">
        <is>
          <t>Competitive</t>
        </is>
      </c>
      <c r="K100" s="5" t="inlineStr">
        <is>
          <t>For "Meri Kismat Mein Tu".</t>
        </is>
      </c>
      <c r="L100" s="5" t="inlineStr">
        <is>
          <t>SOURCE-037; SOURCE-443</t>
        </is>
      </c>
      <c r="M100" s="5" t="inlineStr">
        <is>
          <t>Medium</t>
        </is>
      </c>
    </row>
    <row r="101" ht="34" customHeight="1">
      <c r="A101" s="15" t="inlineStr">
        <is>
          <t>AWARD-100</t>
        </is>
      </c>
      <c r="B101" s="18" t="inlineStr">
        <is>
          <t>FILM-039</t>
        </is>
      </c>
      <c r="C101" s="5" t="inlineStr">
        <is>
          <t>Naukar Biwi Ka</t>
        </is>
      </c>
      <c r="D101" s="17" t="n">
        <v>1984</v>
      </c>
      <c r="E101" s="5" t="inlineStr">
        <is>
          <t>Filmfare Awards</t>
        </is>
      </c>
      <c r="F101" s="5" t="inlineStr">
        <is>
          <t>Best Performance in a Comic Role</t>
        </is>
      </c>
      <c r="G101" s="5" t="inlineStr">
        <is>
          <t>Dharmendra</t>
        </is>
      </c>
      <c r="H101" s="5" t="inlineStr">
        <is>
          <t>Actor</t>
        </is>
      </c>
      <c r="I101" s="5" t="inlineStr">
        <is>
          <t>Nomination</t>
        </is>
      </c>
      <c r="J101" s="5" t="inlineStr">
        <is>
          <t>Competitive</t>
        </is>
      </c>
      <c r="K101" s="5" t="inlineStr">
        <is>
          <t>31st Filmfare Awards, held 1984. Kapoor appears as himself.</t>
        </is>
      </c>
      <c r="L101" s="5" t="inlineStr">
        <is>
          <t>SOURCE-041; SOURCE-444</t>
        </is>
      </c>
      <c r="M101" s="5" t="inlineStr">
        <is>
          <t>Medium</t>
        </is>
      </c>
    </row>
    <row r="102" ht="94" customHeight="1">
      <c r="A102" s="15" t="inlineStr">
        <is>
          <t>AWARD-101</t>
        </is>
      </c>
      <c r="B102" s="18" t="inlineStr">
        <is>
          <t>FILM-049</t>
        </is>
      </c>
      <c r="C102" s="5" t="inlineStr">
        <is>
          <t>Saagar</t>
        </is>
      </c>
      <c r="D102" s="17" t="n">
        <v>1987</v>
      </c>
      <c r="E102" s="5" t="inlineStr">
        <is>
          <t>Filmfare Awards</t>
        </is>
      </c>
      <c r="F102" s="5" t="inlineStr">
        <is>
          <t>Best Actor</t>
        </is>
      </c>
      <c r="G102" s="5" t="inlineStr">
        <is>
          <t>Kamal Haasan</t>
        </is>
      </c>
      <c r="H102" s="5" t="inlineStr">
        <is>
          <t>Actor</t>
        </is>
      </c>
      <c r="I102" s="5" t="inlineStr">
        <is>
          <t>Win</t>
        </is>
      </c>
      <c r="J102" s="5" t="inlineStr">
        <is>
          <t>Competitive</t>
        </is>
      </c>
      <c r="K102" s="5" t="inlineStr">
        <is>
          <t>33rd Filmfare Awards, held in Mumbai in 1987 for films of 1985. Saagar took 10 nominations, tying Ram Teri Ganga Maili as the most-nominated film, and won 4. Kapoor, the film's other lead, received no nomination for it.</t>
        </is>
      </c>
      <c r="L102" s="5" t="inlineStr">
        <is>
          <t>SOURCE-049; SOURCE-445</t>
        </is>
      </c>
      <c r="M102" s="5" t="inlineStr">
        <is>
          <t>Medium</t>
        </is>
      </c>
    </row>
    <row r="103" ht="49" customHeight="1">
      <c r="A103" s="15" t="inlineStr">
        <is>
          <t>AWARD-102</t>
        </is>
      </c>
      <c r="B103" s="18" t="inlineStr">
        <is>
          <t>FILM-049</t>
        </is>
      </c>
      <c r="C103" s="5" t="inlineStr">
        <is>
          <t>Saagar</t>
        </is>
      </c>
      <c r="D103" s="17" t="n">
        <v>1987</v>
      </c>
      <c r="E103" s="5" t="inlineStr">
        <is>
          <t>Filmfare Awards</t>
        </is>
      </c>
      <c r="F103" s="5" t="inlineStr">
        <is>
          <t>Best Actress</t>
        </is>
      </c>
      <c r="G103" s="5" t="inlineStr">
        <is>
          <t>Dimple Kapadia</t>
        </is>
      </c>
      <c r="H103" s="5" t="inlineStr">
        <is>
          <t>Actress</t>
        </is>
      </c>
      <c r="I103" s="5" t="inlineStr">
        <is>
          <t>Win</t>
        </is>
      </c>
      <c r="J103" s="5" t="inlineStr">
        <is>
          <t>Competitive</t>
        </is>
      </c>
      <c r="K103" s="5" t="inlineStr">
        <is>
          <t>Kapadia's comeback film and her second Filmfare acting win opposite Kapoor, twelve years after Bobby.</t>
        </is>
      </c>
      <c r="L103" s="5" t="inlineStr">
        <is>
          <t>SOURCE-049; SOURCE-445</t>
        </is>
      </c>
      <c r="M103" s="5" t="inlineStr">
        <is>
          <t>High</t>
        </is>
      </c>
    </row>
    <row r="104" ht="19" customHeight="1">
      <c r="A104" s="15" t="inlineStr">
        <is>
          <t>AWARD-103</t>
        </is>
      </c>
      <c r="B104" s="18" t="inlineStr">
        <is>
          <t>FILM-049</t>
        </is>
      </c>
      <c r="C104" s="5" t="inlineStr">
        <is>
          <t>Saagar</t>
        </is>
      </c>
      <c r="D104" s="17" t="n">
        <v>1987</v>
      </c>
      <c r="E104" s="5" t="inlineStr">
        <is>
          <t>Filmfare Awards</t>
        </is>
      </c>
      <c r="F104" s="5" t="inlineStr">
        <is>
          <t>Best Male Playback Singer</t>
        </is>
      </c>
      <c r="G104" s="5" t="inlineStr">
        <is>
          <t>Kishore Kumar</t>
        </is>
      </c>
      <c r="H104" s="5" t="inlineStr">
        <is>
          <t>Playback singer</t>
        </is>
      </c>
      <c r="I104" s="5" t="inlineStr">
        <is>
          <t>Win</t>
        </is>
      </c>
      <c r="J104" s="5" t="inlineStr">
        <is>
          <t>Competitive</t>
        </is>
      </c>
      <c r="K104" s="5" t="inlineStr">
        <is>
          <t>For "Saagar Kinare".</t>
        </is>
      </c>
      <c r="L104" s="5" t="inlineStr">
        <is>
          <t>SOURCE-049; SOURCE-445</t>
        </is>
      </c>
      <c r="M104" s="5" t="inlineStr">
        <is>
          <t>Medium</t>
        </is>
      </c>
    </row>
    <row r="105" ht="19" customHeight="1">
      <c r="A105" s="15" t="inlineStr">
        <is>
          <t>AWARD-104</t>
        </is>
      </c>
      <c r="B105" s="18" t="inlineStr">
        <is>
          <t>FILM-049</t>
        </is>
      </c>
      <c r="C105" s="5" t="inlineStr">
        <is>
          <t>Saagar</t>
        </is>
      </c>
      <c r="D105" s="17" t="n">
        <v>1987</v>
      </c>
      <c r="E105" s="5" t="inlineStr">
        <is>
          <t>Filmfare Awards</t>
        </is>
      </c>
      <c r="F105" s="5" t="inlineStr">
        <is>
          <t>Best Cinematography</t>
        </is>
      </c>
      <c r="G105" s="5" t="inlineStr">
        <is>
          <t>S. M. Anwar</t>
        </is>
      </c>
      <c r="H105" s="5" t="inlineStr">
        <is>
          <t>Cinematographer</t>
        </is>
      </c>
      <c r="I105" s="5" t="inlineStr">
        <is>
          <t>Win</t>
        </is>
      </c>
      <c r="J105" s="5" t="inlineStr">
        <is>
          <t>Competitive</t>
        </is>
      </c>
      <c r="K105" s="5" t="n"/>
      <c r="L105" s="5" t="inlineStr">
        <is>
          <t>SOURCE-049; SOURCE-445</t>
        </is>
      </c>
      <c r="M105" s="5" t="inlineStr">
        <is>
          <t>Medium</t>
        </is>
      </c>
    </row>
    <row r="106" ht="19" customHeight="1">
      <c r="A106" s="15" t="inlineStr">
        <is>
          <t>AWARD-105</t>
        </is>
      </c>
      <c r="B106" s="18" t="inlineStr">
        <is>
          <t>FILM-049</t>
        </is>
      </c>
      <c r="C106" s="5" t="inlineStr">
        <is>
          <t>Saagar</t>
        </is>
      </c>
      <c r="D106" s="17" t="n">
        <v>1987</v>
      </c>
      <c r="E106" s="5" t="inlineStr">
        <is>
          <t>Filmfare Awards</t>
        </is>
      </c>
      <c r="F106" s="5" t="inlineStr">
        <is>
          <t>Best Film</t>
        </is>
      </c>
      <c r="G106" s="5" t="inlineStr">
        <is>
          <t>G. P. Sippy</t>
        </is>
      </c>
      <c r="H106" s="5" t="inlineStr">
        <is>
          <t>Producer</t>
        </is>
      </c>
      <c r="I106" s="5" t="inlineStr">
        <is>
          <t>Nomination</t>
        </is>
      </c>
      <c r="J106" s="5" t="inlineStr">
        <is>
          <t>Competitive</t>
        </is>
      </c>
      <c r="K106" s="5" t="n"/>
      <c r="L106" s="5" t="inlineStr">
        <is>
          <t>SOURCE-049; SOURCE-445</t>
        </is>
      </c>
      <c r="M106" s="5" t="inlineStr">
        <is>
          <t>Medium</t>
        </is>
      </c>
    </row>
    <row r="107" ht="19" customHeight="1">
      <c r="A107" s="15" t="inlineStr">
        <is>
          <t>AWARD-106</t>
        </is>
      </c>
      <c r="B107" s="18" t="inlineStr">
        <is>
          <t>FILM-049</t>
        </is>
      </c>
      <c r="C107" s="5" t="inlineStr">
        <is>
          <t>Saagar</t>
        </is>
      </c>
      <c r="D107" s="17" t="n">
        <v>1987</v>
      </c>
      <c r="E107" s="5" t="inlineStr">
        <is>
          <t>Filmfare Awards</t>
        </is>
      </c>
      <c r="F107" s="5" t="inlineStr">
        <is>
          <t>Best Director</t>
        </is>
      </c>
      <c r="G107" s="5" t="inlineStr">
        <is>
          <t>Ramesh Sippy</t>
        </is>
      </c>
      <c r="H107" s="5" t="inlineStr">
        <is>
          <t>Director</t>
        </is>
      </c>
      <c r="I107" s="5" t="inlineStr">
        <is>
          <t>Nomination</t>
        </is>
      </c>
      <c r="J107" s="5" t="inlineStr">
        <is>
          <t>Competitive</t>
        </is>
      </c>
      <c r="K107" s="5" t="n"/>
      <c r="L107" s="5" t="inlineStr">
        <is>
          <t>SOURCE-049; SOURCE-445</t>
        </is>
      </c>
      <c r="M107" s="5" t="inlineStr">
        <is>
          <t>Medium</t>
        </is>
      </c>
    </row>
    <row r="108" ht="49" customHeight="1">
      <c r="A108" s="15" t="inlineStr">
        <is>
          <t>AWARD-107</t>
        </is>
      </c>
      <c r="B108" s="18" t="inlineStr">
        <is>
          <t>FILM-049</t>
        </is>
      </c>
      <c r="C108" s="5" t="inlineStr">
        <is>
          <t>Saagar</t>
        </is>
      </c>
      <c r="D108" s="17" t="n">
        <v>1987</v>
      </c>
      <c r="E108" s="5" t="inlineStr">
        <is>
          <t>Filmfare Awards</t>
        </is>
      </c>
      <c r="F108" s="5" t="inlineStr">
        <is>
          <t>Best Supporting Actor</t>
        </is>
      </c>
      <c r="G108" s="5" t="inlineStr">
        <is>
          <t>Kamal Haasan</t>
        </is>
      </c>
      <c r="H108" s="5" t="inlineStr">
        <is>
          <t>Actor</t>
        </is>
      </c>
      <c r="I108" s="5" t="inlineStr">
        <is>
          <t>Nomination</t>
        </is>
      </c>
      <c r="J108" s="5" t="inlineStr">
        <is>
          <t>Competitive</t>
        </is>
      </c>
      <c r="K108" s="5" t="inlineStr">
        <is>
          <t>Haasan was nominated in both acting categories for the same performance and won the lead award.</t>
        </is>
      </c>
      <c r="L108" s="5" t="inlineStr">
        <is>
          <t>SOURCE-049; SOURCE-445</t>
        </is>
      </c>
      <c r="M108" s="5" t="inlineStr">
        <is>
          <t>Medium</t>
        </is>
      </c>
    </row>
    <row r="109" ht="19" customHeight="1">
      <c r="A109" s="15" t="inlineStr">
        <is>
          <t>AWARD-108</t>
        </is>
      </c>
      <c r="B109" s="18" t="inlineStr">
        <is>
          <t>FILM-049</t>
        </is>
      </c>
      <c r="C109" s="5" t="inlineStr">
        <is>
          <t>Saagar</t>
        </is>
      </c>
      <c r="D109" s="17" t="n">
        <v>1987</v>
      </c>
      <c r="E109" s="5" t="inlineStr">
        <is>
          <t>Filmfare Awards</t>
        </is>
      </c>
      <c r="F109" s="5" t="inlineStr">
        <is>
          <t>Best Supporting Actress</t>
        </is>
      </c>
      <c r="G109" s="5" t="inlineStr">
        <is>
          <t>Madhur Jaffrey</t>
        </is>
      </c>
      <c r="H109" s="5" t="inlineStr">
        <is>
          <t>Actress</t>
        </is>
      </c>
      <c r="I109" s="5" t="inlineStr">
        <is>
          <t>Nomination</t>
        </is>
      </c>
      <c r="J109" s="5" t="inlineStr">
        <is>
          <t>Competitive</t>
        </is>
      </c>
      <c r="K109" s="5" t="n"/>
      <c r="L109" s="5" t="inlineStr">
        <is>
          <t>SOURCE-049; SOURCE-445</t>
        </is>
      </c>
      <c r="M109" s="5" t="inlineStr">
        <is>
          <t>Medium</t>
        </is>
      </c>
    </row>
    <row r="110" ht="19" customHeight="1">
      <c r="A110" s="15" t="inlineStr">
        <is>
          <t>AWARD-109</t>
        </is>
      </c>
      <c r="B110" s="18" t="inlineStr">
        <is>
          <t>FILM-049</t>
        </is>
      </c>
      <c r="C110" s="5" t="inlineStr">
        <is>
          <t>Saagar</t>
        </is>
      </c>
      <c r="D110" s="17" t="n">
        <v>1987</v>
      </c>
      <c r="E110" s="5" t="inlineStr">
        <is>
          <t>Filmfare Awards</t>
        </is>
      </c>
      <c r="F110" s="5" t="inlineStr">
        <is>
          <t>Best Music Director</t>
        </is>
      </c>
      <c r="G110" s="5" t="inlineStr">
        <is>
          <t>R. D. Burman</t>
        </is>
      </c>
      <c r="H110" s="5" t="inlineStr">
        <is>
          <t>Music director</t>
        </is>
      </c>
      <c r="I110" s="5" t="inlineStr">
        <is>
          <t>Nomination</t>
        </is>
      </c>
      <c r="J110" s="5" t="inlineStr">
        <is>
          <t>Competitive</t>
        </is>
      </c>
      <c r="K110" s="5" t="n"/>
      <c r="L110" s="5" t="inlineStr">
        <is>
          <t>SOURCE-049; SOURCE-445</t>
        </is>
      </c>
      <c r="M110" s="5" t="inlineStr">
        <is>
          <t>Medium</t>
        </is>
      </c>
    </row>
    <row r="111" ht="19" customHeight="1">
      <c r="A111" s="15" t="inlineStr">
        <is>
          <t>AWARD-110</t>
        </is>
      </c>
      <c r="B111" s="18" t="inlineStr">
        <is>
          <t>FILM-049</t>
        </is>
      </c>
      <c r="C111" s="5" t="inlineStr">
        <is>
          <t>Saagar</t>
        </is>
      </c>
      <c r="D111" s="17" t="n">
        <v>1987</v>
      </c>
      <c r="E111" s="5" t="inlineStr">
        <is>
          <t>Filmfare Awards</t>
        </is>
      </c>
      <c r="F111" s="5" t="inlineStr">
        <is>
          <t>Best Lyricist</t>
        </is>
      </c>
      <c r="G111" s="5" t="inlineStr">
        <is>
          <t>Javed Akhtar</t>
        </is>
      </c>
      <c r="H111" s="5" t="inlineStr">
        <is>
          <t>Lyricist</t>
        </is>
      </c>
      <c r="I111" s="5" t="inlineStr">
        <is>
          <t>Nomination</t>
        </is>
      </c>
      <c r="J111" s="5" t="inlineStr">
        <is>
          <t>Competitive</t>
        </is>
      </c>
      <c r="K111" s="5" t="inlineStr">
        <is>
          <t>For "Saagar Kinare".</t>
        </is>
      </c>
      <c r="L111" s="5" t="inlineStr">
        <is>
          <t>SOURCE-049; SOURCE-445</t>
        </is>
      </c>
      <c r="M111" s="5" t="inlineStr">
        <is>
          <t>Medium</t>
        </is>
      </c>
    </row>
    <row r="112" ht="79" customHeight="1">
      <c r="A112" s="15" t="inlineStr">
        <is>
          <t>AWARD-111</t>
        </is>
      </c>
      <c r="B112" s="18" t="inlineStr">
        <is>
          <t>FILM-050</t>
        </is>
      </c>
      <c r="C112" s="5" t="inlineStr">
        <is>
          <t>Tawaif</t>
        </is>
      </c>
      <c r="D112" s="17" t="n">
        <v>1987</v>
      </c>
      <c r="E112" s="5" t="inlineStr">
        <is>
          <t>Filmfare Awards</t>
        </is>
      </c>
      <c r="F112" s="5" t="inlineStr">
        <is>
          <t>Best Story</t>
        </is>
      </c>
      <c r="G112" s="5" t="inlineStr">
        <is>
          <t>Dr. Aleem Masroor</t>
        </is>
      </c>
      <c r="H112" s="5" t="inlineStr">
        <is>
          <t>Writer</t>
        </is>
      </c>
      <c r="I112" s="5" t="inlineStr">
        <is>
          <t>Win</t>
        </is>
      </c>
      <c r="J112" s="5" t="inlineStr">
        <is>
          <t>Competitive</t>
        </is>
      </c>
      <c r="K112" s="5" t="inlineStr">
        <is>
          <t>33rd Filmfare Awards. Tawaif took 7 nominations; the ceremony article's tally credits the film with 3 wins, one more than the two its own article records, and the third could not be identified.</t>
        </is>
      </c>
      <c r="L112" s="5" t="inlineStr">
        <is>
          <t>SOURCE-046; SOURCE-445</t>
        </is>
      </c>
      <c r="M112" s="5" t="inlineStr">
        <is>
          <t>Medium</t>
        </is>
      </c>
    </row>
    <row r="113" ht="19" customHeight="1">
      <c r="A113" s="15" t="inlineStr">
        <is>
          <t>AWARD-112</t>
        </is>
      </c>
      <c r="B113" s="18" t="inlineStr">
        <is>
          <t>FILM-050</t>
        </is>
      </c>
      <c r="C113" s="5" t="inlineStr">
        <is>
          <t>Tawaif</t>
        </is>
      </c>
      <c r="D113" s="17" t="n">
        <v>1987</v>
      </c>
      <c r="E113" s="5" t="inlineStr">
        <is>
          <t>Filmfare Awards</t>
        </is>
      </c>
      <c r="F113" s="5" t="inlineStr">
        <is>
          <t>Best Dialogue</t>
        </is>
      </c>
      <c r="G113" s="5" t="inlineStr">
        <is>
          <t>Rahi Masoom Raza</t>
        </is>
      </c>
      <c r="H113" s="5" t="inlineStr">
        <is>
          <t>Writer</t>
        </is>
      </c>
      <c r="I113" s="5" t="inlineStr">
        <is>
          <t>Win</t>
        </is>
      </c>
      <c r="J113" s="5" t="inlineStr">
        <is>
          <t>Competitive</t>
        </is>
      </c>
      <c r="K113" s="5" t="n"/>
      <c r="L113" s="5" t="inlineStr">
        <is>
          <t>SOURCE-046; SOURCE-445</t>
        </is>
      </c>
      <c r="M113" s="5" t="inlineStr">
        <is>
          <t>Medium</t>
        </is>
      </c>
    </row>
    <row r="114" ht="19" customHeight="1">
      <c r="A114" s="15" t="inlineStr">
        <is>
          <t>AWARD-113</t>
        </is>
      </c>
      <c r="B114" s="18" t="inlineStr">
        <is>
          <t>FILM-050</t>
        </is>
      </c>
      <c r="C114" s="5" t="inlineStr">
        <is>
          <t>Tawaif</t>
        </is>
      </c>
      <c r="D114" s="17" t="n">
        <v>1987</v>
      </c>
      <c r="E114" s="5" t="inlineStr">
        <is>
          <t>Filmfare Awards</t>
        </is>
      </c>
      <c r="F114" s="5" t="inlineStr">
        <is>
          <t>Best Film</t>
        </is>
      </c>
      <c r="G114" s="5" t="inlineStr">
        <is>
          <t>R. C. Kumar</t>
        </is>
      </c>
      <c r="H114" s="5" t="inlineStr">
        <is>
          <t>Producer</t>
        </is>
      </c>
      <c r="I114" s="5" t="inlineStr">
        <is>
          <t>Nomination</t>
        </is>
      </c>
      <c r="J114" s="5" t="inlineStr">
        <is>
          <t>Competitive</t>
        </is>
      </c>
      <c r="K114" s="5" t="n"/>
      <c r="L114" s="5" t="inlineStr">
        <is>
          <t>SOURCE-046; SOURCE-445</t>
        </is>
      </c>
      <c r="M114" s="5" t="inlineStr">
        <is>
          <t>Medium</t>
        </is>
      </c>
    </row>
    <row r="115" ht="79" customHeight="1">
      <c r="A115" s="15" t="inlineStr">
        <is>
          <t>AWARD-114</t>
        </is>
      </c>
      <c r="B115" s="18" t="inlineStr">
        <is>
          <t>FILM-050</t>
        </is>
      </c>
      <c r="C115" s="5" t="inlineStr">
        <is>
          <t>Tawaif</t>
        </is>
      </c>
      <c r="D115" s="17" t="n">
        <v>1987</v>
      </c>
      <c r="E115" s="5" t="inlineStr">
        <is>
          <t>Filmfare Awards</t>
        </is>
      </c>
      <c r="F115" s="5" t="inlineStr">
        <is>
          <t>Best Actor</t>
        </is>
      </c>
      <c r="G115" s="5" t="inlineStr">
        <is>
          <t>Rishi Kapoor</t>
        </is>
      </c>
      <c r="H115" s="5" t="inlineStr">
        <is>
          <t>Actor</t>
        </is>
      </c>
      <c r="I115" s="5" t="inlineStr">
        <is>
          <t>Nomination</t>
        </is>
      </c>
      <c r="J115" s="5" t="inlineStr">
        <is>
          <t>Competitive</t>
        </is>
      </c>
      <c r="K115" s="5" t="inlineStr">
        <is>
          <t>His fourth Best Actor nomination, as the man who takes in a courtesan; one of two nominations he drew at the same ceremony's pair of Kapoor films, the other film being Saagar, for which he was not nominated.</t>
        </is>
      </c>
      <c r="L115" s="5" t="inlineStr">
        <is>
          <t>SOURCE-046; SOURCE-240; SOURCE-445</t>
        </is>
      </c>
      <c r="M115" s="5" t="inlineStr">
        <is>
          <t>High</t>
        </is>
      </c>
    </row>
    <row r="116" ht="19" customHeight="1">
      <c r="A116" s="15" t="inlineStr">
        <is>
          <t>AWARD-115</t>
        </is>
      </c>
      <c r="B116" s="18" t="inlineStr">
        <is>
          <t>FILM-050</t>
        </is>
      </c>
      <c r="C116" s="5" t="inlineStr">
        <is>
          <t>Tawaif</t>
        </is>
      </c>
      <c r="D116" s="17" t="n">
        <v>1987</v>
      </c>
      <c r="E116" s="5" t="inlineStr">
        <is>
          <t>Filmfare Awards</t>
        </is>
      </c>
      <c r="F116" s="5" t="inlineStr">
        <is>
          <t>Best Actress</t>
        </is>
      </c>
      <c r="G116" s="5" t="inlineStr">
        <is>
          <t>Rati Agnihotri</t>
        </is>
      </c>
      <c r="H116" s="5" t="inlineStr">
        <is>
          <t>Actress</t>
        </is>
      </c>
      <c r="I116" s="5" t="inlineStr">
        <is>
          <t>Nomination</t>
        </is>
      </c>
      <c r="J116" s="5" t="inlineStr">
        <is>
          <t>Competitive</t>
        </is>
      </c>
      <c r="K116" s="5" t="n"/>
      <c r="L116" s="5" t="inlineStr">
        <is>
          <t>SOURCE-046; SOURCE-445</t>
        </is>
      </c>
      <c r="M116" s="5" t="inlineStr">
        <is>
          <t>Medium</t>
        </is>
      </c>
    </row>
    <row r="117" ht="19" customHeight="1">
      <c r="A117" s="15" t="inlineStr">
        <is>
          <t>AWARD-116</t>
        </is>
      </c>
      <c r="B117" s="18" t="inlineStr">
        <is>
          <t>FILM-050</t>
        </is>
      </c>
      <c r="C117" s="5" t="inlineStr">
        <is>
          <t>Tawaif</t>
        </is>
      </c>
      <c r="D117" s="17" t="n">
        <v>1987</v>
      </c>
      <c r="E117" s="5" t="inlineStr">
        <is>
          <t>Filmfare Awards</t>
        </is>
      </c>
      <c r="F117" s="5" t="inlineStr">
        <is>
          <t>Best Supporting Actress</t>
        </is>
      </c>
      <c r="G117" s="5" t="inlineStr">
        <is>
          <t>Sushma Seth</t>
        </is>
      </c>
      <c r="H117" s="5" t="inlineStr">
        <is>
          <t>Actress</t>
        </is>
      </c>
      <c r="I117" s="5" t="inlineStr">
        <is>
          <t>Nomination</t>
        </is>
      </c>
      <c r="J117" s="5" t="inlineStr">
        <is>
          <t>Competitive</t>
        </is>
      </c>
      <c r="K117" s="5" t="n"/>
      <c r="L117" s="5" t="inlineStr">
        <is>
          <t>SOURCE-046; SOURCE-445</t>
        </is>
      </c>
      <c r="M117" s="5" t="inlineStr">
        <is>
          <t>Medium</t>
        </is>
      </c>
    </row>
    <row r="118" ht="19" customHeight="1">
      <c r="A118" s="15" t="inlineStr">
        <is>
          <t>AWARD-117</t>
        </is>
      </c>
      <c r="B118" s="18" t="inlineStr">
        <is>
          <t>FILM-050</t>
        </is>
      </c>
      <c r="C118" s="5" t="inlineStr">
        <is>
          <t>Tawaif</t>
        </is>
      </c>
      <c r="D118" s="17" t="n">
        <v>1987</v>
      </c>
      <c r="E118" s="5" t="inlineStr">
        <is>
          <t>Filmfare Awards</t>
        </is>
      </c>
      <c r="F118" s="5" t="inlineStr">
        <is>
          <t>Best Lyricist</t>
        </is>
      </c>
      <c r="G118" s="5" t="inlineStr">
        <is>
          <t>Hasan Kamal</t>
        </is>
      </c>
      <c r="H118" s="5" t="inlineStr">
        <is>
          <t>Lyricist</t>
        </is>
      </c>
      <c r="I118" s="5" t="inlineStr">
        <is>
          <t>Nomination</t>
        </is>
      </c>
      <c r="J118" s="5" t="inlineStr">
        <is>
          <t>Competitive</t>
        </is>
      </c>
      <c r="K118" s="5" t="inlineStr">
        <is>
          <t>For "Bohot Der Se".</t>
        </is>
      </c>
      <c r="L118" s="5" t="inlineStr">
        <is>
          <t>SOURCE-046; SOURCE-445</t>
        </is>
      </c>
      <c r="M118" s="5" t="inlineStr">
        <is>
          <t>Medium</t>
        </is>
      </c>
    </row>
    <row r="119" ht="64" customHeight="1">
      <c r="A119" s="15" t="inlineStr">
        <is>
          <t>AWARD-118</t>
        </is>
      </c>
      <c r="B119" s="18" t="inlineStr">
        <is>
          <t>FILM-065</t>
        </is>
      </c>
      <c r="C119" s="5" t="inlineStr">
        <is>
          <t>Vijay</t>
        </is>
      </c>
      <c r="D119" s="17" t="n">
        <v>1989</v>
      </c>
      <c r="E119" s="5" t="inlineStr">
        <is>
          <t>Filmfare Awards</t>
        </is>
      </c>
      <c r="F119" s="5" t="inlineStr">
        <is>
          <t>Best Supporting Actor</t>
        </is>
      </c>
      <c r="G119" s="5" t="inlineStr">
        <is>
          <t>Anupam Kher</t>
        </is>
      </c>
      <c r="H119" s="5" t="inlineStr">
        <is>
          <t>Actor</t>
        </is>
      </c>
      <c r="I119" s="5" t="inlineStr">
        <is>
          <t>Win</t>
        </is>
      </c>
      <c r="J119" s="5" t="inlineStr">
        <is>
          <t>Competitive</t>
        </is>
      </c>
      <c r="K119" s="5" t="inlineStr">
        <is>
          <t>34th Filmfare Awards, held in 1989 after a two-year gap. Vijay's only nomination and its only win. Kapoor plays a supporting role.</t>
        </is>
      </c>
      <c r="L119" s="5" t="inlineStr">
        <is>
          <t>SOURCE-062; SOURCE-446</t>
        </is>
      </c>
      <c r="M119" s="5" t="inlineStr">
        <is>
          <t>Medium</t>
        </is>
      </c>
    </row>
    <row r="120" ht="64" customHeight="1">
      <c r="A120" s="15" t="inlineStr">
        <is>
          <t>AWARD-119</t>
        </is>
      </c>
      <c r="B120" s="18" t="inlineStr">
        <is>
          <t>FILM-074</t>
        </is>
      </c>
      <c r="C120" s="5" t="inlineStr">
        <is>
          <t>Chandni</t>
        </is>
      </c>
      <c r="D120" s="17" t="n">
        <v>1990</v>
      </c>
      <c r="E120" s="5" t="inlineStr">
        <is>
          <t>National Film Awards</t>
        </is>
      </c>
      <c r="F120" s="5" t="inlineStr">
        <is>
          <t>Best Popular Film Providing Wholesome Entertainment</t>
        </is>
      </c>
      <c r="G120" s="5" t="inlineStr">
        <is>
          <t>Yash Chopra and T. Subbarami Reddy</t>
        </is>
      </c>
      <c r="H120" s="5" t="inlineStr">
        <is>
          <t>Producer</t>
        </is>
      </c>
      <c r="I120" s="5" t="inlineStr">
        <is>
          <t>Win</t>
        </is>
      </c>
      <c r="J120" s="5" t="inlineStr">
        <is>
          <t>Competitive</t>
        </is>
      </c>
      <c r="K120" s="5" t="inlineStr">
        <is>
          <t>37th National Film Awards, presented in May 1990. The only National Film Award won by a film in which Kapoor plays a romantic lead.</t>
        </is>
      </c>
      <c r="L120" s="5" t="inlineStr">
        <is>
          <t>SOURCE-067; SOURCE-447</t>
        </is>
      </c>
      <c r="M120" s="5" t="inlineStr">
        <is>
          <t>Medium</t>
        </is>
      </c>
    </row>
    <row r="121" ht="49" customHeight="1">
      <c r="A121" s="15" t="inlineStr">
        <is>
          <t>AWARD-120</t>
        </is>
      </c>
      <c r="B121" s="18" t="inlineStr">
        <is>
          <t>FILM-074</t>
        </is>
      </c>
      <c r="C121" s="5" t="inlineStr">
        <is>
          <t>Chandni</t>
        </is>
      </c>
      <c r="D121" s="17" t="n">
        <v>1990</v>
      </c>
      <c r="E121" s="5" t="inlineStr">
        <is>
          <t>Filmfare Awards</t>
        </is>
      </c>
      <c r="F121" s="5" t="inlineStr">
        <is>
          <t>Best Cinematography</t>
        </is>
      </c>
      <c r="G121" s="5" t="inlineStr">
        <is>
          <t>Manmohan Singh</t>
        </is>
      </c>
      <c r="H121" s="5" t="inlineStr">
        <is>
          <t>Cinematographer</t>
        </is>
      </c>
      <c r="I121" s="5" t="inlineStr">
        <is>
          <t>Win</t>
        </is>
      </c>
      <c r="J121" s="5" t="inlineStr">
        <is>
          <t>Competitive</t>
        </is>
      </c>
      <c r="K121" s="5" t="inlineStr">
        <is>
          <t>35th Filmfare Awards, held 1990. Chandni took 10 nominations, second only to Maine Pyar Kiya, and converted just this one.</t>
        </is>
      </c>
      <c r="L121" s="5" t="inlineStr">
        <is>
          <t>SOURCE-067; SOURCE-448</t>
        </is>
      </c>
      <c r="M121" s="5" t="inlineStr">
        <is>
          <t>Medium</t>
        </is>
      </c>
    </row>
    <row r="122" ht="34" customHeight="1">
      <c r="A122" s="15" t="inlineStr">
        <is>
          <t>AWARD-121</t>
        </is>
      </c>
      <c r="B122" s="18" t="inlineStr">
        <is>
          <t>FILM-074</t>
        </is>
      </c>
      <c r="C122" s="5" t="inlineStr">
        <is>
          <t>Chandni</t>
        </is>
      </c>
      <c r="D122" s="17" t="n">
        <v>1990</v>
      </c>
      <c r="E122" s="5" t="inlineStr">
        <is>
          <t>Filmfare Awards</t>
        </is>
      </c>
      <c r="F122" s="5" t="inlineStr">
        <is>
          <t>Best Film</t>
        </is>
      </c>
      <c r="G122" s="5" t="inlineStr">
        <is>
          <t>Yash Chopra and T. Subbarami Reddy</t>
        </is>
      </c>
      <c r="H122" s="5" t="inlineStr">
        <is>
          <t>Producer</t>
        </is>
      </c>
      <c r="I122" s="5" t="inlineStr">
        <is>
          <t>Nomination</t>
        </is>
      </c>
      <c r="J122" s="5" t="inlineStr">
        <is>
          <t>Competitive</t>
        </is>
      </c>
      <c r="K122" s="5" t="n"/>
      <c r="L122" s="5" t="inlineStr">
        <is>
          <t>SOURCE-067; SOURCE-448</t>
        </is>
      </c>
      <c r="M122" s="5" t="inlineStr">
        <is>
          <t>Medium</t>
        </is>
      </c>
    </row>
    <row r="123" ht="19" customHeight="1">
      <c r="A123" s="15" t="inlineStr">
        <is>
          <t>AWARD-122</t>
        </is>
      </c>
      <c r="B123" s="18" t="inlineStr">
        <is>
          <t>FILM-074</t>
        </is>
      </c>
      <c r="C123" s="5" t="inlineStr">
        <is>
          <t>Chandni</t>
        </is>
      </c>
      <c r="D123" s="17" t="n">
        <v>1990</v>
      </c>
      <c r="E123" s="5" t="inlineStr">
        <is>
          <t>Filmfare Awards</t>
        </is>
      </c>
      <c r="F123" s="5" t="inlineStr">
        <is>
          <t>Best Director</t>
        </is>
      </c>
      <c r="G123" s="5" t="inlineStr">
        <is>
          <t>Yash Chopra</t>
        </is>
      </c>
      <c r="H123" s="5" t="inlineStr">
        <is>
          <t>Director</t>
        </is>
      </c>
      <c r="I123" s="5" t="inlineStr">
        <is>
          <t>Nomination</t>
        </is>
      </c>
      <c r="J123" s="5" t="inlineStr">
        <is>
          <t>Competitive</t>
        </is>
      </c>
      <c r="K123" s="5" t="n"/>
      <c r="L123" s="5" t="inlineStr">
        <is>
          <t>SOURCE-067; SOURCE-448</t>
        </is>
      </c>
      <c r="M123" s="5" t="inlineStr">
        <is>
          <t>Medium</t>
        </is>
      </c>
    </row>
    <row r="124" ht="64" customHeight="1">
      <c r="A124" s="15" t="inlineStr">
        <is>
          <t>AWARD-123</t>
        </is>
      </c>
      <c r="B124" s="18" t="inlineStr">
        <is>
          <t>FILM-074</t>
        </is>
      </c>
      <c r="C124" s="5" t="inlineStr">
        <is>
          <t>Chandni</t>
        </is>
      </c>
      <c r="D124" s="17" t="n">
        <v>1990</v>
      </c>
      <c r="E124" s="5" t="inlineStr">
        <is>
          <t>Filmfare Awards</t>
        </is>
      </c>
      <c r="F124" s="5" t="inlineStr">
        <is>
          <t>Best Actor</t>
        </is>
      </c>
      <c r="G124" s="5" t="inlineStr">
        <is>
          <t>Rishi Kapoor</t>
        </is>
      </c>
      <c r="H124" s="5" t="inlineStr">
        <is>
          <t>Actor</t>
        </is>
      </c>
      <c r="I124" s="5" t="inlineStr">
        <is>
          <t>Nomination</t>
        </is>
      </c>
      <c r="J124" s="5" t="inlineStr">
        <is>
          <t>Competitive</t>
        </is>
      </c>
      <c r="K124" s="5" t="inlineStr">
        <is>
          <t>His fifth and last Filmfare Best Actor nomination, and the end of the run of lead nominations that began with Bobby sixteen years earlier.</t>
        </is>
      </c>
      <c r="L124" s="5" t="inlineStr">
        <is>
          <t>SOURCE-067; SOURCE-240; SOURCE-448</t>
        </is>
      </c>
      <c r="M124" s="5" t="inlineStr">
        <is>
          <t>High</t>
        </is>
      </c>
    </row>
    <row r="125" ht="34" customHeight="1">
      <c r="A125" s="15" t="inlineStr">
        <is>
          <t>AWARD-124</t>
        </is>
      </c>
      <c r="B125" s="18" t="inlineStr">
        <is>
          <t>FILM-074</t>
        </is>
      </c>
      <c r="C125" s="5" t="inlineStr">
        <is>
          <t>Chandni</t>
        </is>
      </c>
      <c r="D125" s="17" t="n">
        <v>1990</v>
      </c>
      <c r="E125" s="5" t="inlineStr">
        <is>
          <t>Filmfare Awards</t>
        </is>
      </c>
      <c r="F125" s="5" t="inlineStr">
        <is>
          <t>Best Actress</t>
        </is>
      </c>
      <c r="G125" s="5" t="inlineStr">
        <is>
          <t>Sridevi</t>
        </is>
      </c>
      <c r="H125" s="5" t="inlineStr">
        <is>
          <t>Actress</t>
        </is>
      </c>
      <c r="I125" s="5" t="inlineStr">
        <is>
          <t>Nomination</t>
        </is>
      </c>
      <c r="J125" s="5" t="inlineStr">
        <is>
          <t>Competitive</t>
        </is>
      </c>
      <c r="K125" s="5" t="inlineStr">
        <is>
          <t>One of her two Best Actress nominations that year; she won for Chaalbaaz instead.</t>
        </is>
      </c>
      <c r="L125" s="5" t="inlineStr">
        <is>
          <t>SOURCE-067; SOURCE-448</t>
        </is>
      </c>
      <c r="M125" s="5" t="inlineStr">
        <is>
          <t>Medium</t>
        </is>
      </c>
    </row>
    <row r="126" ht="34" customHeight="1">
      <c r="A126" s="15" t="inlineStr">
        <is>
          <t>AWARD-125</t>
        </is>
      </c>
      <c r="B126" s="18" t="inlineStr">
        <is>
          <t>FILM-074</t>
        </is>
      </c>
      <c r="C126" s="5" t="inlineStr">
        <is>
          <t>Chandni</t>
        </is>
      </c>
      <c r="D126" s="17" t="n">
        <v>1990</v>
      </c>
      <c r="E126" s="5" t="inlineStr">
        <is>
          <t>Filmfare Awards</t>
        </is>
      </c>
      <c r="F126" s="5" t="inlineStr">
        <is>
          <t>Best Supporting Actor</t>
        </is>
      </c>
      <c r="G126" s="5" t="inlineStr">
        <is>
          <t>Vinod Khanna</t>
        </is>
      </c>
      <c r="H126" s="5" t="inlineStr">
        <is>
          <t>Actor</t>
        </is>
      </c>
      <c r="I126" s="5" t="inlineStr">
        <is>
          <t>Nomination</t>
        </is>
      </c>
      <c r="J126" s="5" t="inlineStr">
        <is>
          <t>Competitive</t>
        </is>
      </c>
      <c r="K126" s="5" t="inlineStr">
        <is>
          <t>As Lalit, the second man in the film's triangle.</t>
        </is>
      </c>
      <c r="L126" s="5" t="inlineStr">
        <is>
          <t>SOURCE-067; SOURCE-448</t>
        </is>
      </c>
      <c r="M126" s="5" t="inlineStr">
        <is>
          <t>Medium</t>
        </is>
      </c>
    </row>
    <row r="127" ht="19" customHeight="1">
      <c r="A127" s="15" t="inlineStr">
        <is>
          <t>AWARD-126</t>
        </is>
      </c>
      <c r="B127" s="18" t="inlineStr">
        <is>
          <t>FILM-074</t>
        </is>
      </c>
      <c r="C127" s="5" t="inlineStr">
        <is>
          <t>Chandni</t>
        </is>
      </c>
      <c r="D127" s="17" t="n">
        <v>1990</v>
      </c>
      <c r="E127" s="5" t="inlineStr">
        <is>
          <t>Filmfare Awards</t>
        </is>
      </c>
      <c r="F127" s="5" t="inlineStr">
        <is>
          <t>Best Supporting Actress</t>
        </is>
      </c>
      <c r="G127" s="5" t="inlineStr">
        <is>
          <t>Waheeda Rehman</t>
        </is>
      </c>
      <c r="H127" s="5" t="inlineStr">
        <is>
          <t>Actress</t>
        </is>
      </c>
      <c r="I127" s="5" t="inlineStr">
        <is>
          <t>Nomination</t>
        </is>
      </c>
      <c r="J127" s="5" t="inlineStr">
        <is>
          <t>Competitive</t>
        </is>
      </c>
      <c r="K127" s="5" t="n"/>
      <c r="L127" s="5" t="inlineStr">
        <is>
          <t>SOURCE-067; SOURCE-448</t>
        </is>
      </c>
      <c r="M127" s="5" t="inlineStr">
        <is>
          <t>Medium</t>
        </is>
      </c>
    </row>
    <row r="128" ht="19" customHeight="1">
      <c r="A128" s="15" t="inlineStr">
        <is>
          <t>AWARD-127</t>
        </is>
      </c>
      <c r="B128" s="18" t="inlineStr">
        <is>
          <t>FILM-074</t>
        </is>
      </c>
      <c r="C128" s="5" t="inlineStr">
        <is>
          <t>Chandni</t>
        </is>
      </c>
      <c r="D128" s="17" t="n">
        <v>1990</v>
      </c>
      <c r="E128" s="5" t="inlineStr">
        <is>
          <t>Filmfare Awards</t>
        </is>
      </c>
      <c r="F128" s="5" t="inlineStr">
        <is>
          <t>Best Music Director</t>
        </is>
      </c>
      <c r="G128" s="5" t="inlineStr">
        <is>
          <t>Shiv–Hari</t>
        </is>
      </c>
      <c r="H128" s="5" t="inlineStr">
        <is>
          <t>Music director</t>
        </is>
      </c>
      <c r="I128" s="5" t="inlineStr">
        <is>
          <t>Nomination</t>
        </is>
      </c>
      <c r="J128" s="5" t="inlineStr">
        <is>
          <t>Competitive</t>
        </is>
      </c>
      <c r="K128" s="5" t="n"/>
      <c r="L128" s="5" t="inlineStr">
        <is>
          <t>SOURCE-067; SOURCE-448</t>
        </is>
      </c>
      <c r="M128" s="5" t="inlineStr">
        <is>
          <t>Medium</t>
        </is>
      </c>
    </row>
    <row r="129" ht="19" customHeight="1">
      <c r="A129" s="15" t="inlineStr">
        <is>
          <t>AWARD-128</t>
        </is>
      </c>
      <c r="B129" s="18" t="inlineStr">
        <is>
          <t>FILM-074</t>
        </is>
      </c>
      <c r="C129" s="5" t="inlineStr">
        <is>
          <t>Chandni</t>
        </is>
      </c>
      <c r="D129" s="17" t="n">
        <v>1990</v>
      </c>
      <c r="E129" s="5" t="inlineStr">
        <is>
          <t>Filmfare Awards</t>
        </is>
      </c>
      <c r="F129" s="5" t="inlineStr">
        <is>
          <t>Best Lyricist</t>
        </is>
      </c>
      <c r="G129" s="5" t="inlineStr">
        <is>
          <t>Anand Bakshi</t>
        </is>
      </c>
      <c r="H129" s="5" t="inlineStr">
        <is>
          <t>Lyricist</t>
        </is>
      </c>
      <c r="I129" s="5" t="inlineStr">
        <is>
          <t>Nomination</t>
        </is>
      </c>
      <c r="J129" s="5" t="inlineStr">
        <is>
          <t>Competitive</t>
        </is>
      </c>
      <c r="K129" s="5" t="inlineStr">
        <is>
          <t>For "Lagi Aaj Sawan Ki".</t>
        </is>
      </c>
      <c r="L129" s="5" t="inlineStr">
        <is>
          <t>SOURCE-067; SOURCE-448</t>
        </is>
      </c>
      <c r="M129" s="5" t="inlineStr">
        <is>
          <t>Medium</t>
        </is>
      </c>
    </row>
    <row r="130" ht="19" customHeight="1">
      <c r="A130" s="15" t="inlineStr">
        <is>
          <t>AWARD-129</t>
        </is>
      </c>
      <c r="B130" s="18" t="inlineStr">
        <is>
          <t>FILM-074</t>
        </is>
      </c>
      <c r="C130" s="5" t="inlineStr">
        <is>
          <t>Chandni</t>
        </is>
      </c>
      <c r="D130" s="17" t="n">
        <v>1990</v>
      </c>
      <c r="E130" s="5" t="inlineStr">
        <is>
          <t>Filmfare Awards</t>
        </is>
      </c>
      <c r="F130" s="5" t="inlineStr">
        <is>
          <t>Best Male Playback Singer</t>
        </is>
      </c>
      <c r="G130" s="5" t="inlineStr">
        <is>
          <t>Suresh Wadkar</t>
        </is>
      </c>
      <c r="H130" s="5" t="inlineStr">
        <is>
          <t>Playback singer</t>
        </is>
      </c>
      <c r="I130" s="5" t="inlineStr">
        <is>
          <t>Nomination</t>
        </is>
      </c>
      <c r="J130" s="5" t="inlineStr">
        <is>
          <t>Competitive</t>
        </is>
      </c>
      <c r="K130" s="5" t="inlineStr">
        <is>
          <t>For "Lagi Aaj Sawan Ki", sung for Kapoor.</t>
        </is>
      </c>
      <c r="L130" s="5" t="inlineStr">
        <is>
          <t>SOURCE-067; SOURCE-448</t>
        </is>
      </c>
      <c r="M130" s="5" t="inlineStr">
        <is>
          <t>Medium</t>
        </is>
      </c>
    </row>
    <row r="131" ht="64" customHeight="1">
      <c r="A131" s="15" t="inlineStr">
        <is>
          <t>AWARD-130</t>
        </is>
      </c>
      <c r="B131" s="18" t="inlineStr">
        <is>
          <t>FILM-081</t>
        </is>
      </c>
      <c r="C131" s="5" t="inlineStr">
        <is>
          <t>Henna</t>
        </is>
      </c>
      <c r="D131" s="17" t="n">
        <v>1992</v>
      </c>
      <c r="E131" s="5" t="inlineStr">
        <is>
          <t>Filmfare Awards</t>
        </is>
      </c>
      <c r="F131" s="5" t="inlineStr">
        <is>
          <t>Best Supporting Actress</t>
        </is>
      </c>
      <c r="G131" s="5" t="inlineStr">
        <is>
          <t>Farida Jalal</t>
        </is>
      </c>
      <c r="H131" s="5" t="inlineStr">
        <is>
          <t>Actress</t>
        </is>
      </c>
      <c r="I131" s="5" t="inlineStr">
        <is>
          <t>Win</t>
        </is>
      </c>
      <c r="J131" s="5" t="inlineStr">
        <is>
          <t>Competitive</t>
        </is>
      </c>
      <c r="K131" s="5" t="inlineStr">
        <is>
          <t>37th Filmfare Awards, held 1992. Henna took 8 nominations and won 2. The film was begun by Kapoor's father Raj Kapoor and completed after his death by his brother Randhir.</t>
        </is>
      </c>
      <c r="L131" s="5" t="inlineStr">
        <is>
          <t>SOURCE-076; SOURCE-449</t>
        </is>
      </c>
      <c r="M131" s="5" t="inlineStr">
        <is>
          <t>Medium</t>
        </is>
      </c>
    </row>
    <row r="132" ht="49" customHeight="1">
      <c r="A132" s="15" t="inlineStr">
        <is>
          <t>AWARD-131</t>
        </is>
      </c>
      <c r="B132" s="18" t="inlineStr">
        <is>
          <t>FILM-081</t>
        </is>
      </c>
      <c r="C132" s="5" t="inlineStr">
        <is>
          <t>Henna</t>
        </is>
      </c>
      <c r="D132" s="17" t="n">
        <v>1992</v>
      </c>
      <c r="E132" s="5" t="inlineStr">
        <is>
          <t>Filmfare Awards</t>
        </is>
      </c>
      <c r="F132" s="5" t="inlineStr">
        <is>
          <t>Best Cinematography</t>
        </is>
      </c>
      <c r="G132" s="5" t="inlineStr">
        <is>
          <t>Radhu Karmakar</t>
        </is>
      </c>
      <c r="H132" s="5" t="inlineStr">
        <is>
          <t>Cinematographer</t>
        </is>
      </c>
      <c r="I132" s="5" t="inlineStr">
        <is>
          <t>Win</t>
        </is>
      </c>
      <c r="J132" s="5" t="inlineStr">
        <is>
          <t>Competitive</t>
        </is>
      </c>
      <c r="K132" s="5" t="inlineStr">
        <is>
          <t>Karmakar's third award connected to a Kapoor film, after Shree 420 and Mera Naam Joker.</t>
        </is>
      </c>
      <c r="L132" s="5" t="inlineStr">
        <is>
          <t>SOURCE-076; SOURCE-449</t>
        </is>
      </c>
      <c r="M132" s="5" t="inlineStr">
        <is>
          <t>Medium</t>
        </is>
      </c>
    </row>
    <row r="133" ht="34" customHeight="1">
      <c r="A133" s="15" t="inlineStr">
        <is>
          <t>AWARD-132</t>
        </is>
      </c>
      <c r="B133" s="18" t="inlineStr">
        <is>
          <t>FILM-081</t>
        </is>
      </c>
      <c r="C133" s="5" t="inlineStr">
        <is>
          <t>Henna</t>
        </is>
      </c>
      <c r="D133" s="17" t="n">
        <v>1992</v>
      </c>
      <c r="E133" s="5" t="inlineStr">
        <is>
          <t>Filmfare Awards</t>
        </is>
      </c>
      <c r="F133" s="5" t="inlineStr">
        <is>
          <t>Best Film</t>
        </is>
      </c>
      <c r="G133" s="5" t="inlineStr">
        <is>
          <t>Randhir Kapoor and Rajiv Kapoor</t>
        </is>
      </c>
      <c r="H133" s="5" t="inlineStr">
        <is>
          <t>Producer</t>
        </is>
      </c>
      <c r="I133" s="5" t="inlineStr">
        <is>
          <t>Nomination</t>
        </is>
      </c>
      <c r="J133" s="5" t="inlineStr">
        <is>
          <t>Competitive</t>
        </is>
      </c>
      <c r="K133" s="5" t="n"/>
      <c r="L133" s="5" t="inlineStr">
        <is>
          <t>SOURCE-076; SOURCE-449</t>
        </is>
      </c>
      <c r="M133" s="5" t="inlineStr">
        <is>
          <t>Medium</t>
        </is>
      </c>
    </row>
    <row r="134" ht="19" customHeight="1">
      <c r="A134" s="15" t="inlineStr">
        <is>
          <t>AWARD-133</t>
        </is>
      </c>
      <c r="B134" s="18" t="inlineStr">
        <is>
          <t>FILM-081</t>
        </is>
      </c>
      <c r="C134" s="5" t="inlineStr">
        <is>
          <t>Henna</t>
        </is>
      </c>
      <c r="D134" s="17" t="n">
        <v>1992</v>
      </c>
      <c r="E134" s="5" t="inlineStr">
        <is>
          <t>Filmfare Awards</t>
        </is>
      </c>
      <c r="F134" s="5" t="inlineStr">
        <is>
          <t>Best Director</t>
        </is>
      </c>
      <c r="G134" s="5" t="inlineStr">
        <is>
          <t>Randhir Kapoor</t>
        </is>
      </c>
      <c r="H134" s="5" t="inlineStr">
        <is>
          <t>Director</t>
        </is>
      </c>
      <c r="I134" s="5" t="inlineStr">
        <is>
          <t>Nomination</t>
        </is>
      </c>
      <c r="J134" s="5" t="inlineStr">
        <is>
          <t>Competitive</t>
        </is>
      </c>
      <c r="K134" s="5" t="inlineStr">
        <is>
          <t>Kapoor's elder brother, directing him.</t>
        </is>
      </c>
      <c r="L134" s="5" t="inlineStr">
        <is>
          <t>SOURCE-076; SOURCE-449</t>
        </is>
      </c>
      <c r="M134" s="5" t="inlineStr">
        <is>
          <t>Medium</t>
        </is>
      </c>
    </row>
    <row r="135" ht="34" customHeight="1">
      <c r="A135" s="15" t="inlineStr">
        <is>
          <t>AWARD-134</t>
        </is>
      </c>
      <c r="B135" s="18" t="inlineStr">
        <is>
          <t>FILM-081</t>
        </is>
      </c>
      <c r="C135" s="5" t="inlineStr">
        <is>
          <t>Henna</t>
        </is>
      </c>
      <c r="D135" s="17" t="n">
        <v>1992</v>
      </c>
      <c r="E135" s="5" t="inlineStr">
        <is>
          <t>Filmfare Awards</t>
        </is>
      </c>
      <c r="F135" s="5" t="inlineStr">
        <is>
          <t>Best Actress</t>
        </is>
      </c>
      <c r="G135" s="5" t="inlineStr">
        <is>
          <t>Zeba Bakhtiar</t>
        </is>
      </c>
      <c r="H135" s="5" t="inlineStr">
        <is>
          <t>Actress</t>
        </is>
      </c>
      <c r="I135" s="5" t="inlineStr">
        <is>
          <t>Nomination</t>
        </is>
      </c>
      <c r="J135" s="5" t="inlineStr">
        <is>
          <t>Competitive</t>
        </is>
      </c>
      <c r="K135" s="5" t="inlineStr">
        <is>
          <t>The Pakistani actress cast in the title role, opposite Kapoor.</t>
        </is>
      </c>
      <c r="L135" s="5" t="inlineStr">
        <is>
          <t>SOURCE-076; SOURCE-449</t>
        </is>
      </c>
      <c r="M135" s="5" t="inlineStr">
        <is>
          <t>Medium</t>
        </is>
      </c>
    </row>
    <row r="136" ht="19" customHeight="1">
      <c r="A136" s="15" t="inlineStr">
        <is>
          <t>AWARD-135</t>
        </is>
      </c>
      <c r="B136" s="18" t="inlineStr">
        <is>
          <t>FILM-081</t>
        </is>
      </c>
      <c r="C136" s="5" t="inlineStr">
        <is>
          <t>Henna</t>
        </is>
      </c>
      <c r="D136" s="17" t="n">
        <v>1992</v>
      </c>
      <c r="E136" s="5" t="inlineStr">
        <is>
          <t>Filmfare Awards</t>
        </is>
      </c>
      <c r="F136" s="5" t="inlineStr">
        <is>
          <t>Best Supporting Actor</t>
        </is>
      </c>
      <c r="G136" s="5" t="inlineStr">
        <is>
          <t>Saeed Jaffrey</t>
        </is>
      </c>
      <c r="H136" s="5" t="inlineStr">
        <is>
          <t>Actor</t>
        </is>
      </c>
      <c r="I136" s="5" t="inlineStr">
        <is>
          <t>Nomination</t>
        </is>
      </c>
      <c r="J136" s="5" t="inlineStr">
        <is>
          <t>Competitive</t>
        </is>
      </c>
      <c r="K136" s="5" t="n"/>
      <c r="L136" s="5" t="inlineStr">
        <is>
          <t>SOURCE-076; SOURCE-449</t>
        </is>
      </c>
      <c r="M136" s="5" t="inlineStr">
        <is>
          <t>Medium</t>
        </is>
      </c>
    </row>
    <row r="137" ht="19" customHeight="1">
      <c r="A137" s="15" t="inlineStr">
        <is>
          <t>AWARD-136</t>
        </is>
      </c>
      <c r="B137" s="18" t="inlineStr">
        <is>
          <t>FILM-081</t>
        </is>
      </c>
      <c r="C137" s="5" t="inlineStr">
        <is>
          <t>Henna</t>
        </is>
      </c>
      <c r="D137" s="17" t="n">
        <v>1992</v>
      </c>
      <c r="E137" s="5" t="inlineStr">
        <is>
          <t>Filmfare Awards</t>
        </is>
      </c>
      <c r="F137" s="5" t="inlineStr">
        <is>
          <t>Best Female Debut</t>
        </is>
      </c>
      <c r="G137" s="5" t="inlineStr">
        <is>
          <t>Zeba Bakhtiar</t>
        </is>
      </c>
      <c r="H137" s="5" t="inlineStr">
        <is>
          <t>Actress</t>
        </is>
      </c>
      <c r="I137" s="5" t="inlineStr">
        <is>
          <t>Nomination</t>
        </is>
      </c>
      <c r="J137" s="5" t="inlineStr">
        <is>
          <t>Competitive</t>
        </is>
      </c>
      <c r="K137" s="5" t="n"/>
      <c r="L137" s="5" t="inlineStr">
        <is>
          <t>SOURCE-076; SOURCE-449</t>
        </is>
      </c>
      <c r="M137" s="5" t="inlineStr">
        <is>
          <t>Medium</t>
        </is>
      </c>
    </row>
    <row r="138" ht="19" customHeight="1">
      <c r="A138" s="15" t="inlineStr">
        <is>
          <t>AWARD-137</t>
        </is>
      </c>
      <c r="B138" s="18" t="inlineStr">
        <is>
          <t>FILM-081</t>
        </is>
      </c>
      <c r="C138" s="5" t="inlineStr">
        <is>
          <t>Henna</t>
        </is>
      </c>
      <c r="D138" s="17" t="n">
        <v>1992</v>
      </c>
      <c r="E138" s="5" t="inlineStr">
        <is>
          <t>Filmfare Awards</t>
        </is>
      </c>
      <c r="F138" s="5" t="inlineStr">
        <is>
          <t>Best Lyricist</t>
        </is>
      </c>
      <c r="G138" s="5" t="inlineStr">
        <is>
          <t>Ravindra Jain</t>
        </is>
      </c>
      <c r="H138" s="5" t="inlineStr">
        <is>
          <t>Lyricist</t>
        </is>
      </c>
      <c r="I138" s="5" t="inlineStr">
        <is>
          <t>Nomination</t>
        </is>
      </c>
      <c r="J138" s="5" t="inlineStr">
        <is>
          <t>Competitive</t>
        </is>
      </c>
      <c r="K138" s="5" t="inlineStr">
        <is>
          <t>For "Main Hoon Khush Rang Henna".</t>
        </is>
      </c>
      <c r="L138" s="5" t="inlineStr">
        <is>
          <t>SOURCE-076; SOURCE-449</t>
        </is>
      </c>
      <c r="M138" s="5" t="inlineStr">
        <is>
          <t>Medium</t>
        </is>
      </c>
    </row>
    <row r="139" ht="79" customHeight="1">
      <c r="A139" s="15" t="inlineStr">
        <is>
          <t>AWARD-138</t>
        </is>
      </c>
      <c r="B139" s="18" t="inlineStr">
        <is>
          <t>FILM-087</t>
        </is>
      </c>
      <c r="C139" s="5" t="inlineStr">
        <is>
          <t>Deewana</t>
        </is>
      </c>
      <c r="D139" s="17" t="n">
        <v>1993</v>
      </c>
      <c r="E139" s="5" t="inlineStr">
        <is>
          <t>Filmfare Awards</t>
        </is>
      </c>
      <c r="F139" s="5" t="inlineStr">
        <is>
          <t>Best Male Debut</t>
        </is>
      </c>
      <c r="G139" s="5" t="inlineStr">
        <is>
          <t>Shah Rukh Khan</t>
        </is>
      </c>
      <c r="H139" s="5" t="inlineStr">
        <is>
          <t>Actor</t>
        </is>
      </c>
      <c r="I139" s="5" t="inlineStr">
        <is>
          <t>Win</t>
        </is>
      </c>
      <c r="J139" s="5" t="inlineStr">
        <is>
          <t>Competitive</t>
        </is>
      </c>
      <c r="K139" s="5" t="inlineStr">
        <is>
          <t>38th Filmfare Awards, held 1993. Deewana took 9 nominations and won 5, tying Beta as the night's most-awarded film. Kapoor is the film's first-half lead and Khan, in his debut, the second.</t>
        </is>
      </c>
      <c r="L139" s="5" t="inlineStr">
        <is>
          <t>SOURCE-081; SOURCE-450</t>
        </is>
      </c>
      <c r="M139" s="5" t="inlineStr">
        <is>
          <t>High</t>
        </is>
      </c>
    </row>
    <row r="140" ht="64" customHeight="1">
      <c r="A140" s="15" t="inlineStr">
        <is>
          <t>AWARD-139</t>
        </is>
      </c>
      <c r="B140" s="18" t="inlineStr">
        <is>
          <t>FILM-087</t>
        </is>
      </c>
      <c r="C140" s="5" t="inlineStr">
        <is>
          <t>Deewana</t>
        </is>
      </c>
      <c r="D140" s="17" t="n">
        <v>1993</v>
      </c>
      <c r="E140" s="5" t="inlineStr">
        <is>
          <t>Filmfare Awards</t>
        </is>
      </c>
      <c r="F140" s="5" t="inlineStr">
        <is>
          <t>Best Female Debut</t>
        </is>
      </c>
      <c r="G140" s="5" t="inlineStr">
        <is>
          <t>Divya Bharti</t>
        </is>
      </c>
      <c r="H140" s="5" t="inlineStr">
        <is>
          <t>Actress</t>
        </is>
      </c>
      <c r="I140" s="5" t="inlineStr">
        <is>
          <t>Win</t>
        </is>
      </c>
      <c r="J140" s="5" t="inlineStr">
        <is>
          <t>Competitive</t>
        </is>
      </c>
      <c r="K140" s="5" t="inlineStr">
        <is>
          <t>The film's own article records this win under the name Face of the Year; the ceremony article places her as the Best Female Debut winner.</t>
        </is>
      </c>
      <c r="L140" s="5" t="inlineStr">
        <is>
          <t>SOURCE-081; SOURCE-450</t>
        </is>
      </c>
      <c r="M140" s="5" t="inlineStr">
        <is>
          <t>Medium</t>
        </is>
      </c>
    </row>
    <row r="141" ht="19" customHeight="1">
      <c r="A141" s="15" t="inlineStr">
        <is>
          <t>AWARD-140</t>
        </is>
      </c>
      <c r="B141" s="18" t="inlineStr">
        <is>
          <t>FILM-087</t>
        </is>
      </c>
      <c r="C141" s="5" t="inlineStr">
        <is>
          <t>Deewana</t>
        </is>
      </c>
      <c r="D141" s="17" t="n">
        <v>1993</v>
      </c>
      <c r="E141" s="5" t="inlineStr">
        <is>
          <t>Filmfare Awards</t>
        </is>
      </c>
      <c r="F141" s="5" t="inlineStr">
        <is>
          <t>Best Music Director</t>
        </is>
      </c>
      <c r="G141" s="5" t="inlineStr">
        <is>
          <t>Nadeem–Shravan</t>
        </is>
      </c>
      <c r="H141" s="5" t="inlineStr">
        <is>
          <t>Music director</t>
        </is>
      </c>
      <c r="I141" s="5" t="inlineStr">
        <is>
          <t>Win</t>
        </is>
      </c>
      <c r="J141" s="5" t="inlineStr">
        <is>
          <t>Competitive</t>
        </is>
      </c>
      <c r="K141" s="5" t="n"/>
      <c r="L141" s="5" t="inlineStr">
        <is>
          <t>SOURCE-081; SOURCE-450</t>
        </is>
      </c>
      <c r="M141" s="5" t="inlineStr">
        <is>
          <t>Medium</t>
        </is>
      </c>
    </row>
    <row r="142" ht="19" customHeight="1">
      <c r="A142" s="15" t="inlineStr">
        <is>
          <t>AWARD-141</t>
        </is>
      </c>
      <c r="B142" s="18" t="inlineStr">
        <is>
          <t>FILM-087</t>
        </is>
      </c>
      <c r="C142" s="5" t="inlineStr">
        <is>
          <t>Deewana</t>
        </is>
      </c>
      <c r="D142" s="17" t="n">
        <v>1993</v>
      </c>
      <c r="E142" s="5" t="inlineStr">
        <is>
          <t>Filmfare Awards</t>
        </is>
      </c>
      <c r="F142" s="5" t="inlineStr">
        <is>
          <t>Best Lyricist</t>
        </is>
      </c>
      <c r="G142" s="5" t="inlineStr">
        <is>
          <t>Sameer</t>
        </is>
      </c>
      <c r="H142" s="5" t="inlineStr">
        <is>
          <t>Lyricist</t>
        </is>
      </c>
      <c r="I142" s="5" t="inlineStr">
        <is>
          <t>Win</t>
        </is>
      </c>
      <c r="J142" s="5" t="inlineStr">
        <is>
          <t>Competitive</t>
        </is>
      </c>
      <c r="K142" s="5" t="inlineStr">
        <is>
          <t>For "Teri Umeed".</t>
        </is>
      </c>
      <c r="L142" s="5" t="inlineStr">
        <is>
          <t>SOURCE-081; SOURCE-450</t>
        </is>
      </c>
      <c r="M142" s="5" t="inlineStr">
        <is>
          <t>Medium</t>
        </is>
      </c>
    </row>
    <row r="143" ht="19" customHeight="1">
      <c r="A143" s="15" t="inlineStr">
        <is>
          <t>AWARD-142</t>
        </is>
      </c>
      <c r="B143" s="18" t="inlineStr">
        <is>
          <t>FILM-087</t>
        </is>
      </c>
      <c r="C143" s="5" t="inlineStr">
        <is>
          <t>Deewana</t>
        </is>
      </c>
      <c r="D143" s="17" t="n">
        <v>1993</v>
      </c>
      <c r="E143" s="5" t="inlineStr">
        <is>
          <t>Filmfare Awards</t>
        </is>
      </c>
      <c r="F143" s="5" t="inlineStr">
        <is>
          <t>Best Male Playback Singer</t>
        </is>
      </c>
      <c r="G143" s="5" t="inlineStr">
        <is>
          <t>Kumar Sanu</t>
        </is>
      </c>
      <c r="H143" s="5" t="inlineStr">
        <is>
          <t>Playback singer</t>
        </is>
      </c>
      <c r="I143" s="5" t="inlineStr">
        <is>
          <t>Win</t>
        </is>
      </c>
      <c r="J143" s="5" t="inlineStr">
        <is>
          <t>Competitive</t>
        </is>
      </c>
      <c r="K143" s="5" t="inlineStr">
        <is>
          <t>For "Sochenge Tumhein".</t>
        </is>
      </c>
      <c r="L143" s="5" t="inlineStr">
        <is>
          <t>SOURCE-081; SOURCE-450</t>
        </is>
      </c>
      <c r="M143" s="5" t="inlineStr">
        <is>
          <t>Medium</t>
        </is>
      </c>
    </row>
    <row r="144" ht="64" customHeight="1">
      <c r="A144" s="15" t="inlineStr">
        <is>
          <t>AWARD-143</t>
        </is>
      </c>
      <c r="B144" s="18" t="inlineStr">
        <is>
          <t>FILM-087</t>
        </is>
      </c>
      <c r="C144" s="5" t="inlineStr">
        <is>
          <t>Deewana</t>
        </is>
      </c>
      <c r="D144" s="17" t="n">
        <v>1993</v>
      </c>
      <c r="E144" s="5" t="inlineStr">
        <is>
          <t>Filmfare Awards</t>
        </is>
      </c>
      <c r="F144" s="5" t="inlineStr">
        <is>
          <t>Best Lyricist</t>
        </is>
      </c>
      <c r="G144" s="5" t="inlineStr">
        <is>
          <t>Sameer</t>
        </is>
      </c>
      <c r="H144" s="5" t="inlineStr">
        <is>
          <t>Lyricist</t>
        </is>
      </c>
      <c r="I144" s="5" t="inlineStr">
        <is>
          <t>Nomination</t>
        </is>
      </c>
      <c r="J144" s="5" t="inlineStr">
        <is>
          <t>Competitive</t>
        </is>
      </c>
      <c r="K144" s="5" t="inlineStr">
        <is>
          <t>For "Aisi Deewangi". Five wins and three nominations are documented against the nine nominations the ceremony credits the film with; the ninth could not be identified.</t>
        </is>
      </c>
      <c r="L144" s="5" t="inlineStr">
        <is>
          <t>SOURCE-081; SOURCE-450</t>
        </is>
      </c>
      <c r="M144" s="5" t="inlineStr">
        <is>
          <t>Medium</t>
        </is>
      </c>
    </row>
    <row r="145" ht="19" customHeight="1">
      <c r="A145" s="15" t="inlineStr">
        <is>
          <t>AWARD-144</t>
        </is>
      </c>
      <c r="B145" s="18" t="inlineStr">
        <is>
          <t>FILM-087</t>
        </is>
      </c>
      <c r="C145" s="5" t="inlineStr">
        <is>
          <t>Deewana</t>
        </is>
      </c>
      <c r="D145" s="17" t="n">
        <v>1993</v>
      </c>
      <c r="E145" s="5" t="inlineStr">
        <is>
          <t>Filmfare Awards</t>
        </is>
      </c>
      <c r="F145" s="5" t="inlineStr">
        <is>
          <t>Best Male Playback Singer</t>
        </is>
      </c>
      <c r="G145" s="5" t="inlineStr">
        <is>
          <t>Vinod Rathod</t>
        </is>
      </c>
      <c r="H145" s="5" t="inlineStr">
        <is>
          <t>Playback singer</t>
        </is>
      </c>
      <c r="I145" s="5" t="inlineStr">
        <is>
          <t>Nomination</t>
        </is>
      </c>
      <c r="J145" s="5" t="inlineStr">
        <is>
          <t>Competitive</t>
        </is>
      </c>
      <c r="K145" s="5" t="inlineStr">
        <is>
          <t>For "Aisi Deewangi".</t>
        </is>
      </c>
      <c r="L145" s="5" t="inlineStr">
        <is>
          <t>SOURCE-081; SOURCE-450</t>
        </is>
      </c>
      <c r="M145" s="5" t="inlineStr">
        <is>
          <t>Medium</t>
        </is>
      </c>
    </row>
    <row r="146" ht="19" customHeight="1">
      <c r="A146" s="15" t="inlineStr">
        <is>
          <t>AWARD-145</t>
        </is>
      </c>
      <c r="B146" s="18" t="inlineStr">
        <is>
          <t>FILM-087</t>
        </is>
      </c>
      <c r="C146" s="5" t="inlineStr">
        <is>
          <t>Deewana</t>
        </is>
      </c>
      <c r="D146" s="17" t="n">
        <v>1993</v>
      </c>
      <c r="E146" s="5" t="inlineStr">
        <is>
          <t>Filmfare Awards</t>
        </is>
      </c>
      <c r="F146" s="5" t="inlineStr">
        <is>
          <t>Best Female Playback Singer</t>
        </is>
      </c>
      <c r="G146" s="5" t="inlineStr">
        <is>
          <t>Alka Yagnik</t>
        </is>
      </c>
      <c r="H146" s="5" t="inlineStr">
        <is>
          <t>Playback singer</t>
        </is>
      </c>
      <c r="I146" s="5" t="inlineStr">
        <is>
          <t>Nomination</t>
        </is>
      </c>
      <c r="J146" s="5" t="inlineStr">
        <is>
          <t>Competitive</t>
        </is>
      </c>
      <c r="K146" s="5" t="inlineStr">
        <is>
          <t>For "Aisi Deewangi".</t>
        </is>
      </c>
      <c r="L146" s="5" t="inlineStr">
        <is>
          <t>SOURCE-081; SOURCE-450</t>
        </is>
      </c>
      <c r="M146" s="5" t="inlineStr">
        <is>
          <t>Medium</t>
        </is>
      </c>
    </row>
    <row r="147" ht="34" customHeight="1">
      <c r="A147" s="15" t="inlineStr">
        <is>
          <t>AWARD-146</t>
        </is>
      </c>
      <c r="B147" s="18" t="inlineStr">
        <is>
          <t>FILM-089</t>
        </is>
      </c>
      <c r="C147" s="5" t="inlineStr">
        <is>
          <t>Bol Radha Bol</t>
        </is>
      </c>
      <c r="D147" s="17" t="n">
        <v>1993</v>
      </c>
      <c r="E147" s="5" t="inlineStr">
        <is>
          <t>Filmfare Awards</t>
        </is>
      </c>
      <c r="F147" s="5" t="inlineStr">
        <is>
          <t>Best Actress</t>
        </is>
      </c>
      <c r="G147" s="5" t="inlineStr">
        <is>
          <t>Juhi Chawla</t>
        </is>
      </c>
      <c r="H147" s="5" t="inlineStr">
        <is>
          <t>Actress</t>
        </is>
      </c>
      <c r="I147" s="5" t="inlineStr">
        <is>
          <t>Nomination</t>
        </is>
      </c>
      <c r="J147" s="5" t="inlineStr">
        <is>
          <t>Competitive</t>
        </is>
      </c>
      <c r="K147" s="5" t="inlineStr">
        <is>
          <t>38th Filmfare Awards. Chawla opposite Kapoor in a double role comedy.</t>
        </is>
      </c>
      <c r="L147" s="5" t="inlineStr">
        <is>
          <t>SOURCE-082; SOURCE-450</t>
        </is>
      </c>
      <c r="M147" s="5" t="inlineStr">
        <is>
          <t>Medium</t>
        </is>
      </c>
    </row>
    <row r="148" ht="109" customHeight="1">
      <c r="A148" s="15" t="inlineStr">
        <is>
          <t>AWARD-147</t>
        </is>
      </c>
      <c r="B148" s="18" t="inlineStr">
        <is>
          <t>FILM-093</t>
        </is>
      </c>
      <c r="C148" s="5" t="inlineStr">
        <is>
          <t>Damini</t>
        </is>
      </c>
      <c r="D148" s="17" t="n">
        <v>1993</v>
      </c>
      <c r="E148" s="5" t="inlineStr">
        <is>
          <t>National Film Awards</t>
        </is>
      </c>
      <c r="F148" s="5" t="inlineStr">
        <is>
          <t>Best Supporting Actor</t>
        </is>
      </c>
      <c r="G148" s="5" t="inlineStr">
        <is>
          <t>Sunny Deol</t>
        </is>
      </c>
      <c r="H148" s="5" t="inlineStr">
        <is>
          <t>Actor</t>
        </is>
      </c>
      <c r="I148" s="5" t="inlineStr">
        <is>
          <t>Win</t>
        </is>
      </c>
      <c r="J148" s="5" t="inlineStr">
        <is>
          <t>Competitive</t>
        </is>
      </c>
      <c r="K148" s="5" t="inlineStr">
        <is>
          <t>40th National Film Awards, presented in 1993. Both the film's article and the ceremony's list the award here, although the 40th nominally honoured films of 1992 and Damini was released on 30 April 1993; the 41st gave the same category to Paresh Rawal. The placement is recorded as Wikipedia gives it.</t>
        </is>
      </c>
      <c r="L148" s="5" t="inlineStr">
        <is>
          <t>SOURCE-086; SOURCE-451</t>
        </is>
      </c>
      <c r="M148" s="5" t="inlineStr">
        <is>
          <t>Medium</t>
        </is>
      </c>
    </row>
    <row r="149" ht="49" customHeight="1">
      <c r="A149" s="15" t="inlineStr">
        <is>
          <t>AWARD-148</t>
        </is>
      </c>
      <c r="B149" s="18" t="inlineStr">
        <is>
          <t>FILM-092</t>
        </is>
      </c>
      <c r="C149" s="5" t="inlineStr">
        <is>
          <t>Shreemaan Aashique</t>
        </is>
      </c>
      <c r="D149" s="17" t="n">
        <v>1994</v>
      </c>
      <c r="E149" s="5" t="inlineStr">
        <is>
          <t>Filmfare Awards</t>
        </is>
      </c>
      <c r="F149" s="5" t="inlineStr">
        <is>
          <t>Best Performance in a Comic Role</t>
        </is>
      </c>
      <c r="G149" s="5" t="inlineStr">
        <is>
          <t>Anupam Kher</t>
        </is>
      </c>
      <c r="H149" s="5" t="inlineStr">
        <is>
          <t>Actor</t>
        </is>
      </c>
      <c r="I149" s="5" t="inlineStr">
        <is>
          <t>Nomination</t>
        </is>
      </c>
      <c r="J149" s="5" t="inlineStr">
        <is>
          <t>Competitive</t>
        </is>
      </c>
      <c r="K149" s="5" t="inlineStr">
        <is>
          <t>39th Filmfare Awards. Kher was nominated three times in the category that year and won for Darr.</t>
        </is>
      </c>
      <c r="L149" s="5" t="inlineStr">
        <is>
          <t>SOURCE-085; SOURCE-452</t>
        </is>
      </c>
      <c r="M149" s="5" t="inlineStr">
        <is>
          <t>Medium</t>
        </is>
      </c>
    </row>
    <row r="150" ht="79" customHeight="1">
      <c r="A150" s="15" t="inlineStr">
        <is>
          <t>AWARD-149</t>
        </is>
      </c>
      <c r="B150" s="18" t="inlineStr">
        <is>
          <t>FILM-093</t>
        </is>
      </c>
      <c r="C150" s="5" t="inlineStr">
        <is>
          <t>Damini</t>
        </is>
      </c>
      <c r="D150" s="17" t="n">
        <v>1994</v>
      </c>
      <c r="E150" s="5" t="inlineStr">
        <is>
          <t>Filmfare Awards</t>
        </is>
      </c>
      <c r="F150" s="5" t="inlineStr">
        <is>
          <t>Best Supporting Actor</t>
        </is>
      </c>
      <c r="G150" s="5" t="inlineStr">
        <is>
          <t>Sunny Deol</t>
        </is>
      </c>
      <c r="H150" s="5" t="inlineStr">
        <is>
          <t>Actor</t>
        </is>
      </c>
      <c r="I150" s="5" t="inlineStr">
        <is>
          <t>Win</t>
        </is>
      </c>
      <c r="J150" s="5" t="inlineStr">
        <is>
          <t>Competitive</t>
        </is>
      </c>
      <c r="K150" s="5" t="inlineStr">
        <is>
          <t>39th Filmfare Awards, held 1994. Damini and Baazigar were the night's most-awarded films with 4 each. Deol's lawyer, not Kapoor's husband, is the role the film is remembered for.</t>
        </is>
      </c>
      <c r="L150" s="5" t="inlineStr">
        <is>
          <t>SOURCE-086; SOURCE-452</t>
        </is>
      </c>
      <c r="M150" s="5" t="inlineStr">
        <is>
          <t>High</t>
        </is>
      </c>
    </row>
    <row r="151" ht="19" customHeight="1">
      <c r="A151" s="15" t="inlineStr">
        <is>
          <t>AWARD-150</t>
        </is>
      </c>
      <c r="B151" s="18" t="inlineStr">
        <is>
          <t>FILM-093</t>
        </is>
      </c>
      <c r="C151" s="5" t="inlineStr">
        <is>
          <t>Damini</t>
        </is>
      </c>
      <c r="D151" s="17" t="n">
        <v>1994</v>
      </c>
      <c r="E151" s="5" t="inlineStr">
        <is>
          <t>Filmfare Awards</t>
        </is>
      </c>
      <c r="F151" s="5" t="inlineStr">
        <is>
          <t>Best Director</t>
        </is>
      </c>
      <c r="G151" s="5" t="inlineStr">
        <is>
          <t>Rajkumar Santoshi</t>
        </is>
      </c>
      <c r="H151" s="5" t="inlineStr">
        <is>
          <t>Director</t>
        </is>
      </c>
      <c r="I151" s="5" t="inlineStr">
        <is>
          <t>Win</t>
        </is>
      </c>
      <c r="J151" s="5" t="inlineStr">
        <is>
          <t>Competitive</t>
        </is>
      </c>
      <c r="K151" s="5" t="n"/>
      <c r="L151" s="5" t="inlineStr">
        <is>
          <t>SOURCE-086; SOURCE-452</t>
        </is>
      </c>
      <c r="M151" s="5" t="inlineStr">
        <is>
          <t>Medium</t>
        </is>
      </c>
    </row>
    <row r="152" ht="19" customHeight="1">
      <c r="A152" s="15" t="inlineStr">
        <is>
          <t>AWARD-151</t>
        </is>
      </c>
      <c r="B152" s="18" t="inlineStr">
        <is>
          <t>FILM-093</t>
        </is>
      </c>
      <c r="C152" s="5" t="inlineStr">
        <is>
          <t>Damini</t>
        </is>
      </c>
      <c r="D152" s="17" t="n">
        <v>1994</v>
      </c>
      <c r="E152" s="5" t="inlineStr">
        <is>
          <t>Filmfare Awards</t>
        </is>
      </c>
      <c r="F152" s="5" t="inlineStr">
        <is>
          <t>Best Story</t>
        </is>
      </c>
      <c r="G152" s="5" t="inlineStr">
        <is>
          <t>Sutanu Gupta</t>
        </is>
      </c>
      <c r="H152" s="5" t="inlineStr">
        <is>
          <t>Writer</t>
        </is>
      </c>
      <c r="I152" s="5" t="inlineStr">
        <is>
          <t>Win</t>
        </is>
      </c>
      <c r="J152" s="5" t="inlineStr">
        <is>
          <t>Competitive</t>
        </is>
      </c>
      <c r="K152" s="5" t="n"/>
      <c r="L152" s="5" t="inlineStr">
        <is>
          <t>SOURCE-086; SOURCE-452</t>
        </is>
      </c>
      <c r="M152" s="5" t="inlineStr">
        <is>
          <t>Medium</t>
        </is>
      </c>
    </row>
    <row r="153" ht="19" customHeight="1">
      <c r="A153" s="15" t="inlineStr">
        <is>
          <t>AWARD-152</t>
        </is>
      </c>
      <c r="B153" s="18" t="inlineStr">
        <is>
          <t>FILM-093</t>
        </is>
      </c>
      <c r="C153" s="5" t="inlineStr">
        <is>
          <t>Damini</t>
        </is>
      </c>
      <c r="D153" s="17" t="n">
        <v>1994</v>
      </c>
      <c r="E153" s="5" t="inlineStr">
        <is>
          <t>Filmfare Awards</t>
        </is>
      </c>
      <c r="F153" s="5" t="inlineStr">
        <is>
          <t>Best Sound</t>
        </is>
      </c>
      <c r="G153" s="5" t="inlineStr">
        <is>
          <t>Rakesh Ranjan</t>
        </is>
      </c>
      <c r="H153" s="5" t="inlineStr">
        <is>
          <t>Technician</t>
        </is>
      </c>
      <c r="I153" s="5" t="inlineStr">
        <is>
          <t>Win</t>
        </is>
      </c>
      <c r="J153" s="5" t="inlineStr">
        <is>
          <t>Competitive</t>
        </is>
      </c>
      <c r="K153" s="5" t="n"/>
      <c r="L153" s="5" t="inlineStr">
        <is>
          <t>SOURCE-086; SOURCE-452</t>
        </is>
      </c>
      <c r="M153" s="5" t="inlineStr">
        <is>
          <t>Medium</t>
        </is>
      </c>
    </row>
    <row r="154" ht="19" customHeight="1">
      <c r="A154" s="15" t="inlineStr">
        <is>
          <t>AWARD-153</t>
        </is>
      </c>
      <c r="B154" s="18" t="inlineStr">
        <is>
          <t>FILM-093</t>
        </is>
      </c>
      <c r="C154" s="5" t="inlineStr">
        <is>
          <t>Damini</t>
        </is>
      </c>
      <c r="D154" s="17" t="n">
        <v>1994</v>
      </c>
      <c r="E154" s="5" t="inlineStr">
        <is>
          <t>Filmfare Awards</t>
        </is>
      </c>
      <c r="F154" s="5" t="inlineStr">
        <is>
          <t>Best Film</t>
        </is>
      </c>
      <c r="G154" s="5" t="inlineStr">
        <is>
          <t>Damini</t>
        </is>
      </c>
      <c r="H154" s="5" t="inlineStr">
        <is>
          <t>Film</t>
        </is>
      </c>
      <c r="I154" s="5" t="inlineStr">
        <is>
          <t>Nomination</t>
        </is>
      </c>
      <c r="J154" s="5" t="inlineStr">
        <is>
          <t>Competitive</t>
        </is>
      </c>
      <c r="K154" s="5" t="n"/>
      <c r="L154" s="5" t="inlineStr">
        <is>
          <t>SOURCE-086; SOURCE-452</t>
        </is>
      </c>
      <c r="M154" s="5" t="inlineStr">
        <is>
          <t>Medium</t>
        </is>
      </c>
    </row>
    <row r="155" ht="34" customHeight="1">
      <c r="A155" s="15" t="inlineStr">
        <is>
          <t>AWARD-154</t>
        </is>
      </c>
      <c r="B155" s="18" t="inlineStr">
        <is>
          <t>FILM-093</t>
        </is>
      </c>
      <c r="C155" s="5" t="inlineStr">
        <is>
          <t>Damini</t>
        </is>
      </c>
      <c r="D155" s="17" t="n">
        <v>1994</v>
      </c>
      <c r="E155" s="5" t="inlineStr">
        <is>
          <t>Filmfare Awards</t>
        </is>
      </c>
      <c r="F155" s="5" t="inlineStr">
        <is>
          <t>Best Actress</t>
        </is>
      </c>
      <c r="G155" s="5" t="inlineStr">
        <is>
          <t>Meenakshi Seshadri</t>
        </is>
      </c>
      <c r="H155" s="5" t="inlineStr">
        <is>
          <t>Actress</t>
        </is>
      </c>
      <c r="I155" s="5" t="inlineStr">
        <is>
          <t>Nomination</t>
        </is>
      </c>
      <c r="J155" s="5" t="inlineStr">
        <is>
          <t>Competitive</t>
        </is>
      </c>
      <c r="K155" s="5" t="inlineStr">
        <is>
          <t>In the title role, as the wife of Kapoor's character.</t>
        </is>
      </c>
      <c r="L155" s="5" t="inlineStr">
        <is>
          <t>SOURCE-086; SOURCE-452</t>
        </is>
      </c>
      <c r="M155" s="5" t="inlineStr">
        <is>
          <t>Medium</t>
        </is>
      </c>
    </row>
    <row r="156" ht="19" customHeight="1">
      <c r="A156" s="15" t="inlineStr">
        <is>
          <t>AWARD-155</t>
        </is>
      </c>
      <c r="B156" s="18" t="inlineStr">
        <is>
          <t>FILM-093</t>
        </is>
      </c>
      <c r="C156" s="5" t="inlineStr">
        <is>
          <t>Damini</t>
        </is>
      </c>
      <c r="D156" s="17" t="n">
        <v>1994</v>
      </c>
      <c r="E156" s="5" t="inlineStr">
        <is>
          <t>Filmfare Awards</t>
        </is>
      </c>
      <c r="F156" s="5" t="inlineStr">
        <is>
          <t>Best Villain</t>
        </is>
      </c>
      <c r="G156" s="5" t="inlineStr">
        <is>
          <t>Amrish Puri</t>
        </is>
      </c>
      <c r="H156" s="5" t="inlineStr">
        <is>
          <t>Actor</t>
        </is>
      </c>
      <c r="I156" s="5" t="inlineStr">
        <is>
          <t>Nomination</t>
        </is>
      </c>
      <c r="J156" s="5" t="inlineStr">
        <is>
          <t>Competitive</t>
        </is>
      </c>
      <c r="K156" s="5" t="n"/>
      <c r="L156" s="5" t="inlineStr">
        <is>
          <t>SOURCE-086; SOURCE-452</t>
        </is>
      </c>
      <c r="M156" s="5" t="inlineStr">
        <is>
          <t>Medium</t>
        </is>
      </c>
    </row>
    <row r="157" ht="34" customHeight="1">
      <c r="A157" s="15" t="inlineStr">
        <is>
          <t>AWARD-156</t>
        </is>
      </c>
      <c r="B157" s="18" t="inlineStr">
        <is>
          <t>FILM-106</t>
        </is>
      </c>
      <c r="C157" s="5" t="inlineStr">
        <is>
          <t>Yaraana</t>
        </is>
      </c>
      <c r="D157" s="17" t="n">
        <v>1996</v>
      </c>
      <c r="E157" s="5" t="inlineStr">
        <is>
          <t>Filmfare Awards</t>
        </is>
      </c>
      <c r="F157" s="5" t="inlineStr">
        <is>
          <t>Best Female Playback Singer</t>
        </is>
      </c>
      <c r="G157" s="5" t="inlineStr">
        <is>
          <t>Kavita Krishnamurthy</t>
        </is>
      </c>
      <c r="H157" s="5" t="inlineStr">
        <is>
          <t>Playback singer</t>
        </is>
      </c>
      <c r="I157" s="5" t="inlineStr">
        <is>
          <t>Win</t>
        </is>
      </c>
      <c r="J157" s="5" t="inlineStr">
        <is>
          <t>Competitive</t>
        </is>
      </c>
      <c r="K157" s="5" t="inlineStr">
        <is>
          <t>41st Filmfare Awards, held 2 March 1996. For "Mera Piya Ghar Aaya".</t>
        </is>
      </c>
      <c r="L157" s="5" t="inlineStr">
        <is>
          <t>SOURCE-099; SOURCE-453</t>
        </is>
      </c>
      <c r="M157" s="5" t="inlineStr">
        <is>
          <t>Medium</t>
        </is>
      </c>
    </row>
    <row r="158" ht="49" customHeight="1">
      <c r="A158" s="15" t="inlineStr">
        <is>
          <t>AWARD-157</t>
        </is>
      </c>
      <c r="B158" s="18" t="inlineStr">
        <is>
          <t>FILM-106</t>
        </is>
      </c>
      <c r="C158" s="5" t="inlineStr">
        <is>
          <t>Yaraana</t>
        </is>
      </c>
      <c r="D158" s="17" t="n">
        <v>1996</v>
      </c>
      <c r="E158" s="5" t="inlineStr">
        <is>
          <t>Filmfare Awards</t>
        </is>
      </c>
      <c r="F158" s="5" t="inlineStr">
        <is>
          <t>Best Actress</t>
        </is>
      </c>
      <c r="G158" s="5" t="inlineStr">
        <is>
          <t>Madhuri Dixit</t>
        </is>
      </c>
      <c r="H158" s="5" t="inlineStr">
        <is>
          <t>Actress</t>
        </is>
      </c>
      <c r="I158" s="5" t="inlineStr">
        <is>
          <t>Nomination</t>
        </is>
      </c>
      <c r="J158" s="5" t="inlineStr">
        <is>
          <t>Competitive</t>
        </is>
      </c>
      <c r="K158" s="5" t="inlineStr">
        <is>
          <t>One of Dixit's two Best Actress nominations that year; both lost to Kajol for Dilwale Dulhania Le Jayenge.</t>
        </is>
      </c>
      <c r="L158" s="5" t="inlineStr">
        <is>
          <t>SOURCE-099; SOURCE-453</t>
        </is>
      </c>
      <c r="M158" s="5" t="inlineStr">
        <is>
          <t>Medium</t>
        </is>
      </c>
    </row>
    <row r="159" ht="64" customHeight="1">
      <c r="A159" s="15" t="inlineStr">
        <is>
          <t>AWARD-158</t>
        </is>
      </c>
      <c r="B159" s="18" t="inlineStr">
        <is>
          <t>FILM-108</t>
        </is>
      </c>
      <c r="C159" s="5" t="inlineStr">
        <is>
          <t>Daraar</t>
        </is>
      </c>
      <c r="D159" s="17" t="n">
        <v>1997</v>
      </c>
      <c r="E159" s="5" t="inlineStr">
        <is>
          <t>Filmfare Awards</t>
        </is>
      </c>
      <c r="F159" s="5" t="inlineStr">
        <is>
          <t>Best Villain</t>
        </is>
      </c>
      <c r="G159" s="5" t="inlineStr">
        <is>
          <t>Arbaaz Khan</t>
        </is>
      </c>
      <c r="H159" s="5" t="inlineStr">
        <is>
          <t>Actor</t>
        </is>
      </c>
      <c r="I159" s="5" t="inlineStr">
        <is>
          <t>Win</t>
        </is>
      </c>
      <c r="J159" s="5" t="inlineStr">
        <is>
          <t>Competitive</t>
        </is>
      </c>
      <c r="K159" s="5" t="inlineStr">
        <is>
          <t>42nd Filmfare Awards, held 23 February 1997 in Mumbai. Khan plays the violent first husband against whom Kapoor's character is the second.</t>
        </is>
      </c>
      <c r="L159" s="5" t="inlineStr">
        <is>
          <t>SOURCE-101; SOURCE-454</t>
        </is>
      </c>
      <c r="M159" s="5" t="inlineStr">
        <is>
          <t>Medium</t>
        </is>
      </c>
    </row>
    <row r="160" ht="19" customHeight="1">
      <c r="A160" s="15" t="inlineStr">
        <is>
          <t>AWARD-159</t>
        </is>
      </c>
      <c r="B160" s="18" t="inlineStr">
        <is>
          <t>FILM-108</t>
        </is>
      </c>
      <c r="C160" s="5" t="inlineStr">
        <is>
          <t>Daraar</t>
        </is>
      </c>
      <c r="D160" s="17" t="n">
        <v>1997</v>
      </c>
      <c r="E160" s="5" t="inlineStr">
        <is>
          <t>Filmfare Awards</t>
        </is>
      </c>
      <c r="F160" s="5" t="inlineStr">
        <is>
          <t>Best Actress</t>
        </is>
      </c>
      <c r="G160" s="5" t="inlineStr">
        <is>
          <t>Juhi Chawla</t>
        </is>
      </c>
      <c r="H160" s="5" t="inlineStr">
        <is>
          <t>Actress</t>
        </is>
      </c>
      <c r="I160" s="5" t="inlineStr">
        <is>
          <t>Nomination</t>
        </is>
      </c>
      <c r="J160" s="5" t="inlineStr">
        <is>
          <t>Competitive</t>
        </is>
      </c>
      <c r="K160" s="5" t="n"/>
      <c r="L160" s="5" t="inlineStr">
        <is>
          <t>SOURCE-101; SOURCE-454</t>
        </is>
      </c>
      <c r="M160" s="5" t="inlineStr">
        <is>
          <t>Medium</t>
        </is>
      </c>
    </row>
    <row r="161" ht="49" customHeight="1">
      <c r="A161" s="15" t="inlineStr">
        <is>
          <t>AWARD-160</t>
        </is>
      </c>
      <c r="B161" s="18" t="inlineStr">
        <is>
          <t>FILM-117</t>
        </is>
      </c>
      <c r="C161" s="5" t="inlineStr">
        <is>
          <t>Tehzeeb</t>
        </is>
      </c>
      <c r="D161" s="17" t="n">
        <v>2004</v>
      </c>
      <c r="E161" s="5" t="inlineStr">
        <is>
          <t>Filmfare Awards</t>
        </is>
      </c>
      <c r="F161" s="5" t="inlineStr">
        <is>
          <t>Best Supporting Actress</t>
        </is>
      </c>
      <c r="G161" s="5" t="inlineStr">
        <is>
          <t>Shabana Azmi</t>
        </is>
      </c>
      <c r="H161" s="5" t="inlineStr">
        <is>
          <t>Actress</t>
        </is>
      </c>
      <c r="I161" s="5" t="inlineStr">
        <is>
          <t>Nomination</t>
        </is>
      </c>
      <c r="J161" s="5" t="inlineStr">
        <is>
          <t>Competitive</t>
        </is>
      </c>
      <c r="K161" s="5" t="inlineStr">
        <is>
          <t>49th Filmfare Awards, held 20 February 2004. Kapoor appears in an extended special appearance as Azmi's husband.</t>
        </is>
      </c>
      <c r="L161" s="5" t="inlineStr">
        <is>
          <t>SOURCE-109; SOURCE-455</t>
        </is>
      </c>
      <c r="M161" s="5" t="inlineStr">
        <is>
          <t>Medium</t>
        </is>
      </c>
    </row>
    <row r="162" ht="34" customHeight="1">
      <c r="A162" s="15" t="inlineStr">
        <is>
          <t>AWARD-161</t>
        </is>
      </c>
      <c r="B162" s="18" t="inlineStr">
        <is>
          <t>FILM-118</t>
        </is>
      </c>
      <c r="C162" s="5" t="inlineStr">
        <is>
          <t>Hum Tum</t>
        </is>
      </c>
      <c r="D162" s="17" t="n">
        <v>2005</v>
      </c>
      <c r="E162" s="5" t="inlineStr">
        <is>
          <t>National Film Awards</t>
        </is>
      </c>
      <c r="F162" s="5" t="inlineStr">
        <is>
          <t>Best Actor</t>
        </is>
      </c>
      <c r="G162" s="5" t="inlineStr">
        <is>
          <t>Saif Ali Khan</t>
        </is>
      </c>
      <c r="H162" s="5" t="inlineStr">
        <is>
          <t>Actor</t>
        </is>
      </c>
      <c r="I162" s="5" t="inlineStr">
        <is>
          <t>Win</t>
        </is>
      </c>
      <c r="J162" s="5" t="inlineStr">
        <is>
          <t>Competitive</t>
        </is>
      </c>
      <c r="K162" s="5" t="inlineStr">
        <is>
          <t>52nd National Film Awards, announced 13 July 2005. Kapoor plays Khan's father.</t>
        </is>
      </c>
      <c r="L162" s="5" t="inlineStr">
        <is>
          <t>SOURCE-110; SOURCE-456</t>
        </is>
      </c>
      <c r="M162" s="5" t="inlineStr">
        <is>
          <t>Medium</t>
        </is>
      </c>
    </row>
    <row r="163" ht="49" customHeight="1">
      <c r="A163" s="15" t="inlineStr">
        <is>
          <t>AWARD-162</t>
        </is>
      </c>
      <c r="B163" s="18" t="inlineStr">
        <is>
          <t>FILM-118</t>
        </is>
      </c>
      <c r="C163" s="5" t="inlineStr">
        <is>
          <t>Hum Tum</t>
        </is>
      </c>
      <c r="D163" s="17" t="n">
        <v>2005</v>
      </c>
      <c r="E163" s="5" t="inlineStr">
        <is>
          <t>Filmfare Awards</t>
        </is>
      </c>
      <c r="F163" s="5" t="inlineStr">
        <is>
          <t>Best Director</t>
        </is>
      </c>
      <c r="G163" s="5" t="inlineStr">
        <is>
          <t>Kunal Kohli</t>
        </is>
      </c>
      <c r="H163" s="5" t="inlineStr">
        <is>
          <t>Director</t>
        </is>
      </c>
      <c r="I163" s="5" t="inlineStr">
        <is>
          <t>Win</t>
        </is>
      </c>
      <c r="J163" s="5" t="inlineStr">
        <is>
          <t>Competitive</t>
        </is>
      </c>
      <c r="K163" s="5" t="inlineStr">
        <is>
          <t>50th Filmfare Awards, held 26 February 2005, the awards' golden jubilee. Hum Tum took 8 nominations and won 5.</t>
        </is>
      </c>
      <c r="L163" s="5" t="inlineStr">
        <is>
          <t>SOURCE-110; SOURCE-457</t>
        </is>
      </c>
      <c r="M163" s="5" t="inlineStr">
        <is>
          <t>Medium</t>
        </is>
      </c>
    </row>
    <row r="164" ht="64" customHeight="1">
      <c r="A164" s="15" t="inlineStr">
        <is>
          <t>AWARD-163</t>
        </is>
      </c>
      <c r="B164" s="18" t="inlineStr">
        <is>
          <t>FILM-118</t>
        </is>
      </c>
      <c r="C164" s="5" t="inlineStr">
        <is>
          <t>Hum Tum</t>
        </is>
      </c>
      <c r="D164" s="17" t="n">
        <v>2005</v>
      </c>
      <c r="E164" s="5" t="inlineStr">
        <is>
          <t>Filmfare Awards</t>
        </is>
      </c>
      <c r="F164" s="5" t="inlineStr">
        <is>
          <t>Best Actress</t>
        </is>
      </c>
      <c r="G164" s="5" t="inlineStr">
        <is>
          <t>Rani Mukerji</t>
        </is>
      </c>
      <c r="H164" s="5" t="inlineStr">
        <is>
          <t>Actress</t>
        </is>
      </c>
      <c r="I164" s="5" t="inlineStr">
        <is>
          <t>Win</t>
        </is>
      </c>
      <c r="J164" s="5" t="inlineStr">
        <is>
          <t>Competitive</t>
        </is>
      </c>
      <c r="K164" s="5" t="inlineStr">
        <is>
          <t>Mukerji became the only actress to win both popular female acting awards in one year, taking this and Best Supporting Actress for Yuva.</t>
        </is>
      </c>
      <c r="L164" s="5" t="inlineStr">
        <is>
          <t>SOURCE-110; SOURCE-457</t>
        </is>
      </c>
      <c r="M164" s="5" t="inlineStr">
        <is>
          <t>Medium</t>
        </is>
      </c>
    </row>
    <row r="165" ht="19" customHeight="1">
      <c r="A165" s="15" t="inlineStr">
        <is>
          <t>AWARD-164</t>
        </is>
      </c>
      <c r="B165" s="18" t="inlineStr">
        <is>
          <t>FILM-118</t>
        </is>
      </c>
      <c r="C165" s="5" t="inlineStr">
        <is>
          <t>Hum Tum</t>
        </is>
      </c>
      <c r="D165" s="17" t="n">
        <v>2005</v>
      </c>
      <c r="E165" s="5" t="inlineStr">
        <is>
          <t>Filmfare Awards</t>
        </is>
      </c>
      <c r="F165" s="5" t="inlineStr">
        <is>
          <t>Best Performance in a Comic Role</t>
        </is>
      </c>
      <c r="G165" s="5" t="inlineStr">
        <is>
          <t>Saif Ali Khan</t>
        </is>
      </c>
      <c r="H165" s="5" t="inlineStr">
        <is>
          <t>Actor</t>
        </is>
      </c>
      <c r="I165" s="5" t="inlineStr">
        <is>
          <t>Win</t>
        </is>
      </c>
      <c r="J165" s="5" t="inlineStr">
        <is>
          <t>Competitive</t>
        </is>
      </c>
      <c r="K165" s="5" t="n"/>
      <c r="L165" s="5" t="inlineStr">
        <is>
          <t>SOURCE-110; SOURCE-457</t>
        </is>
      </c>
      <c r="M165" s="5" t="inlineStr">
        <is>
          <t>Medium</t>
        </is>
      </c>
    </row>
    <row r="166" ht="19" customHeight="1">
      <c r="A166" s="15" t="inlineStr">
        <is>
          <t>AWARD-165</t>
        </is>
      </c>
      <c r="B166" s="18" t="inlineStr">
        <is>
          <t>FILM-118</t>
        </is>
      </c>
      <c r="C166" s="5" t="inlineStr">
        <is>
          <t>Hum Tum</t>
        </is>
      </c>
      <c r="D166" s="17" t="n">
        <v>2005</v>
      </c>
      <c r="E166" s="5" t="inlineStr">
        <is>
          <t>Filmfare Awards</t>
        </is>
      </c>
      <c r="F166" s="5" t="inlineStr">
        <is>
          <t>Best Female Playback Singer</t>
        </is>
      </c>
      <c r="G166" s="5" t="inlineStr">
        <is>
          <t>Alka Yagnik</t>
        </is>
      </c>
      <c r="H166" s="5" t="inlineStr">
        <is>
          <t>Playback singer</t>
        </is>
      </c>
      <c r="I166" s="5" t="inlineStr">
        <is>
          <t>Win</t>
        </is>
      </c>
      <c r="J166" s="5" t="inlineStr">
        <is>
          <t>Competitive</t>
        </is>
      </c>
      <c r="K166" s="5" t="inlineStr">
        <is>
          <t>For "Hum Tum".</t>
        </is>
      </c>
      <c r="L166" s="5" t="inlineStr">
        <is>
          <t>SOURCE-110; SOURCE-457</t>
        </is>
      </c>
      <c r="M166" s="5" t="inlineStr">
        <is>
          <t>Medium</t>
        </is>
      </c>
    </row>
    <row r="167" ht="19" customHeight="1">
      <c r="A167" s="15" t="inlineStr">
        <is>
          <t>AWARD-166</t>
        </is>
      </c>
      <c r="B167" s="18" t="inlineStr">
        <is>
          <t>FILM-118</t>
        </is>
      </c>
      <c r="C167" s="5" t="inlineStr">
        <is>
          <t>Hum Tum</t>
        </is>
      </c>
      <c r="D167" s="17" t="n">
        <v>2005</v>
      </c>
      <c r="E167" s="5" t="inlineStr">
        <is>
          <t>Filmfare Awards</t>
        </is>
      </c>
      <c r="F167" s="5" t="inlineStr">
        <is>
          <t>Best Scene of the Year</t>
        </is>
      </c>
      <c r="G167" s="5" t="inlineStr">
        <is>
          <t>Hum Tum</t>
        </is>
      </c>
      <c r="H167" s="5" t="inlineStr">
        <is>
          <t>Film</t>
        </is>
      </c>
      <c r="I167" s="5" t="inlineStr">
        <is>
          <t>Win</t>
        </is>
      </c>
      <c r="J167" s="5" t="inlineStr">
        <is>
          <t>Competitive</t>
        </is>
      </c>
      <c r="K167" s="5" t="n"/>
      <c r="L167" s="5" t="inlineStr">
        <is>
          <t>SOURCE-110; SOURCE-457</t>
        </is>
      </c>
      <c r="M167" s="5" t="inlineStr">
        <is>
          <t>Medium</t>
        </is>
      </c>
    </row>
    <row r="168" ht="19" customHeight="1">
      <c r="A168" s="15" t="inlineStr">
        <is>
          <t>AWARD-167</t>
        </is>
      </c>
      <c r="B168" s="18" t="inlineStr">
        <is>
          <t>FILM-118</t>
        </is>
      </c>
      <c r="C168" s="5" t="inlineStr">
        <is>
          <t>Hum Tum</t>
        </is>
      </c>
      <c r="D168" s="17" t="n">
        <v>2005</v>
      </c>
      <c r="E168" s="5" t="inlineStr">
        <is>
          <t>Filmfare Awards</t>
        </is>
      </c>
      <c r="F168" s="5" t="inlineStr">
        <is>
          <t>Best Film</t>
        </is>
      </c>
      <c r="G168" s="5" t="inlineStr">
        <is>
          <t>Hum Tum</t>
        </is>
      </c>
      <c r="H168" s="5" t="inlineStr">
        <is>
          <t>Film</t>
        </is>
      </c>
      <c r="I168" s="5" t="inlineStr">
        <is>
          <t>Nomination</t>
        </is>
      </c>
      <c r="J168" s="5" t="inlineStr">
        <is>
          <t>Competitive</t>
        </is>
      </c>
      <c r="K168" s="5" t="inlineStr">
        <is>
          <t>Lost to Veer-Zaara.</t>
        </is>
      </c>
      <c r="L168" s="5" t="inlineStr">
        <is>
          <t>SOURCE-110; SOURCE-457</t>
        </is>
      </c>
      <c r="M168" s="5" t="inlineStr">
        <is>
          <t>Medium</t>
        </is>
      </c>
    </row>
    <row r="169" ht="49" customHeight="1">
      <c r="A169" s="15" t="inlineStr">
        <is>
          <t>AWARD-168</t>
        </is>
      </c>
      <c r="B169" s="18" t="inlineStr">
        <is>
          <t>FILM-118</t>
        </is>
      </c>
      <c r="C169" s="5" t="inlineStr">
        <is>
          <t>Hum Tum</t>
        </is>
      </c>
      <c r="D169" s="17" t="n">
        <v>2005</v>
      </c>
      <c r="E169" s="5" t="inlineStr">
        <is>
          <t>Filmfare Awards</t>
        </is>
      </c>
      <c r="F169" s="5" t="inlineStr">
        <is>
          <t>Best Actor</t>
        </is>
      </c>
      <c r="G169" s="5" t="inlineStr">
        <is>
          <t>Saif Ali Khan</t>
        </is>
      </c>
      <c r="H169" s="5" t="inlineStr">
        <is>
          <t>Actor</t>
        </is>
      </c>
      <c r="I169" s="5" t="inlineStr">
        <is>
          <t>Nomination</t>
        </is>
      </c>
      <c r="J169" s="5" t="inlineStr">
        <is>
          <t>Competitive</t>
        </is>
      </c>
      <c r="K169" s="5" t="inlineStr">
        <is>
          <t>Khan lost the lead award to Shah Rukh Khan for Swades but took the comic-role award for the same performance.</t>
        </is>
      </c>
      <c r="L169" s="5" t="inlineStr">
        <is>
          <t>SOURCE-110; SOURCE-457</t>
        </is>
      </c>
      <c r="M169" s="5" t="inlineStr">
        <is>
          <t>Medium</t>
        </is>
      </c>
    </row>
    <row r="170" ht="19" customHeight="1">
      <c r="A170" s="15" t="inlineStr">
        <is>
          <t>AWARD-169</t>
        </is>
      </c>
      <c r="B170" s="18" t="inlineStr">
        <is>
          <t>FILM-118</t>
        </is>
      </c>
      <c r="C170" s="5" t="inlineStr">
        <is>
          <t>Hum Tum</t>
        </is>
      </c>
      <c r="D170" s="17" t="n">
        <v>2005</v>
      </c>
      <c r="E170" s="5" t="inlineStr">
        <is>
          <t>Filmfare Awards</t>
        </is>
      </c>
      <c r="F170" s="5" t="inlineStr">
        <is>
          <t>Best Music Director</t>
        </is>
      </c>
      <c r="G170" s="5" t="inlineStr">
        <is>
          <t>Jatin–Lalit</t>
        </is>
      </c>
      <c r="H170" s="5" t="inlineStr">
        <is>
          <t>Music director</t>
        </is>
      </c>
      <c r="I170" s="5" t="inlineStr">
        <is>
          <t>Nomination</t>
        </is>
      </c>
      <c r="J170" s="5" t="inlineStr">
        <is>
          <t>Competitive</t>
        </is>
      </c>
      <c r="K170" s="5" t="n"/>
      <c r="L170" s="5" t="inlineStr">
        <is>
          <t>SOURCE-110; SOURCE-457</t>
        </is>
      </c>
      <c r="M170" s="5" t="inlineStr">
        <is>
          <t>Medium</t>
        </is>
      </c>
    </row>
    <row r="171" ht="49" customHeight="1">
      <c r="A171" s="15" t="inlineStr">
        <is>
          <t>AWARD-170</t>
        </is>
      </c>
      <c r="B171" s="18" t="inlineStr">
        <is>
          <t>FILM-120</t>
        </is>
      </c>
      <c r="C171" s="5" t="inlineStr">
        <is>
          <t>Fanaa</t>
        </is>
      </c>
      <c r="D171" s="17" t="n">
        <v>2007</v>
      </c>
      <c r="E171" s="5" t="inlineStr">
        <is>
          <t>Filmfare Awards</t>
        </is>
      </c>
      <c r="F171" s="5" t="inlineStr">
        <is>
          <t>Best Actress</t>
        </is>
      </c>
      <c r="G171" s="5" t="inlineStr">
        <is>
          <t>Kajol</t>
        </is>
      </c>
      <c r="H171" s="5" t="inlineStr">
        <is>
          <t>Actress</t>
        </is>
      </c>
      <c r="I171" s="5" t="inlineStr">
        <is>
          <t>Win</t>
        </is>
      </c>
      <c r="J171" s="5" t="inlineStr">
        <is>
          <t>Competitive</t>
        </is>
      </c>
      <c r="K171" s="5" t="inlineStr">
        <is>
          <t>52nd Filmfare Awards, held 17 February 2007. Kapoor plays the father of Kajol's character.</t>
        </is>
      </c>
      <c r="L171" s="5" t="inlineStr">
        <is>
          <t>SOURCE-112; SOURCE-458</t>
        </is>
      </c>
      <c r="M171" s="5" t="inlineStr">
        <is>
          <t>Medium</t>
        </is>
      </c>
    </row>
    <row r="172" ht="19" customHeight="1">
      <c r="A172" s="15" t="inlineStr">
        <is>
          <t>AWARD-171</t>
        </is>
      </c>
      <c r="B172" s="18" t="inlineStr">
        <is>
          <t>FILM-120</t>
        </is>
      </c>
      <c r="C172" s="5" t="inlineStr">
        <is>
          <t>Fanaa</t>
        </is>
      </c>
      <c r="D172" s="17" t="n">
        <v>2007</v>
      </c>
      <c r="E172" s="5" t="inlineStr">
        <is>
          <t>Filmfare Awards</t>
        </is>
      </c>
      <c r="F172" s="5" t="inlineStr">
        <is>
          <t>Best Lyricist</t>
        </is>
      </c>
      <c r="G172" s="5" t="inlineStr">
        <is>
          <t>Prasoon Joshi</t>
        </is>
      </c>
      <c r="H172" s="5" t="inlineStr">
        <is>
          <t>Lyricist</t>
        </is>
      </c>
      <c r="I172" s="5" t="inlineStr">
        <is>
          <t>Win</t>
        </is>
      </c>
      <c r="J172" s="5" t="inlineStr">
        <is>
          <t>Competitive</t>
        </is>
      </c>
      <c r="K172" s="5" t="inlineStr">
        <is>
          <t>For "Chand Sifarish".</t>
        </is>
      </c>
      <c r="L172" s="5" t="inlineStr">
        <is>
          <t>SOURCE-112; SOURCE-458</t>
        </is>
      </c>
      <c r="M172" s="5" t="inlineStr">
        <is>
          <t>Medium</t>
        </is>
      </c>
    </row>
    <row r="173" ht="19" customHeight="1">
      <c r="A173" s="15" t="inlineStr">
        <is>
          <t>AWARD-172</t>
        </is>
      </c>
      <c r="B173" s="18" t="inlineStr">
        <is>
          <t>FILM-120</t>
        </is>
      </c>
      <c r="C173" s="5" t="inlineStr">
        <is>
          <t>Fanaa</t>
        </is>
      </c>
      <c r="D173" s="17" t="n">
        <v>2007</v>
      </c>
      <c r="E173" s="5" t="inlineStr">
        <is>
          <t>Filmfare Awards</t>
        </is>
      </c>
      <c r="F173" s="5" t="inlineStr">
        <is>
          <t>Best Male Playback Singer</t>
        </is>
      </c>
      <c r="G173" s="5" t="inlineStr">
        <is>
          <t>Shaan and Kailash Kher</t>
        </is>
      </c>
      <c r="H173" s="5" t="inlineStr">
        <is>
          <t>Playback singer</t>
        </is>
      </c>
      <c r="I173" s="5" t="inlineStr">
        <is>
          <t>Win</t>
        </is>
      </c>
      <c r="J173" s="5" t="inlineStr">
        <is>
          <t>Competitive</t>
        </is>
      </c>
      <c r="K173" s="5" t="inlineStr">
        <is>
          <t>For "Chand Sifarish".</t>
        </is>
      </c>
      <c r="L173" s="5" t="inlineStr">
        <is>
          <t>SOURCE-112; SOURCE-458</t>
        </is>
      </c>
      <c r="M173" s="5" t="inlineStr">
        <is>
          <t>Medium</t>
        </is>
      </c>
    </row>
    <row r="174" ht="19" customHeight="1">
      <c r="A174" s="15" t="inlineStr">
        <is>
          <t>AWARD-173</t>
        </is>
      </c>
      <c r="B174" s="18" t="inlineStr">
        <is>
          <t>FILM-120</t>
        </is>
      </c>
      <c r="C174" s="5" t="inlineStr">
        <is>
          <t>Fanaa</t>
        </is>
      </c>
      <c r="D174" s="17" t="n">
        <v>2007</v>
      </c>
      <c r="E174" s="5" t="inlineStr">
        <is>
          <t>Filmfare Awards</t>
        </is>
      </c>
      <c r="F174" s="5" t="inlineStr">
        <is>
          <t>Best Music Director</t>
        </is>
      </c>
      <c r="G174" s="5" t="inlineStr">
        <is>
          <t>Jatin–Lalit</t>
        </is>
      </c>
      <c r="H174" s="5" t="inlineStr">
        <is>
          <t>Music director</t>
        </is>
      </c>
      <c r="I174" s="5" t="inlineStr">
        <is>
          <t>Nomination</t>
        </is>
      </c>
      <c r="J174" s="5" t="inlineStr">
        <is>
          <t>Competitive</t>
        </is>
      </c>
      <c r="K174" s="5" t="n"/>
      <c r="L174" s="5" t="inlineStr">
        <is>
          <t>SOURCE-112; SOURCE-458</t>
        </is>
      </c>
      <c r="M174" s="5" t="inlineStr">
        <is>
          <t>Medium</t>
        </is>
      </c>
    </row>
    <row r="175" ht="49" customHeight="1">
      <c r="A175" s="15" t="inlineStr">
        <is>
          <t>AWARD-174</t>
        </is>
      </c>
      <c r="B175" s="18" t="inlineStr">
        <is>
          <t>FILM-123</t>
        </is>
      </c>
      <c r="C175" s="5" t="inlineStr">
        <is>
          <t>Namastey London</t>
        </is>
      </c>
      <c r="D175" s="17" t="n">
        <v>2008</v>
      </c>
      <c r="E175" s="5" t="inlineStr">
        <is>
          <t>Filmfare Awards</t>
        </is>
      </c>
      <c r="F175" s="5" t="inlineStr">
        <is>
          <t>Best Actor</t>
        </is>
      </c>
      <c r="G175" s="5" t="inlineStr">
        <is>
          <t>Akshay Kumar</t>
        </is>
      </c>
      <c r="H175" s="5" t="inlineStr">
        <is>
          <t>Actor</t>
        </is>
      </c>
      <c r="I175" s="5" t="inlineStr">
        <is>
          <t>Nomination</t>
        </is>
      </c>
      <c r="J175" s="5" t="inlineStr">
        <is>
          <t>Competitive</t>
        </is>
      </c>
      <c r="K175" s="5" t="inlineStr">
        <is>
          <t>53rd Filmfare Awards, held 16 February 2008. The film's only nomination. Kapoor plays Kumar's prospective father-in-law.</t>
        </is>
      </c>
      <c r="L175" s="5" t="inlineStr">
        <is>
          <t>SOURCE-114; SOURCE-459</t>
        </is>
      </c>
      <c r="M175" s="5" t="inlineStr">
        <is>
          <t>Medium</t>
        </is>
      </c>
    </row>
    <row r="176" ht="64" customHeight="1">
      <c r="A176" s="15" t="inlineStr">
        <is>
          <t>AWARD-175</t>
        </is>
      </c>
      <c r="B176" s="18" t="inlineStr">
        <is>
          <t>FILM-125</t>
        </is>
      </c>
      <c r="C176" s="5" t="inlineStr">
        <is>
          <t>Om Shanti Om</t>
        </is>
      </c>
      <c r="D176" s="17" t="n">
        <v>2008</v>
      </c>
      <c r="E176" s="5" t="inlineStr">
        <is>
          <t>Filmfare Awards</t>
        </is>
      </c>
      <c r="F176" s="5" t="inlineStr">
        <is>
          <t>Best Female Debut</t>
        </is>
      </c>
      <c r="G176" s="5" t="inlineStr">
        <is>
          <t>Deepika Padukone</t>
        </is>
      </c>
      <c r="H176" s="5" t="inlineStr">
        <is>
          <t>Actress</t>
        </is>
      </c>
      <c r="I176" s="5" t="inlineStr">
        <is>
          <t>Win</t>
        </is>
      </c>
      <c r="J176" s="5" t="inlineStr">
        <is>
          <t>Competitive</t>
        </is>
      </c>
      <c r="K176" s="5" t="inlineStr">
        <is>
          <t>53rd Filmfare Awards. Om Shanti Om took 12 nominations and won 2. Kapoor appears as himself; the film's title comes from the song in his own Karz (1980).</t>
        </is>
      </c>
      <c r="L176" s="5" t="inlineStr">
        <is>
          <t>SOURCE-116; SOURCE-459</t>
        </is>
      </c>
      <c r="M176" s="5" t="inlineStr">
        <is>
          <t>Medium</t>
        </is>
      </c>
    </row>
    <row r="177" ht="19" customHeight="1">
      <c r="A177" s="15" t="inlineStr">
        <is>
          <t>AWARD-176</t>
        </is>
      </c>
      <c r="B177" s="18" t="inlineStr">
        <is>
          <t>FILM-125</t>
        </is>
      </c>
      <c r="C177" s="5" t="inlineStr">
        <is>
          <t>Om Shanti Om</t>
        </is>
      </c>
      <c r="D177" s="17" t="n">
        <v>2008</v>
      </c>
      <c r="E177" s="5" t="inlineStr">
        <is>
          <t>Filmfare Awards</t>
        </is>
      </c>
      <c r="F177" s="5" t="inlineStr">
        <is>
          <t>Best Special Effects</t>
        </is>
      </c>
      <c r="G177" s="5" t="inlineStr">
        <is>
          <t>Red Chillies VFX</t>
        </is>
      </c>
      <c r="H177" s="5" t="inlineStr">
        <is>
          <t>Technician</t>
        </is>
      </c>
      <c r="I177" s="5" t="inlineStr">
        <is>
          <t>Win</t>
        </is>
      </c>
      <c r="J177" s="5" t="inlineStr">
        <is>
          <t>Competitive</t>
        </is>
      </c>
      <c r="K177" s="5" t="n"/>
      <c r="L177" s="5" t="inlineStr">
        <is>
          <t>SOURCE-116; SOURCE-459</t>
        </is>
      </c>
      <c r="M177" s="5" t="inlineStr">
        <is>
          <t>Medium</t>
        </is>
      </c>
    </row>
    <row r="178" ht="19" customHeight="1">
      <c r="A178" s="15" t="inlineStr">
        <is>
          <t>AWARD-177</t>
        </is>
      </c>
      <c r="B178" s="18" t="inlineStr">
        <is>
          <t>FILM-125</t>
        </is>
      </c>
      <c r="C178" s="5" t="inlineStr">
        <is>
          <t>Om Shanti Om</t>
        </is>
      </c>
      <c r="D178" s="17" t="n">
        <v>2008</v>
      </c>
      <c r="E178" s="5" t="inlineStr">
        <is>
          <t>Filmfare Awards</t>
        </is>
      </c>
      <c r="F178" s="5" t="inlineStr">
        <is>
          <t>Best Film</t>
        </is>
      </c>
      <c r="G178" s="5" t="inlineStr">
        <is>
          <t>Om Shanti Om</t>
        </is>
      </c>
      <c r="H178" s="5" t="inlineStr">
        <is>
          <t>Film</t>
        </is>
      </c>
      <c r="I178" s="5" t="inlineStr">
        <is>
          <t>Nomination</t>
        </is>
      </c>
      <c r="J178" s="5" t="inlineStr">
        <is>
          <t>Competitive</t>
        </is>
      </c>
      <c r="K178" s="5" t="n"/>
      <c r="L178" s="5" t="inlineStr">
        <is>
          <t>SOURCE-116; SOURCE-459</t>
        </is>
      </c>
      <c r="M178" s="5" t="inlineStr">
        <is>
          <t>Medium</t>
        </is>
      </c>
    </row>
    <row r="179" ht="19" customHeight="1">
      <c r="A179" s="15" t="inlineStr">
        <is>
          <t>AWARD-178</t>
        </is>
      </c>
      <c r="B179" s="18" t="inlineStr">
        <is>
          <t>FILM-125</t>
        </is>
      </c>
      <c r="C179" s="5" t="inlineStr">
        <is>
          <t>Om Shanti Om</t>
        </is>
      </c>
      <c r="D179" s="17" t="n">
        <v>2008</v>
      </c>
      <c r="E179" s="5" t="inlineStr">
        <is>
          <t>Filmfare Awards</t>
        </is>
      </c>
      <c r="F179" s="5" t="inlineStr">
        <is>
          <t>Best Director</t>
        </is>
      </c>
      <c r="G179" s="5" t="inlineStr">
        <is>
          <t>Farah Khan</t>
        </is>
      </c>
      <c r="H179" s="5" t="inlineStr">
        <is>
          <t>Director</t>
        </is>
      </c>
      <c r="I179" s="5" t="inlineStr">
        <is>
          <t>Nomination</t>
        </is>
      </c>
      <c r="J179" s="5" t="inlineStr">
        <is>
          <t>Competitive</t>
        </is>
      </c>
      <c r="K179" s="5" t="n"/>
      <c r="L179" s="5" t="inlineStr">
        <is>
          <t>SOURCE-116; SOURCE-459</t>
        </is>
      </c>
      <c r="M179" s="5" t="inlineStr">
        <is>
          <t>Medium</t>
        </is>
      </c>
    </row>
    <row r="180" ht="19" customHeight="1">
      <c r="A180" s="15" t="inlineStr">
        <is>
          <t>AWARD-179</t>
        </is>
      </c>
      <c r="B180" s="18" t="inlineStr">
        <is>
          <t>FILM-125</t>
        </is>
      </c>
      <c r="C180" s="5" t="inlineStr">
        <is>
          <t>Om Shanti Om</t>
        </is>
      </c>
      <c r="D180" s="17" t="n">
        <v>2008</v>
      </c>
      <c r="E180" s="5" t="inlineStr">
        <is>
          <t>Filmfare Awards</t>
        </is>
      </c>
      <c r="F180" s="5" t="inlineStr">
        <is>
          <t>Best Actor</t>
        </is>
      </c>
      <c r="G180" s="5" t="inlineStr">
        <is>
          <t>Shah Rukh Khan</t>
        </is>
      </c>
      <c r="H180" s="5" t="inlineStr">
        <is>
          <t>Actor</t>
        </is>
      </c>
      <c r="I180" s="5" t="inlineStr">
        <is>
          <t>Nomination</t>
        </is>
      </c>
      <c r="J180" s="5" t="inlineStr">
        <is>
          <t>Competitive</t>
        </is>
      </c>
      <c r="K180" s="5" t="n"/>
      <c r="L180" s="5" t="inlineStr">
        <is>
          <t>SOURCE-116; SOURCE-459</t>
        </is>
      </c>
      <c r="M180" s="5" t="inlineStr">
        <is>
          <t>Medium</t>
        </is>
      </c>
    </row>
    <row r="181" ht="19" customHeight="1">
      <c r="A181" s="15" t="inlineStr">
        <is>
          <t>AWARD-180</t>
        </is>
      </c>
      <c r="B181" s="18" t="inlineStr">
        <is>
          <t>FILM-125</t>
        </is>
      </c>
      <c r="C181" s="5" t="inlineStr">
        <is>
          <t>Om Shanti Om</t>
        </is>
      </c>
      <c r="D181" s="17" t="n">
        <v>2008</v>
      </c>
      <c r="E181" s="5" t="inlineStr">
        <is>
          <t>Filmfare Awards</t>
        </is>
      </c>
      <c r="F181" s="5" t="inlineStr">
        <is>
          <t>Best Actress</t>
        </is>
      </c>
      <c r="G181" s="5" t="inlineStr">
        <is>
          <t>Deepika Padukone</t>
        </is>
      </c>
      <c r="H181" s="5" t="inlineStr">
        <is>
          <t>Actress</t>
        </is>
      </c>
      <c r="I181" s="5" t="inlineStr">
        <is>
          <t>Nomination</t>
        </is>
      </c>
      <c r="J181" s="5" t="inlineStr">
        <is>
          <t>Competitive</t>
        </is>
      </c>
      <c r="K181" s="5" t="n"/>
      <c r="L181" s="5" t="inlineStr">
        <is>
          <t>SOURCE-116; SOURCE-459</t>
        </is>
      </c>
      <c r="M181" s="5" t="inlineStr">
        <is>
          <t>Medium</t>
        </is>
      </c>
    </row>
    <row r="182" ht="19" customHeight="1">
      <c r="A182" s="15" t="inlineStr">
        <is>
          <t>AWARD-181</t>
        </is>
      </c>
      <c r="B182" s="18" t="inlineStr">
        <is>
          <t>FILM-125</t>
        </is>
      </c>
      <c r="C182" s="5" t="inlineStr">
        <is>
          <t>Om Shanti Om</t>
        </is>
      </c>
      <c r="D182" s="17" t="n">
        <v>2008</v>
      </c>
      <c r="E182" s="5" t="inlineStr">
        <is>
          <t>Filmfare Awards</t>
        </is>
      </c>
      <c r="F182" s="5" t="inlineStr">
        <is>
          <t>Best Supporting Actor</t>
        </is>
      </c>
      <c r="G182" s="5" t="inlineStr">
        <is>
          <t>Shreyas Talpade</t>
        </is>
      </c>
      <c r="H182" s="5" t="inlineStr">
        <is>
          <t>Actor</t>
        </is>
      </c>
      <c r="I182" s="5" t="inlineStr">
        <is>
          <t>Nomination</t>
        </is>
      </c>
      <c r="J182" s="5" t="inlineStr">
        <is>
          <t>Competitive</t>
        </is>
      </c>
      <c r="K182" s="5" t="n"/>
      <c r="L182" s="5" t="inlineStr">
        <is>
          <t>SOURCE-116; SOURCE-459</t>
        </is>
      </c>
      <c r="M182" s="5" t="inlineStr">
        <is>
          <t>Medium</t>
        </is>
      </c>
    </row>
    <row r="183" ht="19" customHeight="1">
      <c r="A183" s="15" t="inlineStr">
        <is>
          <t>AWARD-182</t>
        </is>
      </c>
      <c r="B183" s="18" t="inlineStr">
        <is>
          <t>FILM-125</t>
        </is>
      </c>
      <c r="C183" s="5" t="inlineStr">
        <is>
          <t>Om Shanti Om</t>
        </is>
      </c>
      <c r="D183" s="17" t="n">
        <v>2008</v>
      </c>
      <c r="E183" s="5" t="inlineStr">
        <is>
          <t>Filmfare Awards</t>
        </is>
      </c>
      <c r="F183" s="5" t="inlineStr">
        <is>
          <t>Best Music Director</t>
        </is>
      </c>
      <c r="G183" s="5" t="inlineStr">
        <is>
          <t>Vishal–Shekhar</t>
        </is>
      </c>
      <c r="H183" s="5" t="inlineStr">
        <is>
          <t>Music director</t>
        </is>
      </c>
      <c r="I183" s="5" t="inlineStr">
        <is>
          <t>Nomination</t>
        </is>
      </c>
      <c r="J183" s="5" t="inlineStr">
        <is>
          <t>Competitive</t>
        </is>
      </c>
      <c r="K183" s="5" t="n"/>
      <c r="L183" s="5" t="inlineStr">
        <is>
          <t>SOURCE-116; SOURCE-459</t>
        </is>
      </c>
      <c r="M183" s="5" t="inlineStr">
        <is>
          <t>Medium</t>
        </is>
      </c>
    </row>
    <row r="184" ht="19" customHeight="1">
      <c r="A184" s="15" t="inlineStr">
        <is>
          <t>AWARD-183</t>
        </is>
      </c>
      <c r="B184" s="18" t="inlineStr">
        <is>
          <t>FILM-125</t>
        </is>
      </c>
      <c r="C184" s="5" t="inlineStr">
        <is>
          <t>Om Shanti Om</t>
        </is>
      </c>
      <c r="D184" s="17" t="n">
        <v>2008</v>
      </c>
      <c r="E184" s="5" t="inlineStr">
        <is>
          <t>Filmfare Awards</t>
        </is>
      </c>
      <c r="F184" s="5" t="inlineStr">
        <is>
          <t>Best Lyricist</t>
        </is>
      </c>
      <c r="G184" s="5" t="inlineStr">
        <is>
          <t>Javed Akhtar</t>
        </is>
      </c>
      <c r="H184" s="5" t="inlineStr">
        <is>
          <t>Lyricist</t>
        </is>
      </c>
      <c r="I184" s="5" t="inlineStr">
        <is>
          <t>Nomination</t>
        </is>
      </c>
      <c r="J184" s="5" t="inlineStr">
        <is>
          <t>Competitive</t>
        </is>
      </c>
      <c r="K184" s="5" t="inlineStr">
        <is>
          <t>For "Main Agar Kahoon".</t>
        </is>
      </c>
      <c r="L184" s="5" t="inlineStr">
        <is>
          <t>SOURCE-116; SOURCE-459</t>
        </is>
      </c>
      <c r="M184" s="5" t="inlineStr">
        <is>
          <t>Medium</t>
        </is>
      </c>
    </row>
    <row r="185" ht="19" customHeight="1">
      <c r="A185" s="15" t="inlineStr">
        <is>
          <t>AWARD-184</t>
        </is>
      </c>
      <c r="B185" s="18" t="inlineStr">
        <is>
          <t>FILM-125</t>
        </is>
      </c>
      <c r="C185" s="5" t="inlineStr">
        <is>
          <t>Om Shanti Om</t>
        </is>
      </c>
      <c r="D185" s="17" t="n">
        <v>2008</v>
      </c>
      <c r="E185" s="5" t="inlineStr">
        <is>
          <t>Filmfare Awards</t>
        </is>
      </c>
      <c r="F185" s="5" t="inlineStr">
        <is>
          <t>Best Lyricist</t>
        </is>
      </c>
      <c r="G185" s="5" t="inlineStr">
        <is>
          <t>Vishal Dadlani</t>
        </is>
      </c>
      <c r="H185" s="5" t="inlineStr">
        <is>
          <t>Lyricist</t>
        </is>
      </c>
      <c r="I185" s="5" t="inlineStr">
        <is>
          <t>Nomination</t>
        </is>
      </c>
      <c r="J185" s="5" t="inlineStr">
        <is>
          <t>Competitive</t>
        </is>
      </c>
      <c r="K185" s="5" t="inlineStr">
        <is>
          <t>For "Ajab Si".</t>
        </is>
      </c>
      <c r="L185" s="5" t="inlineStr">
        <is>
          <t>SOURCE-116; SOURCE-459</t>
        </is>
      </c>
      <c r="M185" s="5" t="inlineStr">
        <is>
          <t>Medium</t>
        </is>
      </c>
    </row>
    <row r="186" ht="19" customHeight="1">
      <c r="A186" s="15" t="inlineStr">
        <is>
          <t>AWARD-185</t>
        </is>
      </c>
      <c r="B186" s="18" t="inlineStr">
        <is>
          <t>FILM-125</t>
        </is>
      </c>
      <c r="C186" s="5" t="inlineStr">
        <is>
          <t>Om Shanti Om</t>
        </is>
      </c>
      <c r="D186" s="17" t="n">
        <v>2008</v>
      </c>
      <c r="E186" s="5" t="inlineStr">
        <is>
          <t>Filmfare Awards</t>
        </is>
      </c>
      <c r="F186" s="5" t="inlineStr">
        <is>
          <t>Best Male Playback Singer</t>
        </is>
      </c>
      <c r="G186" s="5" t="inlineStr">
        <is>
          <t>KK</t>
        </is>
      </c>
      <c r="H186" s="5" t="inlineStr">
        <is>
          <t>Playback singer</t>
        </is>
      </c>
      <c r="I186" s="5" t="inlineStr">
        <is>
          <t>Nomination</t>
        </is>
      </c>
      <c r="J186" s="5" t="inlineStr">
        <is>
          <t>Competitive</t>
        </is>
      </c>
      <c r="K186" s="5" t="inlineStr">
        <is>
          <t>For "Ajab Si".</t>
        </is>
      </c>
      <c r="L186" s="5" t="inlineStr">
        <is>
          <t>SOURCE-116; SOURCE-459</t>
        </is>
      </c>
      <c r="M186" s="5" t="inlineStr">
        <is>
          <t>Medium</t>
        </is>
      </c>
    </row>
    <row r="187" ht="19" customHeight="1">
      <c r="A187" s="15" t="inlineStr">
        <is>
          <t>AWARD-186</t>
        </is>
      </c>
      <c r="B187" s="18" t="inlineStr">
        <is>
          <t>FILM-125</t>
        </is>
      </c>
      <c r="C187" s="5" t="inlineStr">
        <is>
          <t>Om Shanti Om</t>
        </is>
      </c>
      <c r="D187" s="17" t="n">
        <v>2008</v>
      </c>
      <c r="E187" s="5" t="inlineStr">
        <is>
          <t>Filmfare Awards</t>
        </is>
      </c>
      <c r="F187" s="5" t="inlineStr">
        <is>
          <t>Best Male Playback Singer</t>
        </is>
      </c>
      <c r="G187" s="5" t="inlineStr">
        <is>
          <t>Sonu Nigam</t>
        </is>
      </c>
      <c r="H187" s="5" t="inlineStr">
        <is>
          <t>Playback singer</t>
        </is>
      </c>
      <c r="I187" s="5" t="inlineStr">
        <is>
          <t>Nomination</t>
        </is>
      </c>
      <c r="J187" s="5" t="inlineStr">
        <is>
          <t>Competitive</t>
        </is>
      </c>
      <c r="K187" s="5" t="inlineStr">
        <is>
          <t>For "Main Agar Kahoon".</t>
        </is>
      </c>
      <c r="L187" s="5" t="inlineStr">
        <is>
          <t>SOURCE-116; SOURCE-459</t>
        </is>
      </c>
      <c r="M187" s="5" t="inlineStr">
        <is>
          <t>Medium</t>
        </is>
      </c>
    </row>
    <row r="188" ht="34" customHeight="1">
      <c r="A188" s="15" t="inlineStr">
        <is>
          <t>AWARD-187</t>
        </is>
      </c>
      <c r="B188" s="18" t="inlineStr">
        <is>
          <t>FILM-125</t>
        </is>
      </c>
      <c r="C188" s="5" t="inlineStr">
        <is>
          <t>Om Shanti Om</t>
        </is>
      </c>
      <c r="D188" s="17" t="n">
        <v>2008</v>
      </c>
      <c r="E188" s="5" t="inlineStr">
        <is>
          <t>CAAMFest</t>
        </is>
      </c>
      <c r="F188" s="5" t="inlineStr">
        <is>
          <t>Best Narrative</t>
        </is>
      </c>
      <c r="G188" s="5" t="inlineStr">
        <is>
          <t>Om Shanti Om</t>
        </is>
      </c>
      <c r="H188" s="5" t="inlineStr">
        <is>
          <t>Film</t>
        </is>
      </c>
      <c r="I188" s="5" t="inlineStr">
        <is>
          <t>Win</t>
        </is>
      </c>
      <c r="J188" s="5" t="inlineStr">
        <is>
          <t>Competitive</t>
        </is>
      </c>
      <c r="K188" s="5" t="inlineStr">
        <is>
          <t>Festival prize to the film, 13–23 March 2008.</t>
        </is>
      </c>
      <c r="L188" s="5" t="inlineStr">
        <is>
          <t>SOURCE-116</t>
        </is>
      </c>
      <c r="M188" s="5" t="inlineStr">
        <is>
          <t>Medium</t>
        </is>
      </c>
    </row>
    <row r="189" ht="34" customHeight="1">
      <c r="A189" s="15" t="inlineStr">
        <is>
          <t>AWARD-188</t>
        </is>
      </c>
      <c r="B189" s="18" t="inlineStr">
        <is>
          <t>FILM-125</t>
        </is>
      </c>
      <c r="C189" s="5" t="inlineStr">
        <is>
          <t>Om Shanti Om</t>
        </is>
      </c>
      <c r="D189" s="17" t="n">
        <v>2008</v>
      </c>
      <c r="E189" s="5" t="inlineStr">
        <is>
          <t>Neuchâtel International Fantastic Film Festival</t>
        </is>
      </c>
      <c r="F189" s="5" t="inlineStr">
        <is>
          <t>Mad Movies Award</t>
        </is>
      </c>
      <c r="G189" s="5" t="inlineStr">
        <is>
          <t>Om Shanti Om</t>
        </is>
      </c>
      <c r="H189" s="5" t="inlineStr">
        <is>
          <t>Film</t>
        </is>
      </c>
      <c r="I189" s="5" t="inlineStr">
        <is>
          <t>Win</t>
        </is>
      </c>
      <c r="J189" s="5" t="inlineStr">
        <is>
          <t>Competitive</t>
        </is>
      </c>
      <c r="K189" s="5" t="inlineStr">
        <is>
          <t>Festival prize to the film, July 2008.</t>
        </is>
      </c>
      <c r="L189" s="5" t="inlineStr">
        <is>
          <t>SOURCE-116</t>
        </is>
      </c>
      <c r="M189" s="5" t="inlineStr">
        <is>
          <t>Medium</t>
        </is>
      </c>
    </row>
    <row r="190" ht="19" customHeight="1">
      <c r="A190" s="15" t="inlineStr">
        <is>
          <t>AWARD-189</t>
        </is>
      </c>
      <c r="B190" s="18" t="inlineStr">
        <is>
          <t>FILM-125</t>
        </is>
      </c>
      <c r="C190" s="5" t="inlineStr">
        <is>
          <t>Om Shanti Om</t>
        </is>
      </c>
      <c r="D190" s="17" t="n">
        <v>2008</v>
      </c>
      <c r="E190" s="5" t="inlineStr">
        <is>
          <t>Asia Pacific Screen Awards</t>
        </is>
      </c>
      <c r="F190" s="5" t="inlineStr">
        <is>
          <t>Best Feature Film</t>
        </is>
      </c>
      <c r="G190" s="5" t="inlineStr">
        <is>
          <t>Om Shanti Om</t>
        </is>
      </c>
      <c r="H190" s="5" t="inlineStr">
        <is>
          <t>Film</t>
        </is>
      </c>
      <c r="I190" s="5" t="inlineStr">
        <is>
          <t>Nomination</t>
        </is>
      </c>
      <c r="J190" s="5" t="inlineStr">
        <is>
          <t>Competitive</t>
        </is>
      </c>
      <c r="K190" s="5" t="inlineStr">
        <is>
          <t>11 November 2008.</t>
        </is>
      </c>
      <c r="L190" s="5" t="inlineStr">
        <is>
          <t>SOURCE-116</t>
        </is>
      </c>
      <c r="M190" s="5" t="inlineStr">
        <is>
          <t>Medium</t>
        </is>
      </c>
    </row>
    <row r="191" ht="64" customHeight="1">
      <c r="A191" s="15" t="inlineStr">
        <is>
          <t>AWARD-190</t>
        </is>
      </c>
      <c r="B191" s="18" t="n"/>
      <c r="C191" s="5" t="n"/>
      <c r="D191" s="17" t="n">
        <v>2008</v>
      </c>
      <c r="E191" s="5" t="inlineStr">
        <is>
          <t>Filmfare Awards</t>
        </is>
      </c>
      <c r="F191" s="5" t="inlineStr">
        <is>
          <t>Lifetime Achievement Award</t>
        </is>
      </c>
      <c r="G191" s="5" t="inlineStr">
        <is>
          <t>Rishi Kapoor</t>
        </is>
      </c>
      <c r="H191" s="5" t="inlineStr">
        <is>
          <t>Actor (honorary)</t>
        </is>
      </c>
      <c r="I191" s="5" t="inlineStr">
        <is>
          <t>Win</t>
        </is>
      </c>
      <c r="J191" s="5" t="inlineStr">
        <is>
          <t>Honorary</t>
        </is>
      </c>
      <c r="K191" s="5" t="inlineStr">
        <is>
          <t>53rd Filmfare Awards, 16 February 2008. Awarded for his career as a whole rather than for a film, at fifty-five and twelve years before his death.</t>
        </is>
      </c>
      <c r="L191" s="5" t="inlineStr">
        <is>
          <t>SOURCE-240; SOURCE-459</t>
        </is>
      </c>
      <c r="M191" s="5" t="inlineStr">
        <is>
          <t>Medium</t>
        </is>
      </c>
    </row>
    <row r="192" ht="34" customHeight="1">
      <c r="A192" s="15" t="inlineStr">
        <is>
          <t>AWARD-191</t>
        </is>
      </c>
      <c r="B192" s="18" t="inlineStr">
        <is>
          <t>FILM-125</t>
        </is>
      </c>
      <c r="C192" s="5" t="inlineStr">
        <is>
          <t>Om Shanti Om</t>
        </is>
      </c>
      <c r="D192" s="17" t="n">
        <v>2009</v>
      </c>
      <c r="E192" s="5" t="inlineStr">
        <is>
          <t>National Film Awards</t>
        </is>
      </c>
      <c r="F192" s="5" t="inlineStr">
        <is>
          <t>Best Art Direction</t>
        </is>
      </c>
      <c r="G192" s="5" t="inlineStr">
        <is>
          <t>Sabu Cyril</t>
        </is>
      </c>
      <c r="H192" s="5" t="inlineStr">
        <is>
          <t>Technician</t>
        </is>
      </c>
      <c r="I192" s="5" t="inlineStr">
        <is>
          <t>Win</t>
        </is>
      </c>
      <c r="J192" s="5" t="inlineStr">
        <is>
          <t>Competitive</t>
        </is>
      </c>
      <c r="K192" s="5" t="inlineStr">
        <is>
          <t>55th National Film Awards, announced 7 September 2009 for films of 2007.</t>
        </is>
      </c>
      <c r="L192" s="5" t="inlineStr">
        <is>
          <t>SOURCE-116; SOURCE-460</t>
        </is>
      </c>
      <c r="M192" s="5" t="inlineStr">
        <is>
          <t>Medium</t>
        </is>
      </c>
    </row>
    <row r="193" ht="64" customHeight="1">
      <c r="A193" s="15" t="inlineStr">
        <is>
          <t>AWARD-192</t>
        </is>
      </c>
      <c r="B193" s="18" t="n"/>
      <c r="C193" s="5" t="n"/>
      <c r="D193" s="17" t="n">
        <v>2009</v>
      </c>
      <c r="E193" s="5" t="inlineStr">
        <is>
          <t>International honour</t>
        </is>
      </c>
      <c r="F193" s="5" t="inlineStr">
        <is>
          <t>Honoured by the Government of Russia for his contribution to cinema</t>
        </is>
      </c>
      <c r="G193" s="5" t="inlineStr">
        <is>
          <t>Rishi Kapoor</t>
        </is>
      </c>
      <c r="H193" s="5" t="inlineStr">
        <is>
          <t>Actor (honorary)</t>
        </is>
      </c>
      <c r="I193" s="5" t="inlineStr">
        <is>
          <t>Win</t>
        </is>
      </c>
      <c r="J193" s="5" t="inlineStr">
        <is>
          <t>Honorary</t>
        </is>
      </c>
      <c r="K193" s="5" t="inlineStr">
        <is>
          <t>November 2009. Recognition of the Kapoor family's standing in Russia, where Bobby drew 62.6 million admissions and was the most popular Indian film of the 1970s.</t>
        </is>
      </c>
      <c r="L193" s="5" t="inlineStr">
        <is>
          <t>SOURCE-240</t>
        </is>
      </c>
      <c r="M193" s="5" t="inlineStr">
        <is>
          <t>Medium</t>
        </is>
      </c>
    </row>
    <row r="194" ht="34" customHeight="1">
      <c r="A194" s="15" t="inlineStr">
        <is>
          <t>AWARD-193</t>
        </is>
      </c>
      <c r="B194" s="18" t="inlineStr">
        <is>
          <t>FILM-128</t>
        </is>
      </c>
      <c r="C194" s="5" t="inlineStr">
        <is>
          <t>Luck by Chance</t>
        </is>
      </c>
      <c r="D194" s="17" t="n">
        <v>2010</v>
      </c>
      <c r="E194" s="5" t="inlineStr">
        <is>
          <t>Filmfare Awards</t>
        </is>
      </c>
      <c r="F194" s="5" t="inlineStr">
        <is>
          <t>Best Debut Director</t>
        </is>
      </c>
      <c r="G194" s="5" t="inlineStr">
        <is>
          <t>Zoya Akhtar</t>
        </is>
      </c>
      <c r="H194" s="5" t="inlineStr">
        <is>
          <t>Director</t>
        </is>
      </c>
      <c r="I194" s="5" t="inlineStr">
        <is>
          <t>Win</t>
        </is>
      </c>
      <c r="J194" s="5" t="inlineStr">
        <is>
          <t>Competitive</t>
        </is>
      </c>
      <c r="K194" s="5" t="inlineStr">
        <is>
          <t>55th Filmfare Awards, held 27 February 2010. Shared with Ayan Mukerji for Wake Up Sid.</t>
        </is>
      </c>
      <c r="L194" s="5" t="inlineStr">
        <is>
          <t>SOURCE-120; SOURCE-461</t>
        </is>
      </c>
      <c r="M194" s="5" t="inlineStr">
        <is>
          <t>Medium</t>
        </is>
      </c>
    </row>
    <row r="195" ht="79" customHeight="1">
      <c r="A195" s="15" t="inlineStr">
        <is>
          <t>AWARD-194</t>
        </is>
      </c>
      <c r="B195" s="18" t="inlineStr">
        <is>
          <t>FILM-128</t>
        </is>
      </c>
      <c r="C195" s="5" t="inlineStr">
        <is>
          <t>Luck by Chance</t>
        </is>
      </c>
      <c r="D195" s="17" t="n">
        <v>2010</v>
      </c>
      <c r="E195" s="5" t="inlineStr">
        <is>
          <t>Filmfare Awards</t>
        </is>
      </c>
      <c r="F195" s="5" t="inlineStr">
        <is>
          <t>Best Supporting Actor</t>
        </is>
      </c>
      <c r="G195" s="5" t="inlineStr">
        <is>
          <t>Rishi Kapoor</t>
        </is>
      </c>
      <c r="H195" s="5" t="inlineStr">
        <is>
          <t>Actor</t>
        </is>
      </c>
      <c r="I195" s="5" t="inlineStr">
        <is>
          <t>Nomination</t>
        </is>
      </c>
      <c r="J195" s="5" t="inlineStr">
        <is>
          <t>Competitive</t>
        </is>
      </c>
      <c r="K195" s="5" t="inlineStr">
        <is>
          <t>As the producer Rommy Rolly. His first Filmfare acting nomination in twenty years and the first in the supporting category, marking the start of the late character-actor run that his final reputation rests on.</t>
        </is>
      </c>
      <c r="L195" s="5" t="inlineStr">
        <is>
          <t>SOURCE-120; SOURCE-461</t>
        </is>
      </c>
      <c r="M195" s="5" t="inlineStr">
        <is>
          <t>High</t>
        </is>
      </c>
    </row>
    <row r="196" ht="34" customHeight="1">
      <c r="A196" s="15" t="inlineStr">
        <is>
          <t>AWARD-195</t>
        </is>
      </c>
      <c r="B196" s="18" t="inlineStr">
        <is>
          <t>FILM-128</t>
        </is>
      </c>
      <c r="C196" s="5" t="inlineStr">
        <is>
          <t>Luck by Chance</t>
        </is>
      </c>
      <c r="D196" s="17" t="n">
        <v>2010</v>
      </c>
      <c r="E196" s="5" t="inlineStr">
        <is>
          <t>Filmfare Awards</t>
        </is>
      </c>
      <c r="F196" s="5" t="inlineStr">
        <is>
          <t>Best Supporting Actress</t>
        </is>
      </c>
      <c r="G196" s="5" t="inlineStr">
        <is>
          <t>Dimple Kapadia</t>
        </is>
      </c>
      <c r="H196" s="5" t="inlineStr">
        <is>
          <t>Actress</t>
        </is>
      </c>
      <c r="I196" s="5" t="inlineStr">
        <is>
          <t>Nomination</t>
        </is>
      </c>
      <c r="J196" s="5" t="inlineStr">
        <is>
          <t>Competitive</t>
        </is>
      </c>
      <c r="K196" s="5" t="inlineStr">
        <is>
          <t>Kapadia and Kapoor nominated from the same film, thirty-six years after Bobby.</t>
        </is>
      </c>
      <c r="L196" s="5" t="inlineStr">
        <is>
          <t>SOURCE-120; SOURCE-461</t>
        </is>
      </c>
      <c r="M196" s="5" t="inlineStr">
        <is>
          <t>Medium</t>
        </is>
      </c>
    </row>
    <row r="197" ht="19" customHeight="1">
      <c r="A197" s="15" t="inlineStr">
        <is>
          <t>AWARD-196</t>
        </is>
      </c>
      <c r="B197" s="18" t="inlineStr">
        <is>
          <t>FILM-128</t>
        </is>
      </c>
      <c r="C197" s="5" t="inlineStr">
        <is>
          <t>Luck by Chance</t>
        </is>
      </c>
      <c r="D197" s="17" t="n">
        <v>2010</v>
      </c>
      <c r="E197" s="5" t="inlineStr">
        <is>
          <t>Filmfare Awards</t>
        </is>
      </c>
      <c r="F197" s="5" t="inlineStr">
        <is>
          <t>Best Story</t>
        </is>
      </c>
      <c r="G197" s="5" t="inlineStr">
        <is>
          <t>Zoya Akhtar</t>
        </is>
      </c>
      <c r="H197" s="5" t="inlineStr">
        <is>
          <t>Writer</t>
        </is>
      </c>
      <c r="I197" s="5" t="inlineStr">
        <is>
          <t>Nomination</t>
        </is>
      </c>
      <c r="J197" s="5" t="inlineStr">
        <is>
          <t>Competitive</t>
        </is>
      </c>
      <c r="K197" s="5" t="n"/>
      <c r="L197" s="5" t="inlineStr">
        <is>
          <t>SOURCE-120; SOURCE-461</t>
        </is>
      </c>
      <c r="M197" s="5" t="inlineStr">
        <is>
          <t>Medium</t>
        </is>
      </c>
    </row>
    <row r="198" ht="19" customHeight="1">
      <c r="A198" s="15" t="inlineStr">
        <is>
          <t>AWARD-197</t>
        </is>
      </c>
      <c r="B198" s="18" t="inlineStr">
        <is>
          <t>FILM-128</t>
        </is>
      </c>
      <c r="C198" s="5" t="inlineStr">
        <is>
          <t>Luck by Chance</t>
        </is>
      </c>
      <c r="D198" s="17" t="n">
        <v>2010</v>
      </c>
      <c r="E198" s="5" t="inlineStr">
        <is>
          <t>Filmfare Awards</t>
        </is>
      </c>
      <c r="F198" s="5" t="inlineStr">
        <is>
          <t>Best Screenplay</t>
        </is>
      </c>
      <c r="G198" s="5" t="inlineStr">
        <is>
          <t>Zoya Akhtar</t>
        </is>
      </c>
      <c r="H198" s="5" t="inlineStr">
        <is>
          <t>Writer</t>
        </is>
      </c>
      <c r="I198" s="5" t="inlineStr">
        <is>
          <t>Nomination</t>
        </is>
      </c>
      <c r="J198" s="5" t="inlineStr">
        <is>
          <t>Competitive</t>
        </is>
      </c>
      <c r="K198" s="5" t="n"/>
      <c r="L198" s="5" t="inlineStr">
        <is>
          <t>SOURCE-120; SOURCE-461</t>
        </is>
      </c>
      <c r="M198" s="5" t="inlineStr">
        <is>
          <t>Medium</t>
        </is>
      </c>
    </row>
    <row r="199" ht="34" customHeight="1">
      <c r="A199" s="15" t="inlineStr">
        <is>
          <t>AWARD-198</t>
        </is>
      </c>
      <c r="B199" s="18" t="inlineStr">
        <is>
          <t>FILM-129</t>
        </is>
      </c>
      <c r="C199" s="5" t="inlineStr">
        <is>
          <t>Delhi-6</t>
        </is>
      </c>
      <c r="D199" s="17" t="n">
        <v>2010</v>
      </c>
      <c r="E199" s="5" t="inlineStr">
        <is>
          <t>National Film Awards</t>
        </is>
      </c>
      <c r="F199" s="5" t="inlineStr">
        <is>
          <t>Best Feature Film on National Integration (Nargis Dutt Award)</t>
        </is>
      </c>
      <c r="G199" s="5" t="inlineStr">
        <is>
          <t>Delhi-6</t>
        </is>
      </c>
      <c r="H199" s="5" t="inlineStr">
        <is>
          <t>Film</t>
        </is>
      </c>
      <c r="I199" s="5" t="inlineStr">
        <is>
          <t>Win</t>
        </is>
      </c>
      <c r="J199" s="5" t="inlineStr">
        <is>
          <t>Competitive</t>
        </is>
      </c>
      <c r="K199" s="5" t="inlineStr">
        <is>
          <t>57th National Film Awards, announced 15 September 2010.</t>
        </is>
      </c>
      <c r="L199" s="5" t="inlineStr">
        <is>
          <t>SOURCE-121; SOURCE-462</t>
        </is>
      </c>
      <c r="M199" s="5" t="inlineStr">
        <is>
          <t>Medium</t>
        </is>
      </c>
    </row>
    <row r="200" ht="19" customHeight="1">
      <c r="A200" s="15" t="inlineStr">
        <is>
          <t>AWARD-199</t>
        </is>
      </c>
      <c r="B200" s="18" t="inlineStr">
        <is>
          <t>FILM-129</t>
        </is>
      </c>
      <c r="C200" s="5" t="inlineStr">
        <is>
          <t>Delhi-6</t>
        </is>
      </c>
      <c r="D200" s="17" t="n">
        <v>2010</v>
      </c>
      <c r="E200" s="5" t="inlineStr">
        <is>
          <t>National Film Awards</t>
        </is>
      </c>
      <c r="F200" s="5" t="inlineStr">
        <is>
          <t>Best Production Design</t>
        </is>
      </c>
      <c r="G200" s="5" t="inlineStr">
        <is>
          <t>Samir Chanda</t>
        </is>
      </c>
      <c r="H200" s="5" t="inlineStr">
        <is>
          <t>Technician</t>
        </is>
      </c>
      <c r="I200" s="5" t="inlineStr">
        <is>
          <t>Win</t>
        </is>
      </c>
      <c r="J200" s="5" t="inlineStr">
        <is>
          <t>Competitive</t>
        </is>
      </c>
      <c r="K200" s="5" t="inlineStr">
        <is>
          <t>57th National Film Awards.</t>
        </is>
      </c>
      <c r="L200" s="5" t="inlineStr">
        <is>
          <t>SOURCE-121; SOURCE-462</t>
        </is>
      </c>
      <c r="M200" s="5" t="inlineStr">
        <is>
          <t>Medium</t>
        </is>
      </c>
    </row>
    <row r="201" ht="34" customHeight="1">
      <c r="A201" s="15" t="inlineStr">
        <is>
          <t>AWARD-200</t>
        </is>
      </c>
      <c r="B201" s="18" t="inlineStr">
        <is>
          <t>FILM-129</t>
        </is>
      </c>
      <c r="C201" s="5" t="inlineStr">
        <is>
          <t>Delhi-6</t>
        </is>
      </c>
      <c r="D201" s="17" t="n">
        <v>2010</v>
      </c>
      <c r="E201" s="5" t="inlineStr">
        <is>
          <t>Filmfare Awards</t>
        </is>
      </c>
      <c r="F201" s="5" t="inlineStr">
        <is>
          <t>Best Music Director</t>
        </is>
      </c>
      <c r="G201" s="5" t="inlineStr">
        <is>
          <t>A. R. Rahman</t>
        </is>
      </c>
      <c r="H201" s="5" t="inlineStr">
        <is>
          <t>Music director</t>
        </is>
      </c>
      <c r="I201" s="5" t="inlineStr">
        <is>
          <t>Win</t>
        </is>
      </c>
      <c r="J201" s="5" t="inlineStr">
        <is>
          <t>Competitive</t>
        </is>
      </c>
      <c r="K201" s="5" t="inlineStr">
        <is>
          <t>55th Filmfare Awards, held 27 February 2010.</t>
        </is>
      </c>
      <c r="L201" s="5" t="inlineStr">
        <is>
          <t>SOURCE-121; SOURCE-461</t>
        </is>
      </c>
      <c r="M201" s="5" t="inlineStr">
        <is>
          <t>Medium</t>
        </is>
      </c>
    </row>
    <row r="202" ht="19" customHeight="1">
      <c r="A202" s="15" t="inlineStr">
        <is>
          <t>AWARD-201</t>
        </is>
      </c>
      <c r="B202" s="18" t="inlineStr">
        <is>
          <t>FILM-129</t>
        </is>
      </c>
      <c r="C202" s="5" t="inlineStr">
        <is>
          <t>Delhi-6</t>
        </is>
      </c>
      <c r="D202" s="17" t="n">
        <v>2010</v>
      </c>
      <c r="E202" s="5" t="inlineStr">
        <is>
          <t>Filmfare Awards</t>
        </is>
      </c>
      <c r="F202" s="5" t="inlineStr">
        <is>
          <t>Best Male Playback Singer</t>
        </is>
      </c>
      <c r="G202" s="5" t="inlineStr">
        <is>
          <t>Mohit Chauhan</t>
        </is>
      </c>
      <c r="H202" s="5" t="inlineStr">
        <is>
          <t>Playback singer</t>
        </is>
      </c>
      <c r="I202" s="5" t="inlineStr">
        <is>
          <t>Win</t>
        </is>
      </c>
      <c r="J202" s="5" t="inlineStr">
        <is>
          <t>Competitive</t>
        </is>
      </c>
      <c r="K202" s="5" t="inlineStr">
        <is>
          <t>For "Masakali".</t>
        </is>
      </c>
      <c r="L202" s="5" t="inlineStr">
        <is>
          <t>SOURCE-121; SOURCE-461</t>
        </is>
      </c>
      <c r="M202" s="5" t="inlineStr">
        <is>
          <t>Medium</t>
        </is>
      </c>
    </row>
    <row r="203" ht="34" customHeight="1">
      <c r="A203" s="15" t="inlineStr">
        <is>
          <t>AWARD-202</t>
        </is>
      </c>
      <c r="B203" s="18" t="inlineStr">
        <is>
          <t>FILM-129</t>
        </is>
      </c>
      <c r="C203" s="5" t="inlineStr">
        <is>
          <t>Delhi-6</t>
        </is>
      </c>
      <c r="D203" s="17" t="n">
        <v>2010</v>
      </c>
      <c r="E203" s="5" t="inlineStr">
        <is>
          <t>Filmfare Awards</t>
        </is>
      </c>
      <c r="F203" s="5" t="inlineStr">
        <is>
          <t>Best Female Playback Singer</t>
        </is>
      </c>
      <c r="G203" s="5" t="inlineStr">
        <is>
          <t>Rekha Bhardwaj</t>
        </is>
      </c>
      <c r="H203" s="5" t="inlineStr">
        <is>
          <t>Playback singer</t>
        </is>
      </c>
      <c r="I203" s="5" t="inlineStr">
        <is>
          <t>Win</t>
        </is>
      </c>
      <c r="J203" s="5" t="inlineStr">
        <is>
          <t>Competitive</t>
        </is>
      </c>
      <c r="K203" s="5" t="inlineStr">
        <is>
          <t>For "Genda Phool"; the ceremony article records the award as a tie.</t>
        </is>
      </c>
      <c r="L203" s="5" t="inlineStr">
        <is>
          <t>SOURCE-121; SOURCE-461</t>
        </is>
      </c>
      <c r="M203" s="5" t="inlineStr">
        <is>
          <t>Medium</t>
        </is>
      </c>
    </row>
    <row r="204" ht="19" customHeight="1">
      <c r="A204" s="15" t="inlineStr">
        <is>
          <t>AWARD-203</t>
        </is>
      </c>
      <c r="B204" s="18" t="inlineStr">
        <is>
          <t>FILM-129</t>
        </is>
      </c>
      <c r="C204" s="5" t="inlineStr">
        <is>
          <t>Delhi-6</t>
        </is>
      </c>
      <c r="D204" s="17" t="n">
        <v>2010</v>
      </c>
      <c r="E204" s="5" t="inlineStr">
        <is>
          <t>Filmfare Awards</t>
        </is>
      </c>
      <c r="F204" s="5" t="inlineStr">
        <is>
          <t>Best Supporting Actress</t>
        </is>
      </c>
      <c r="G204" s="5" t="inlineStr">
        <is>
          <t>Divya Dutta</t>
        </is>
      </c>
      <c r="H204" s="5" t="inlineStr">
        <is>
          <t>Actress</t>
        </is>
      </c>
      <c r="I204" s="5" t="inlineStr">
        <is>
          <t>Nomination</t>
        </is>
      </c>
      <c r="J204" s="5" t="inlineStr">
        <is>
          <t>Competitive</t>
        </is>
      </c>
      <c r="K204" s="5" t="n"/>
      <c r="L204" s="5" t="inlineStr">
        <is>
          <t>SOURCE-121; SOURCE-461</t>
        </is>
      </c>
      <c r="M204" s="5" t="inlineStr">
        <is>
          <t>Medium</t>
        </is>
      </c>
    </row>
    <row r="205" ht="19" customHeight="1">
      <c r="A205" s="15" t="inlineStr">
        <is>
          <t>AWARD-204</t>
        </is>
      </c>
      <c r="B205" s="18" t="inlineStr">
        <is>
          <t>FILM-129</t>
        </is>
      </c>
      <c r="C205" s="5" t="inlineStr">
        <is>
          <t>Delhi-6</t>
        </is>
      </c>
      <c r="D205" s="17" t="n">
        <v>2010</v>
      </c>
      <c r="E205" s="5" t="inlineStr">
        <is>
          <t>Filmfare Awards</t>
        </is>
      </c>
      <c r="F205" s="5" t="inlineStr">
        <is>
          <t>Best Lyricist</t>
        </is>
      </c>
      <c r="G205" s="5" t="inlineStr">
        <is>
          <t>Prasoon Joshi</t>
        </is>
      </c>
      <c r="H205" s="5" t="inlineStr">
        <is>
          <t>Lyricist</t>
        </is>
      </c>
      <c r="I205" s="5" t="inlineStr">
        <is>
          <t>Nomination</t>
        </is>
      </c>
      <c r="J205" s="5" t="inlineStr">
        <is>
          <t>Competitive</t>
        </is>
      </c>
      <c r="K205" s="5" t="inlineStr">
        <is>
          <t>For "Masakali".</t>
        </is>
      </c>
      <c r="L205" s="5" t="inlineStr">
        <is>
          <t>SOURCE-121; SOURCE-461</t>
        </is>
      </c>
      <c r="M205" s="5" t="inlineStr">
        <is>
          <t>Medium</t>
        </is>
      </c>
    </row>
    <row r="206" ht="19" customHeight="1">
      <c r="A206" s="15" t="inlineStr">
        <is>
          <t>AWARD-205</t>
        </is>
      </c>
      <c r="B206" s="18" t="inlineStr">
        <is>
          <t>FILM-129</t>
        </is>
      </c>
      <c r="C206" s="5" t="inlineStr">
        <is>
          <t>Delhi-6</t>
        </is>
      </c>
      <c r="D206" s="17" t="n">
        <v>2010</v>
      </c>
      <c r="E206" s="5" t="inlineStr">
        <is>
          <t>Filmfare Awards</t>
        </is>
      </c>
      <c r="F206" s="5" t="inlineStr">
        <is>
          <t>Best Lyricist</t>
        </is>
      </c>
      <c r="G206" s="5" t="inlineStr">
        <is>
          <t>Prasoon Joshi</t>
        </is>
      </c>
      <c r="H206" s="5" t="inlineStr">
        <is>
          <t>Lyricist</t>
        </is>
      </c>
      <c r="I206" s="5" t="inlineStr">
        <is>
          <t>Nomination</t>
        </is>
      </c>
      <c r="J206" s="5" t="inlineStr">
        <is>
          <t>Competitive</t>
        </is>
      </c>
      <c r="K206" s="5" t="inlineStr">
        <is>
          <t>For "Rehna Tu".</t>
        </is>
      </c>
      <c r="L206" s="5" t="inlineStr">
        <is>
          <t>SOURCE-121; SOURCE-461</t>
        </is>
      </c>
      <c r="M206" s="5" t="inlineStr">
        <is>
          <t>Medium</t>
        </is>
      </c>
    </row>
    <row r="207" ht="19" customHeight="1">
      <c r="A207" s="15" t="inlineStr">
        <is>
          <t>AWARD-206</t>
        </is>
      </c>
      <c r="B207" s="18" t="inlineStr">
        <is>
          <t>FILM-129</t>
        </is>
      </c>
      <c r="C207" s="5" t="inlineStr">
        <is>
          <t>Delhi-6</t>
        </is>
      </c>
      <c r="D207" s="17" t="n">
        <v>2010</v>
      </c>
      <c r="E207" s="5" t="inlineStr">
        <is>
          <t>Filmfare Awards</t>
        </is>
      </c>
      <c r="F207" s="5" t="inlineStr">
        <is>
          <t>Best Male Playback Singer</t>
        </is>
      </c>
      <c r="G207" s="5" t="inlineStr">
        <is>
          <t>Javed Ali and Kailash Kher</t>
        </is>
      </c>
      <c r="H207" s="5" t="inlineStr">
        <is>
          <t>Playback singer</t>
        </is>
      </c>
      <c r="I207" s="5" t="inlineStr">
        <is>
          <t>Nomination</t>
        </is>
      </c>
      <c r="J207" s="5" t="inlineStr">
        <is>
          <t>Competitive</t>
        </is>
      </c>
      <c r="K207" s="5" t="inlineStr">
        <is>
          <t>For "Arziyan".</t>
        </is>
      </c>
      <c r="L207" s="5" t="inlineStr">
        <is>
          <t>SOURCE-121; SOURCE-461</t>
        </is>
      </c>
      <c r="M207" s="5" t="inlineStr">
        <is>
          <t>Medium</t>
        </is>
      </c>
    </row>
    <row r="208" ht="49" customHeight="1">
      <c r="A208" s="15" t="inlineStr">
        <is>
          <t>AWARD-207</t>
        </is>
      </c>
      <c r="B208" s="18" t="inlineStr">
        <is>
          <t>FILM-131</t>
        </is>
      </c>
      <c r="C208" s="5" t="inlineStr">
        <is>
          <t>Love Aaj Kal</t>
        </is>
      </c>
      <c r="D208" s="17" t="n">
        <v>2010</v>
      </c>
      <c r="E208" s="5" t="inlineStr">
        <is>
          <t>Filmfare Awards</t>
        </is>
      </c>
      <c r="F208" s="5" t="inlineStr">
        <is>
          <t>Best Lyricist</t>
        </is>
      </c>
      <c r="G208" s="5" t="inlineStr">
        <is>
          <t>Irshad Kamil</t>
        </is>
      </c>
      <c r="H208" s="5" t="inlineStr">
        <is>
          <t>Lyricist</t>
        </is>
      </c>
      <c r="I208" s="5" t="inlineStr">
        <is>
          <t>Win</t>
        </is>
      </c>
      <c r="J208" s="5" t="inlineStr">
        <is>
          <t>Competitive</t>
        </is>
      </c>
      <c r="K208" s="5" t="inlineStr">
        <is>
          <t>55th Filmfare Awards. For "Aaj Din Chadheya". Love Aaj Kal led the ceremony with 12 nominations.</t>
        </is>
      </c>
      <c r="L208" s="5" t="inlineStr">
        <is>
          <t>SOURCE-123; SOURCE-461</t>
        </is>
      </c>
      <c r="M208" s="5" t="inlineStr">
        <is>
          <t>Medium</t>
        </is>
      </c>
    </row>
    <row r="209" ht="19" customHeight="1">
      <c r="A209" s="15" t="inlineStr">
        <is>
          <t>AWARD-208</t>
        </is>
      </c>
      <c r="B209" s="18" t="inlineStr">
        <is>
          <t>FILM-131</t>
        </is>
      </c>
      <c r="C209" s="5" t="inlineStr">
        <is>
          <t>Love Aaj Kal</t>
        </is>
      </c>
      <c r="D209" s="17" t="n">
        <v>2010</v>
      </c>
      <c r="E209" s="5" t="inlineStr">
        <is>
          <t>Filmfare Awards</t>
        </is>
      </c>
      <c r="F209" s="5" t="inlineStr">
        <is>
          <t>Best Choreography</t>
        </is>
      </c>
      <c r="G209" s="5" t="inlineStr">
        <is>
          <t>Bosco–Caesar</t>
        </is>
      </c>
      <c r="H209" s="5" t="inlineStr">
        <is>
          <t>Choreographer</t>
        </is>
      </c>
      <c r="I209" s="5" t="inlineStr">
        <is>
          <t>Win</t>
        </is>
      </c>
      <c r="J209" s="5" t="inlineStr">
        <is>
          <t>Competitive</t>
        </is>
      </c>
      <c r="K209" s="5" t="inlineStr">
        <is>
          <t>For "Chor Bazaari".</t>
        </is>
      </c>
      <c r="L209" s="5" t="inlineStr">
        <is>
          <t>SOURCE-123; SOURCE-461</t>
        </is>
      </c>
      <c r="M209" s="5" t="inlineStr">
        <is>
          <t>Medium</t>
        </is>
      </c>
    </row>
    <row r="210" ht="34" customHeight="1">
      <c r="A210" s="15" t="inlineStr">
        <is>
          <t>AWARD-209</t>
        </is>
      </c>
      <c r="B210" s="18" t="inlineStr">
        <is>
          <t>FILM-131</t>
        </is>
      </c>
      <c r="C210" s="5" t="inlineStr">
        <is>
          <t>Love Aaj Kal</t>
        </is>
      </c>
      <c r="D210" s="17" t="n">
        <v>2010</v>
      </c>
      <c r="E210" s="5" t="inlineStr">
        <is>
          <t>Filmfare Awards</t>
        </is>
      </c>
      <c r="F210" s="5" t="inlineStr">
        <is>
          <t>Best Film</t>
        </is>
      </c>
      <c r="G210" s="5" t="inlineStr">
        <is>
          <t>Saif Ali Khan and Dinesh Vijan</t>
        </is>
      </c>
      <c r="H210" s="5" t="inlineStr">
        <is>
          <t>Producer</t>
        </is>
      </c>
      <c r="I210" s="5" t="inlineStr">
        <is>
          <t>Nomination</t>
        </is>
      </c>
      <c r="J210" s="5" t="inlineStr">
        <is>
          <t>Competitive</t>
        </is>
      </c>
      <c r="K210" s="5" t="n"/>
      <c r="L210" s="5" t="inlineStr">
        <is>
          <t>SOURCE-123; SOURCE-461</t>
        </is>
      </c>
      <c r="M210" s="5" t="inlineStr">
        <is>
          <t>Medium</t>
        </is>
      </c>
    </row>
    <row r="211" ht="19" customHeight="1">
      <c r="A211" s="15" t="inlineStr">
        <is>
          <t>AWARD-210</t>
        </is>
      </c>
      <c r="B211" s="18" t="inlineStr">
        <is>
          <t>FILM-131</t>
        </is>
      </c>
      <c r="C211" s="5" t="inlineStr">
        <is>
          <t>Love Aaj Kal</t>
        </is>
      </c>
      <c r="D211" s="17" t="n">
        <v>2010</v>
      </c>
      <c r="E211" s="5" t="inlineStr">
        <is>
          <t>Filmfare Awards</t>
        </is>
      </c>
      <c r="F211" s="5" t="inlineStr">
        <is>
          <t>Best Director</t>
        </is>
      </c>
      <c r="G211" s="5" t="inlineStr">
        <is>
          <t>Imtiaz Ali</t>
        </is>
      </c>
      <c r="H211" s="5" t="inlineStr">
        <is>
          <t>Director</t>
        </is>
      </c>
      <c r="I211" s="5" t="inlineStr">
        <is>
          <t>Nomination</t>
        </is>
      </c>
      <c r="J211" s="5" t="inlineStr">
        <is>
          <t>Competitive</t>
        </is>
      </c>
      <c r="K211" s="5" t="n"/>
      <c r="L211" s="5" t="inlineStr">
        <is>
          <t>SOURCE-123; SOURCE-461</t>
        </is>
      </c>
      <c r="M211" s="5" t="inlineStr">
        <is>
          <t>Medium</t>
        </is>
      </c>
    </row>
    <row r="212" ht="19" customHeight="1">
      <c r="A212" s="15" t="inlineStr">
        <is>
          <t>AWARD-211</t>
        </is>
      </c>
      <c r="B212" s="18" t="inlineStr">
        <is>
          <t>FILM-131</t>
        </is>
      </c>
      <c r="C212" s="5" t="inlineStr">
        <is>
          <t>Love Aaj Kal</t>
        </is>
      </c>
      <c r="D212" s="17" t="n">
        <v>2010</v>
      </c>
      <c r="E212" s="5" t="inlineStr">
        <is>
          <t>Filmfare Awards</t>
        </is>
      </c>
      <c r="F212" s="5" t="inlineStr">
        <is>
          <t>Best Story</t>
        </is>
      </c>
      <c r="G212" s="5" t="inlineStr">
        <is>
          <t>Imtiaz Ali</t>
        </is>
      </c>
      <c r="H212" s="5" t="inlineStr">
        <is>
          <t>Writer</t>
        </is>
      </c>
      <c r="I212" s="5" t="inlineStr">
        <is>
          <t>Nomination</t>
        </is>
      </c>
      <c r="J212" s="5" t="inlineStr">
        <is>
          <t>Competitive</t>
        </is>
      </c>
      <c r="K212" s="5" t="n"/>
      <c r="L212" s="5" t="inlineStr">
        <is>
          <t>SOURCE-123; SOURCE-461</t>
        </is>
      </c>
      <c r="M212" s="5" t="inlineStr">
        <is>
          <t>Medium</t>
        </is>
      </c>
    </row>
    <row r="213" ht="19" customHeight="1">
      <c r="A213" s="15" t="inlineStr">
        <is>
          <t>AWARD-212</t>
        </is>
      </c>
      <c r="B213" s="18" t="inlineStr">
        <is>
          <t>FILM-131</t>
        </is>
      </c>
      <c r="C213" s="5" t="inlineStr">
        <is>
          <t>Love Aaj Kal</t>
        </is>
      </c>
      <c r="D213" s="17" t="n">
        <v>2010</v>
      </c>
      <c r="E213" s="5" t="inlineStr">
        <is>
          <t>Filmfare Awards</t>
        </is>
      </c>
      <c r="F213" s="5" t="inlineStr">
        <is>
          <t>Best Screenplay</t>
        </is>
      </c>
      <c r="G213" s="5" t="inlineStr">
        <is>
          <t>Imtiaz Ali</t>
        </is>
      </c>
      <c r="H213" s="5" t="inlineStr">
        <is>
          <t>Writer</t>
        </is>
      </c>
      <c r="I213" s="5" t="inlineStr">
        <is>
          <t>Nomination</t>
        </is>
      </c>
      <c r="J213" s="5" t="inlineStr">
        <is>
          <t>Competitive</t>
        </is>
      </c>
      <c r="K213" s="5" t="n"/>
      <c r="L213" s="5" t="inlineStr">
        <is>
          <t>SOURCE-123; SOURCE-461</t>
        </is>
      </c>
      <c r="M213" s="5" t="inlineStr">
        <is>
          <t>Medium</t>
        </is>
      </c>
    </row>
    <row r="214" ht="19" customHeight="1">
      <c r="A214" s="15" t="inlineStr">
        <is>
          <t>AWARD-213</t>
        </is>
      </c>
      <c r="B214" s="18" t="inlineStr">
        <is>
          <t>FILM-131</t>
        </is>
      </c>
      <c r="C214" s="5" t="inlineStr">
        <is>
          <t>Love Aaj Kal</t>
        </is>
      </c>
      <c r="D214" s="17" t="n">
        <v>2010</v>
      </c>
      <c r="E214" s="5" t="inlineStr">
        <is>
          <t>Filmfare Awards</t>
        </is>
      </c>
      <c r="F214" s="5" t="inlineStr">
        <is>
          <t>Best Dialogue</t>
        </is>
      </c>
      <c r="G214" s="5" t="inlineStr">
        <is>
          <t>Imtiaz Ali</t>
        </is>
      </c>
      <c r="H214" s="5" t="inlineStr">
        <is>
          <t>Writer</t>
        </is>
      </c>
      <c r="I214" s="5" t="inlineStr">
        <is>
          <t>Nomination</t>
        </is>
      </c>
      <c r="J214" s="5" t="inlineStr">
        <is>
          <t>Competitive</t>
        </is>
      </c>
      <c r="K214" s="5" t="n"/>
      <c r="L214" s="5" t="inlineStr">
        <is>
          <t>SOURCE-123; SOURCE-461</t>
        </is>
      </c>
      <c r="M214" s="5" t="inlineStr">
        <is>
          <t>Medium</t>
        </is>
      </c>
    </row>
    <row r="215" ht="19" customHeight="1">
      <c r="A215" s="15" t="inlineStr">
        <is>
          <t>AWARD-214</t>
        </is>
      </c>
      <c r="B215" s="18" t="inlineStr">
        <is>
          <t>FILM-131</t>
        </is>
      </c>
      <c r="C215" s="5" t="inlineStr">
        <is>
          <t>Love Aaj Kal</t>
        </is>
      </c>
      <c r="D215" s="17" t="n">
        <v>2010</v>
      </c>
      <c r="E215" s="5" t="inlineStr">
        <is>
          <t>Filmfare Awards</t>
        </is>
      </c>
      <c r="F215" s="5" t="inlineStr">
        <is>
          <t>Best Actor</t>
        </is>
      </c>
      <c r="G215" s="5" t="inlineStr">
        <is>
          <t>Saif Ali Khan</t>
        </is>
      </c>
      <c r="H215" s="5" t="inlineStr">
        <is>
          <t>Actor</t>
        </is>
      </c>
      <c r="I215" s="5" t="inlineStr">
        <is>
          <t>Nomination</t>
        </is>
      </c>
      <c r="J215" s="5" t="inlineStr">
        <is>
          <t>Competitive</t>
        </is>
      </c>
      <c r="K215" s="5" t="n"/>
      <c r="L215" s="5" t="inlineStr">
        <is>
          <t>SOURCE-123; SOURCE-461</t>
        </is>
      </c>
      <c r="M215" s="5" t="inlineStr">
        <is>
          <t>Medium</t>
        </is>
      </c>
    </row>
    <row r="216" ht="19" customHeight="1">
      <c r="A216" s="15" t="inlineStr">
        <is>
          <t>AWARD-215</t>
        </is>
      </c>
      <c r="B216" s="18" t="inlineStr">
        <is>
          <t>FILM-131</t>
        </is>
      </c>
      <c r="C216" s="5" t="inlineStr">
        <is>
          <t>Love Aaj Kal</t>
        </is>
      </c>
      <c r="D216" s="17" t="n">
        <v>2010</v>
      </c>
      <c r="E216" s="5" t="inlineStr">
        <is>
          <t>Filmfare Awards</t>
        </is>
      </c>
      <c r="F216" s="5" t="inlineStr">
        <is>
          <t>Best Actress</t>
        </is>
      </c>
      <c r="G216" s="5" t="inlineStr">
        <is>
          <t>Deepika Padukone</t>
        </is>
      </c>
      <c r="H216" s="5" t="inlineStr">
        <is>
          <t>Actress</t>
        </is>
      </c>
      <c r="I216" s="5" t="inlineStr">
        <is>
          <t>Nomination</t>
        </is>
      </c>
      <c r="J216" s="5" t="inlineStr">
        <is>
          <t>Competitive</t>
        </is>
      </c>
      <c r="K216" s="5" t="n"/>
      <c r="L216" s="5" t="inlineStr">
        <is>
          <t>SOURCE-123; SOURCE-461</t>
        </is>
      </c>
      <c r="M216" s="5" t="inlineStr">
        <is>
          <t>Medium</t>
        </is>
      </c>
    </row>
    <row r="217" ht="19" customHeight="1">
      <c r="A217" s="15" t="inlineStr">
        <is>
          <t>AWARD-216</t>
        </is>
      </c>
      <c r="B217" s="18" t="inlineStr">
        <is>
          <t>FILM-131</t>
        </is>
      </c>
      <c r="C217" s="5" t="inlineStr">
        <is>
          <t>Love Aaj Kal</t>
        </is>
      </c>
      <c r="D217" s="17" t="n">
        <v>2010</v>
      </c>
      <c r="E217" s="5" t="inlineStr">
        <is>
          <t>Filmfare Awards</t>
        </is>
      </c>
      <c r="F217" s="5" t="inlineStr">
        <is>
          <t>Best Music Director</t>
        </is>
      </c>
      <c r="G217" s="5" t="inlineStr">
        <is>
          <t>Pritam</t>
        </is>
      </c>
      <c r="H217" s="5" t="inlineStr">
        <is>
          <t>Music director</t>
        </is>
      </c>
      <c r="I217" s="5" t="inlineStr">
        <is>
          <t>Nomination</t>
        </is>
      </c>
      <c r="J217" s="5" t="inlineStr">
        <is>
          <t>Competitive</t>
        </is>
      </c>
      <c r="K217" s="5" t="n"/>
      <c r="L217" s="5" t="inlineStr">
        <is>
          <t>SOURCE-123; SOURCE-461</t>
        </is>
      </c>
      <c r="M217" s="5" t="inlineStr">
        <is>
          <t>Medium</t>
        </is>
      </c>
    </row>
    <row r="218" ht="19" customHeight="1">
      <c r="A218" s="15" t="inlineStr">
        <is>
          <t>AWARD-217</t>
        </is>
      </c>
      <c r="B218" s="18" t="inlineStr">
        <is>
          <t>FILM-131</t>
        </is>
      </c>
      <c r="C218" s="5" t="inlineStr">
        <is>
          <t>Love Aaj Kal</t>
        </is>
      </c>
      <c r="D218" s="17" t="n">
        <v>2010</v>
      </c>
      <c r="E218" s="5" t="inlineStr">
        <is>
          <t>Filmfare Awards</t>
        </is>
      </c>
      <c r="F218" s="5" t="inlineStr">
        <is>
          <t>Best Male Playback Singer</t>
        </is>
      </c>
      <c r="G218" s="5" t="inlineStr">
        <is>
          <t>Rahat Fateh Ali Khan</t>
        </is>
      </c>
      <c r="H218" s="5" t="inlineStr">
        <is>
          <t>Playback singer</t>
        </is>
      </c>
      <c r="I218" s="5" t="inlineStr">
        <is>
          <t>Nomination</t>
        </is>
      </c>
      <c r="J218" s="5" t="inlineStr">
        <is>
          <t>Competitive</t>
        </is>
      </c>
      <c r="K218" s="5" t="inlineStr">
        <is>
          <t>For "Aaj Din Chadheya".</t>
        </is>
      </c>
      <c r="L218" s="5" t="inlineStr">
        <is>
          <t>SOURCE-123; SOURCE-461</t>
        </is>
      </c>
      <c r="M218" s="5" t="inlineStr">
        <is>
          <t>Medium</t>
        </is>
      </c>
    </row>
    <row r="219" ht="19" customHeight="1">
      <c r="A219" s="15" t="inlineStr">
        <is>
          <t>AWARD-218</t>
        </is>
      </c>
      <c r="B219" s="18" t="inlineStr">
        <is>
          <t>FILM-131</t>
        </is>
      </c>
      <c r="C219" s="5" t="inlineStr">
        <is>
          <t>Love Aaj Kal</t>
        </is>
      </c>
      <c r="D219" s="17" t="n">
        <v>2010</v>
      </c>
      <c r="E219" s="5" t="inlineStr">
        <is>
          <t>Filmfare Awards</t>
        </is>
      </c>
      <c r="F219" s="5" t="inlineStr">
        <is>
          <t>Best Female Playback Singer</t>
        </is>
      </c>
      <c r="G219" s="5" t="inlineStr">
        <is>
          <t>Sunidhi Chauhan</t>
        </is>
      </c>
      <c r="H219" s="5" t="inlineStr">
        <is>
          <t>Playback singer</t>
        </is>
      </c>
      <c r="I219" s="5" t="inlineStr">
        <is>
          <t>Nomination</t>
        </is>
      </c>
      <c r="J219" s="5" t="inlineStr">
        <is>
          <t>Competitive</t>
        </is>
      </c>
      <c r="K219" s="5" t="inlineStr">
        <is>
          <t>For "Chor Bazaari".</t>
        </is>
      </c>
      <c r="L219" s="5" t="inlineStr">
        <is>
          <t>SOURCE-123; SOURCE-461</t>
        </is>
      </c>
      <c r="M219" s="5" t="inlineStr">
        <is>
          <t>Medium</t>
        </is>
      </c>
    </row>
    <row r="220" ht="64" customHeight="1">
      <c r="A220" s="15" t="inlineStr">
        <is>
          <t>AWARD-219</t>
        </is>
      </c>
      <c r="B220" s="18" t="inlineStr">
        <is>
          <t>FILM-131</t>
        </is>
      </c>
      <c r="C220" s="5" t="inlineStr">
        <is>
          <t>Love Aaj Kal</t>
        </is>
      </c>
      <c r="D220" s="17" t="n">
        <v>2010</v>
      </c>
      <c r="E220" s="5" t="inlineStr">
        <is>
          <t>Producers Guild Film Awards</t>
        </is>
      </c>
      <c r="F220" s="5" t="inlineStr">
        <is>
          <t>Best Actor in a Supporting Role</t>
        </is>
      </c>
      <c r="G220" s="5" t="inlineStr">
        <is>
          <t>Rishi Kapoor</t>
        </is>
      </c>
      <c r="H220" s="5" t="inlineStr">
        <is>
          <t>Actor</t>
        </is>
      </c>
      <c r="I220" s="5" t="inlineStr">
        <is>
          <t>Win</t>
        </is>
      </c>
      <c r="J220" s="5" t="inlineStr">
        <is>
          <t>Competitive</t>
        </is>
      </c>
      <c r="K220" s="5" t="inlineStr">
        <is>
          <t>5th Apsara Film &amp; Television Producers Guild Awards, 8 January 2010, as Veer Singh. The first of the late-career supporting awards.</t>
        </is>
      </c>
      <c r="L220" s="5" t="inlineStr">
        <is>
          <t>SOURCE-123; SOURCE-240</t>
        </is>
      </c>
      <c r="M220" s="5" t="inlineStr">
        <is>
          <t>Medium</t>
        </is>
      </c>
    </row>
    <row r="221" ht="19" customHeight="1">
      <c r="A221" s="15" t="inlineStr">
        <is>
          <t>AWARD-220</t>
        </is>
      </c>
      <c r="B221" s="18" t="inlineStr">
        <is>
          <t>FILM-131</t>
        </is>
      </c>
      <c r="C221" s="5" t="inlineStr">
        <is>
          <t>Love Aaj Kal</t>
        </is>
      </c>
      <c r="D221" s="17" t="n">
        <v>2010</v>
      </c>
      <c r="E221" s="5" t="inlineStr">
        <is>
          <t>Screen Awards</t>
        </is>
      </c>
      <c r="F221" s="5" t="inlineStr">
        <is>
          <t>Best Supporting Actor</t>
        </is>
      </c>
      <c r="G221" s="5" t="inlineStr">
        <is>
          <t>Rishi Kapoor</t>
        </is>
      </c>
      <c r="H221" s="5" t="inlineStr">
        <is>
          <t>Actor</t>
        </is>
      </c>
      <c r="I221" s="5" t="inlineStr">
        <is>
          <t>Win</t>
        </is>
      </c>
      <c r="J221" s="5" t="inlineStr">
        <is>
          <t>Competitive</t>
        </is>
      </c>
      <c r="K221" s="5" t="inlineStr">
        <is>
          <t>9 January 2010.</t>
        </is>
      </c>
      <c r="L221" s="5" t="inlineStr">
        <is>
          <t>SOURCE-123; SOURCE-240</t>
        </is>
      </c>
      <c r="M221" s="5" t="inlineStr">
        <is>
          <t>Medium</t>
        </is>
      </c>
    </row>
    <row r="222" ht="19" customHeight="1">
      <c r="A222" s="15" t="inlineStr">
        <is>
          <t>AWARD-221</t>
        </is>
      </c>
      <c r="B222" s="18" t="inlineStr">
        <is>
          <t>FILM-131</t>
        </is>
      </c>
      <c r="C222" s="5" t="inlineStr">
        <is>
          <t>Love Aaj Kal</t>
        </is>
      </c>
      <c r="D222" s="17" t="n">
        <v>2010</v>
      </c>
      <c r="E222" s="5" t="inlineStr">
        <is>
          <t>IIFA Awards</t>
        </is>
      </c>
      <c r="F222" s="5" t="inlineStr">
        <is>
          <t>Best Supporting Actor</t>
        </is>
      </c>
      <c r="G222" s="5" t="inlineStr">
        <is>
          <t>Rishi Kapoor</t>
        </is>
      </c>
      <c r="H222" s="5" t="inlineStr">
        <is>
          <t>Actor</t>
        </is>
      </c>
      <c r="I222" s="5" t="inlineStr">
        <is>
          <t>Nomination</t>
        </is>
      </c>
      <c r="J222" s="5" t="inlineStr">
        <is>
          <t>Competitive</t>
        </is>
      </c>
      <c r="K222" s="5" t="inlineStr">
        <is>
          <t>5 June 2010.</t>
        </is>
      </c>
      <c r="L222" s="5" t="inlineStr">
        <is>
          <t>SOURCE-123</t>
        </is>
      </c>
      <c r="M222" s="5" t="inlineStr">
        <is>
          <t>Medium</t>
        </is>
      </c>
    </row>
    <row r="223" ht="49" customHeight="1">
      <c r="A223" s="15" t="inlineStr">
        <is>
          <t>AWARD-222</t>
        </is>
      </c>
      <c r="B223" s="18" t="inlineStr">
        <is>
          <t>FILM-134</t>
        </is>
      </c>
      <c r="C223" s="5" t="inlineStr">
        <is>
          <t>Do Dooni Chaar</t>
        </is>
      </c>
      <c r="D223" s="17" t="n">
        <v>2011</v>
      </c>
      <c r="E223" s="5" t="inlineStr">
        <is>
          <t>National Film Awards</t>
        </is>
      </c>
      <c r="F223" s="5" t="inlineStr">
        <is>
          <t>Best Feature Film in Hindi</t>
        </is>
      </c>
      <c r="G223" s="5" t="inlineStr">
        <is>
          <t>Do Dooni Chaar</t>
        </is>
      </c>
      <c r="H223" s="5" t="inlineStr">
        <is>
          <t>Film</t>
        </is>
      </c>
      <c r="I223" s="5" t="inlineStr">
        <is>
          <t>Win</t>
        </is>
      </c>
      <c r="J223" s="5" t="inlineStr">
        <is>
          <t>Competitive</t>
        </is>
      </c>
      <c r="K223" s="5" t="inlineStr">
        <is>
          <t>58th National Film Awards, announced 19 May 2011. The only National Film Award won by a film Kapoor carries as the lead.</t>
        </is>
      </c>
      <c r="L223" s="5" t="inlineStr">
        <is>
          <t>SOURCE-126; SOURCE-463</t>
        </is>
      </c>
      <c r="M223" s="5" t="inlineStr">
        <is>
          <t>Medium</t>
        </is>
      </c>
    </row>
    <row r="224" ht="79" customHeight="1">
      <c r="A224" s="15" t="inlineStr">
        <is>
          <t>AWARD-223</t>
        </is>
      </c>
      <c r="B224" s="18" t="inlineStr">
        <is>
          <t>FILM-134</t>
        </is>
      </c>
      <c r="C224" s="5" t="inlineStr">
        <is>
          <t>Do Dooni Chaar</t>
        </is>
      </c>
      <c r="D224" s="17" t="n">
        <v>2011</v>
      </c>
      <c r="E224" s="5" t="inlineStr">
        <is>
          <t>Filmfare Awards</t>
        </is>
      </c>
      <c r="F224" s="5" t="inlineStr">
        <is>
          <t>Best Actor (Critics)</t>
        </is>
      </c>
      <c r="G224" s="5" t="inlineStr">
        <is>
          <t>Rishi Kapoor</t>
        </is>
      </c>
      <c r="H224" s="5" t="inlineStr">
        <is>
          <t>Actor</t>
        </is>
      </c>
      <c r="I224" s="5" t="inlineStr">
        <is>
          <t>Win</t>
        </is>
      </c>
      <c r="J224" s="5" t="inlineStr">
        <is>
          <t>Competitive</t>
        </is>
      </c>
      <c r="K224" s="5" t="inlineStr">
        <is>
          <t>56th Filmfare Awards, held 29 January 2011, as the schoolteacher Santosh Duggal. His second Filmfare acting win, thirty-seven years after Bobby, and his first in the critics' category.</t>
        </is>
      </c>
      <c r="L224" s="5" t="inlineStr">
        <is>
          <t>SOURCE-126; SOURCE-240; SOURCE-464</t>
        </is>
      </c>
      <c r="M224" s="5" t="inlineStr">
        <is>
          <t>High</t>
        </is>
      </c>
    </row>
    <row r="225" ht="19" customHeight="1">
      <c r="A225" s="15" t="inlineStr">
        <is>
          <t>AWARD-224</t>
        </is>
      </c>
      <c r="B225" s="18" t="inlineStr">
        <is>
          <t>FILM-134</t>
        </is>
      </c>
      <c r="C225" s="5" t="inlineStr">
        <is>
          <t>Do Dooni Chaar</t>
        </is>
      </c>
      <c r="D225" s="17" t="n">
        <v>2011</v>
      </c>
      <c r="E225" s="5" t="inlineStr">
        <is>
          <t>Filmfare Awards</t>
        </is>
      </c>
      <c r="F225" s="5" t="inlineStr">
        <is>
          <t>Best Dialogue</t>
        </is>
      </c>
      <c r="G225" s="5" t="inlineStr">
        <is>
          <t>Habib Faisal</t>
        </is>
      </c>
      <c r="H225" s="5" t="inlineStr">
        <is>
          <t>Writer</t>
        </is>
      </c>
      <c r="I225" s="5" t="inlineStr">
        <is>
          <t>Win</t>
        </is>
      </c>
      <c r="J225" s="5" t="inlineStr">
        <is>
          <t>Competitive</t>
        </is>
      </c>
      <c r="K225" s="5" t="n"/>
      <c r="L225" s="5" t="inlineStr">
        <is>
          <t>SOURCE-126; SOURCE-464</t>
        </is>
      </c>
      <c r="M225" s="5" t="inlineStr">
        <is>
          <t>Medium</t>
        </is>
      </c>
    </row>
    <row r="226" ht="19" customHeight="1">
      <c r="A226" s="15" t="inlineStr">
        <is>
          <t>AWARD-225</t>
        </is>
      </c>
      <c r="B226" s="18" t="inlineStr">
        <is>
          <t>FILM-134</t>
        </is>
      </c>
      <c r="C226" s="5" t="inlineStr">
        <is>
          <t>Do Dooni Chaar</t>
        </is>
      </c>
      <c r="D226" s="17" t="n">
        <v>2011</v>
      </c>
      <c r="E226" s="5" t="inlineStr">
        <is>
          <t>Filmfare Awards</t>
        </is>
      </c>
      <c r="F226" s="5" t="inlineStr">
        <is>
          <t>Best Costume Design</t>
        </is>
      </c>
      <c r="G226" s="5" t="inlineStr">
        <is>
          <t>Varsha and Shilpa</t>
        </is>
      </c>
      <c r="H226" s="5" t="inlineStr">
        <is>
          <t>Technician</t>
        </is>
      </c>
      <c r="I226" s="5" t="inlineStr">
        <is>
          <t>Win</t>
        </is>
      </c>
      <c r="J226" s="5" t="inlineStr">
        <is>
          <t>Competitive</t>
        </is>
      </c>
      <c r="K226" s="5" t="n"/>
      <c r="L226" s="5" t="inlineStr">
        <is>
          <t>SOURCE-126; SOURCE-464</t>
        </is>
      </c>
      <c r="M226" s="5" t="inlineStr">
        <is>
          <t>Medium</t>
        </is>
      </c>
    </row>
    <row r="227" ht="19" customHeight="1">
      <c r="A227" s="15" t="inlineStr">
        <is>
          <t>AWARD-226</t>
        </is>
      </c>
      <c r="B227" s="18" t="inlineStr">
        <is>
          <t>FILM-134</t>
        </is>
      </c>
      <c r="C227" s="5" t="inlineStr">
        <is>
          <t>Do Dooni Chaar</t>
        </is>
      </c>
      <c r="D227" s="17" t="n">
        <v>2011</v>
      </c>
      <c r="E227" s="5" t="inlineStr">
        <is>
          <t>Filmfare Awards</t>
        </is>
      </c>
      <c r="F227" s="5" t="inlineStr">
        <is>
          <t>Best Production Design</t>
        </is>
      </c>
      <c r="G227" s="5" t="inlineStr">
        <is>
          <t>Mukund Gupta</t>
        </is>
      </c>
      <c r="H227" s="5" t="inlineStr">
        <is>
          <t>Technician</t>
        </is>
      </c>
      <c r="I227" s="5" t="inlineStr">
        <is>
          <t>Win</t>
        </is>
      </c>
      <c r="J227" s="5" t="inlineStr">
        <is>
          <t>Competitive</t>
        </is>
      </c>
      <c r="K227" s="5" t="n"/>
      <c r="L227" s="5" t="inlineStr">
        <is>
          <t>SOURCE-126; SOURCE-464</t>
        </is>
      </c>
      <c r="M227" s="5" t="inlineStr">
        <is>
          <t>Medium</t>
        </is>
      </c>
    </row>
    <row r="228" ht="64" customHeight="1">
      <c r="A228" s="15" t="inlineStr">
        <is>
          <t>AWARD-227</t>
        </is>
      </c>
      <c r="B228" s="18" t="n"/>
      <c r="C228" s="5" t="n"/>
      <c r="D228" s="17" t="n">
        <v>2011</v>
      </c>
      <c r="E228" s="5" t="inlineStr">
        <is>
          <t>Zee Cine Awards</t>
        </is>
      </c>
      <c r="F228" s="5" t="inlineStr">
        <is>
          <t>Best Lifetime Jodi</t>
        </is>
      </c>
      <c r="G228" s="5" t="inlineStr">
        <is>
          <t>Rishi Kapoor and Neetu Singh</t>
        </is>
      </c>
      <c r="H228" s="5" t="inlineStr">
        <is>
          <t>Actor (honorary)</t>
        </is>
      </c>
      <c r="I228" s="5" t="inlineStr">
        <is>
          <t>Win</t>
        </is>
      </c>
      <c r="J228" s="5" t="inlineStr">
        <is>
          <t>Honorary</t>
        </is>
      </c>
      <c r="K228" s="5" t="inlineStr">
        <is>
          <t>14 January 2011. Awarded jointly to Kapoor and his wife Neetu Singh for their work as a screen pair; they appeared together in twelve films before her retirement.</t>
        </is>
      </c>
      <c r="L228" s="5" t="inlineStr">
        <is>
          <t>SOURCE-240</t>
        </is>
      </c>
      <c r="M228" s="5" t="inlineStr">
        <is>
          <t>Medium</t>
        </is>
      </c>
    </row>
    <row r="229" ht="49" customHeight="1">
      <c r="A229" s="15" t="inlineStr">
        <is>
          <t>AWARD-228</t>
        </is>
      </c>
      <c r="B229" s="18" t="inlineStr">
        <is>
          <t>FILM-056</t>
        </is>
      </c>
      <c r="C229" s="5" t="inlineStr">
        <is>
          <t>Nagina</t>
        </is>
      </c>
      <c r="D229" s="17" t="n">
        <v>2013</v>
      </c>
      <c r="E229" s="5" t="inlineStr">
        <is>
          <t>Filmfare Awards</t>
        </is>
      </c>
      <c r="F229" s="5" t="inlineStr">
        <is>
          <t>Filmfare Special Award</t>
        </is>
      </c>
      <c r="G229" s="5" t="inlineStr">
        <is>
          <t>Sridevi</t>
        </is>
      </c>
      <c r="H229" s="5" t="inlineStr">
        <is>
          <t>Actress</t>
        </is>
      </c>
      <c r="I229" s="5" t="inlineStr">
        <is>
          <t>Win</t>
        </is>
      </c>
      <c r="J229" s="5" t="inlineStr">
        <is>
          <t>Honorary</t>
        </is>
      </c>
      <c r="K229" s="5" t="inlineStr">
        <is>
          <t>Given in 2013 for her performances in Nagina and Mr. India, long after the 1986 release. Kapoor is Nagina's male lead.</t>
        </is>
      </c>
      <c r="L229" s="5" t="inlineStr">
        <is>
          <t>SOURCE-054</t>
        </is>
      </c>
      <c r="M229" s="5" t="inlineStr">
        <is>
          <t>Medium</t>
        </is>
      </c>
    </row>
    <row r="230" ht="64" customHeight="1">
      <c r="A230" s="15" t="inlineStr">
        <is>
          <t>AWARD-229</t>
        </is>
      </c>
      <c r="B230" s="18" t="inlineStr">
        <is>
          <t>FILM-137</t>
        </is>
      </c>
      <c r="C230" s="5" t="inlineStr">
        <is>
          <t>Agneepath</t>
        </is>
      </c>
      <c r="D230" s="17" t="n">
        <v>2013</v>
      </c>
      <c r="E230" s="5" t="inlineStr">
        <is>
          <t>Zee Cine Awards</t>
        </is>
      </c>
      <c r="F230" s="5" t="inlineStr">
        <is>
          <t>Best Actor in a Negative Role</t>
        </is>
      </c>
      <c r="G230" s="5" t="inlineStr">
        <is>
          <t>Rishi Kapoor</t>
        </is>
      </c>
      <c r="H230" s="5" t="inlineStr">
        <is>
          <t>Actor</t>
        </is>
      </c>
      <c r="I230" s="5" t="inlineStr">
        <is>
          <t>Win</t>
        </is>
      </c>
      <c r="J230" s="5" t="inlineStr">
        <is>
          <t>Competitive</t>
        </is>
      </c>
      <c r="K230" s="5" t="inlineStr">
        <is>
          <t>20 January 2013, as the flesh-trader Rauf Lala. The first of three negative-role wins for the same performance, and the role that reopened villainy to him at sixty.</t>
        </is>
      </c>
      <c r="L230" s="5" t="inlineStr">
        <is>
          <t>SOURCE-129</t>
        </is>
      </c>
      <c r="M230" s="5" t="inlineStr">
        <is>
          <t>Medium</t>
        </is>
      </c>
    </row>
    <row r="231" ht="19" customHeight="1">
      <c r="A231" s="15" t="inlineStr">
        <is>
          <t>AWARD-230</t>
        </is>
      </c>
      <c r="B231" s="18" t="inlineStr">
        <is>
          <t>FILM-137</t>
        </is>
      </c>
      <c r="C231" s="5" t="inlineStr">
        <is>
          <t>Agneepath</t>
        </is>
      </c>
      <c r="D231" s="17" t="n">
        <v>2013</v>
      </c>
      <c r="E231" s="5" t="inlineStr">
        <is>
          <t>IIFA Awards</t>
        </is>
      </c>
      <c r="F231" s="5" t="inlineStr">
        <is>
          <t>Best Actor in a Negative Role</t>
        </is>
      </c>
      <c r="G231" s="5" t="inlineStr">
        <is>
          <t>Rishi Kapoor</t>
        </is>
      </c>
      <c r="H231" s="5" t="inlineStr">
        <is>
          <t>Actor</t>
        </is>
      </c>
      <c r="I231" s="5" t="inlineStr">
        <is>
          <t>Win</t>
        </is>
      </c>
      <c r="J231" s="5" t="inlineStr">
        <is>
          <t>Competitive</t>
        </is>
      </c>
      <c r="K231" s="5" t="inlineStr">
        <is>
          <t>6 July 2013.</t>
        </is>
      </c>
      <c r="L231" s="5" t="inlineStr">
        <is>
          <t>SOURCE-129</t>
        </is>
      </c>
      <c r="M231" s="5" t="inlineStr">
        <is>
          <t>Medium</t>
        </is>
      </c>
    </row>
    <row r="232" ht="19" customHeight="1">
      <c r="A232" s="15" t="inlineStr">
        <is>
          <t>AWARD-231</t>
        </is>
      </c>
      <c r="B232" s="18" t="inlineStr">
        <is>
          <t>FILM-137</t>
        </is>
      </c>
      <c r="C232" s="5" t="inlineStr">
        <is>
          <t>Agneepath</t>
        </is>
      </c>
      <c r="D232" s="17" t="n">
        <v>2013</v>
      </c>
      <c r="E232" s="5" t="inlineStr">
        <is>
          <t>Times of India Film Awards</t>
        </is>
      </c>
      <c r="F232" s="5" t="inlineStr">
        <is>
          <t>Best Actor in a Negative Role</t>
        </is>
      </c>
      <c r="G232" s="5" t="inlineStr">
        <is>
          <t>Rishi Kapoor</t>
        </is>
      </c>
      <c r="H232" s="5" t="inlineStr">
        <is>
          <t>Actor</t>
        </is>
      </c>
      <c r="I232" s="5" t="inlineStr">
        <is>
          <t>Win</t>
        </is>
      </c>
      <c r="J232" s="5" t="inlineStr">
        <is>
          <t>Competitive</t>
        </is>
      </c>
      <c r="K232" s="5" t="inlineStr">
        <is>
          <t>TOIFA, 6 April 2013, Vancouver.</t>
        </is>
      </c>
      <c r="L232" s="5" t="inlineStr">
        <is>
          <t>SOURCE-240</t>
        </is>
      </c>
      <c r="M232" s="5" t="inlineStr">
        <is>
          <t>Medium</t>
        </is>
      </c>
    </row>
    <row r="233" ht="34" customHeight="1">
      <c r="A233" s="15" t="inlineStr">
        <is>
          <t>AWARD-232</t>
        </is>
      </c>
      <c r="B233" s="18" t="inlineStr">
        <is>
          <t>FILM-137</t>
        </is>
      </c>
      <c r="C233" s="5" t="inlineStr">
        <is>
          <t>Agneepath</t>
        </is>
      </c>
      <c r="D233" s="17" t="n">
        <v>2013</v>
      </c>
      <c r="E233" s="5" t="inlineStr">
        <is>
          <t>Screen Awards</t>
        </is>
      </c>
      <c r="F233" s="5" t="inlineStr">
        <is>
          <t>Best Villain</t>
        </is>
      </c>
      <c r="G233" s="5" t="inlineStr">
        <is>
          <t>Rishi Kapoor</t>
        </is>
      </c>
      <c r="H233" s="5" t="inlineStr">
        <is>
          <t>Actor</t>
        </is>
      </c>
      <c r="I233" s="5" t="inlineStr">
        <is>
          <t>Nomination</t>
        </is>
      </c>
      <c r="J233" s="5" t="inlineStr">
        <is>
          <t>Competitive</t>
        </is>
      </c>
      <c r="K233" s="5" t="inlineStr">
        <is>
          <t>2 January 2013; Sanjay Dutt was nominated in the same category for the same film.</t>
        </is>
      </c>
      <c r="L233" s="5" t="inlineStr">
        <is>
          <t>SOURCE-129</t>
        </is>
      </c>
      <c r="M233" s="5" t="inlineStr">
        <is>
          <t>Medium</t>
        </is>
      </c>
    </row>
    <row r="234" ht="34" customHeight="1">
      <c r="A234" s="15" t="inlineStr">
        <is>
          <t>AWARD-233</t>
        </is>
      </c>
      <c r="B234" s="18" t="inlineStr">
        <is>
          <t>FILM-137</t>
        </is>
      </c>
      <c r="C234" s="5" t="inlineStr">
        <is>
          <t>Agneepath</t>
        </is>
      </c>
      <c r="D234" s="17" t="n">
        <v>2013</v>
      </c>
      <c r="E234" s="5" t="inlineStr">
        <is>
          <t>Filmfare Awards</t>
        </is>
      </c>
      <c r="F234" s="5" t="inlineStr">
        <is>
          <t>Best Supporting Actor</t>
        </is>
      </c>
      <c r="G234" s="5" t="inlineStr">
        <is>
          <t>Rishi Kapoor</t>
        </is>
      </c>
      <c r="H234" s="5" t="inlineStr">
        <is>
          <t>Actor</t>
        </is>
      </c>
      <c r="I234" s="5" t="inlineStr">
        <is>
          <t>Nomination</t>
        </is>
      </c>
      <c r="J234" s="5" t="inlineStr">
        <is>
          <t>Competitive</t>
        </is>
      </c>
      <c r="K234" s="5" t="inlineStr">
        <is>
          <t>58th Filmfare Awards, 13 January 2013. Agneepath took 5 nominations and won none.</t>
        </is>
      </c>
      <c r="L234" s="5" t="inlineStr">
        <is>
          <t>SOURCE-129; SOURCE-465</t>
        </is>
      </c>
      <c r="M234" s="5" t="inlineStr">
        <is>
          <t>High</t>
        </is>
      </c>
    </row>
    <row r="235" ht="19" customHeight="1">
      <c r="A235" s="15" t="inlineStr">
        <is>
          <t>AWARD-234</t>
        </is>
      </c>
      <c r="B235" s="18" t="inlineStr">
        <is>
          <t>FILM-137</t>
        </is>
      </c>
      <c r="C235" s="5" t="inlineStr">
        <is>
          <t>Agneepath</t>
        </is>
      </c>
      <c r="D235" s="17" t="n">
        <v>2013</v>
      </c>
      <c r="E235" s="5" t="inlineStr">
        <is>
          <t>Filmfare Awards</t>
        </is>
      </c>
      <c r="F235" s="5" t="inlineStr">
        <is>
          <t>Best Actor</t>
        </is>
      </c>
      <c r="G235" s="5" t="inlineStr">
        <is>
          <t>Hrithik Roshan</t>
        </is>
      </c>
      <c r="H235" s="5" t="inlineStr">
        <is>
          <t>Actor</t>
        </is>
      </c>
      <c r="I235" s="5" t="inlineStr">
        <is>
          <t>Nomination</t>
        </is>
      </c>
      <c r="J235" s="5" t="inlineStr">
        <is>
          <t>Competitive</t>
        </is>
      </c>
      <c r="K235" s="5" t="n"/>
      <c r="L235" s="5" t="inlineStr">
        <is>
          <t>SOURCE-129; SOURCE-465</t>
        </is>
      </c>
      <c r="M235" s="5" t="inlineStr">
        <is>
          <t>Medium</t>
        </is>
      </c>
    </row>
    <row r="236" ht="19" customHeight="1">
      <c r="A236" s="15" t="inlineStr">
        <is>
          <t>AWARD-235</t>
        </is>
      </c>
      <c r="B236" s="18" t="inlineStr">
        <is>
          <t>FILM-137</t>
        </is>
      </c>
      <c r="C236" s="5" t="inlineStr">
        <is>
          <t>Agneepath</t>
        </is>
      </c>
      <c r="D236" s="17" t="n">
        <v>2013</v>
      </c>
      <c r="E236" s="5" t="inlineStr">
        <is>
          <t>Filmfare Awards</t>
        </is>
      </c>
      <c r="F236" s="5" t="inlineStr">
        <is>
          <t>Best Lyricist</t>
        </is>
      </c>
      <c r="G236" s="5" t="inlineStr">
        <is>
          <t>Amitabh Bhattacharya</t>
        </is>
      </c>
      <c r="H236" s="5" t="inlineStr">
        <is>
          <t>Lyricist</t>
        </is>
      </c>
      <c r="I236" s="5" t="inlineStr">
        <is>
          <t>Nomination</t>
        </is>
      </c>
      <c r="J236" s="5" t="inlineStr">
        <is>
          <t>Competitive</t>
        </is>
      </c>
      <c r="K236" s="5" t="inlineStr">
        <is>
          <t>For "Abhi Mujh Mein Kahin".</t>
        </is>
      </c>
      <c r="L236" s="5" t="inlineStr">
        <is>
          <t>SOURCE-129; SOURCE-465</t>
        </is>
      </c>
      <c r="M236" s="5" t="inlineStr">
        <is>
          <t>Medium</t>
        </is>
      </c>
    </row>
    <row r="237" ht="19" customHeight="1">
      <c r="A237" s="15" t="inlineStr">
        <is>
          <t>AWARD-236</t>
        </is>
      </c>
      <c r="B237" s="18" t="inlineStr">
        <is>
          <t>FILM-137</t>
        </is>
      </c>
      <c r="C237" s="5" t="inlineStr">
        <is>
          <t>Agneepath</t>
        </is>
      </c>
      <c r="D237" s="17" t="n">
        <v>2013</v>
      </c>
      <c r="E237" s="5" t="inlineStr">
        <is>
          <t>Filmfare Awards</t>
        </is>
      </c>
      <c r="F237" s="5" t="inlineStr">
        <is>
          <t>Best Male Playback Singer</t>
        </is>
      </c>
      <c r="G237" s="5" t="inlineStr">
        <is>
          <t>Sonu Nigam</t>
        </is>
      </c>
      <c r="H237" s="5" t="inlineStr">
        <is>
          <t>Playback singer</t>
        </is>
      </c>
      <c r="I237" s="5" t="inlineStr">
        <is>
          <t>Nomination</t>
        </is>
      </c>
      <c r="J237" s="5" t="inlineStr">
        <is>
          <t>Competitive</t>
        </is>
      </c>
      <c r="K237" s="5" t="inlineStr">
        <is>
          <t>For "Abhi Mujh Mein Kahin".</t>
        </is>
      </c>
      <c r="L237" s="5" t="inlineStr">
        <is>
          <t>SOURCE-129; SOURCE-465</t>
        </is>
      </c>
      <c r="M237" s="5" t="inlineStr">
        <is>
          <t>Medium</t>
        </is>
      </c>
    </row>
    <row r="238" ht="19" customHeight="1">
      <c r="A238" s="15" t="inlineStr">
        <is>
          <t>AWARD-237</t>
        </is>
      </c>
      <c r="B238" s="18" t="inlineStr">
        <is>
          <t>FILM-137</t>
        </is>
      </c>
      <c r="C238" s="5" t="inlineStr">
        <is>
          <t>Agneepath</t>
        </is>
      </c>
      <c r="D238" s="17" t="n">
        <v>2013</v>
      </c>
      <c r="E238" s="5" t="inlineStr">
        <is>
          <t>Filmfare Awards</t>
        </is>
      </c>
      <c r="F238" s="5" t="inlineStr">
        <is>
          <t>Best Female Playback Singer</t>
        </is>
      </c>
      <c r="G238" s="5" t="inlineStr">
        <is>
          <t>Shreya Ghoshal</t>
        </is>
      </c>
      <c r="H238" s="5" t="inlineStr">
        <is>
          <t>Playback singer</t>
        </is>
      </c>
      <c r="I238" s="5" t="inlineStr">
        <is>
          <t>Nomination</t>
        </is>
      </c>
      <c r="J238" s="5" t="inlineStr">
        <is>
          <t>Competitive</t>
        </is>
      </c>
      <c r="K238" s="5" t="inlineStr">
        <is>
          <t>For "Chikni Chameli".</t>
        </is>
      </c>
      <c r="L238" s="5" t="inlineStr">
        <is>
          <t>SOURCE-129; SOURCE-465</t>
        </is>
      </c>
      <c r="M238" s="5" t="inlineStr">
        <is>
          <t>Medium</t>
        </is>
      </c>
    </row>
    <row r="239" ht="94" customHeight="1">
      <c r="A239" s="15" t="inlineStr">
        <is>
          <t>AWARD-238</t>
        </is>
      </c>
      <c r="B239" s="18" t="inlineStr">
        <is>
          <t>FILM-139</t>
        </is>
      </c>
      <c r="C239" s="5" t="inlineStr">
        <is>
          <t>Student of the Year</t>
        </is>
      </c>
      <c r="D239" s="17" t="n">
        <v>2013</v>
      </c>
      <c r="E239" s="5" t="inlineStr">
        <is>
          <t>Filmfare Awards</t>
        </is>
      </c>
      <c r="F239" s="5" t="inlineStr">
        <is>
          <t>R. D. Burman Award for New Music Talent</t>
        </is>
      </c>
      <c r="G239" s="5" t="inlineStr">
        <is>
          <t>Neeti Mohan</t>
        </is>
      </c>
      <c r="H239" s="5" t="inlineStr">
        <is>
          <t>Playback singer</t>
        </is>
      </c>
      <c r="I239" s="5" t="inlineStr">
        <is>
          <t>Win</t>
        </is>
      </c>
      <c r="J239" s="5" t="inlineStr">
        <is>
          <t>Competitive</t>
        </is>
      </c>
      <c r="K239" s="5" t="inlineStr">
        <is>
          <t>58th Filmfare Awards. For "Ishq Wala Love". Mohan's award at this ceremony is also recorded against Jab Tak Hai Jaan for "Jiya Re"; the two films' articles each claim it, and it appears to be one award citing her work in both.</t>
        </is>
      </c>
      <c r="L239" s="5" t="inlineStr">
        <is>
          <t>SOURCE-131; SOURCE-465</t>
        </is>
      </c>
      <c r="M239" s="5" t="inlineStr">
        <is>
          <t>Medium</t>
        </is>
      </c>
    </row>
    <row r="240" ht="19" customHeight="1">
      <c r="A240" s="15" t="inlineStr">
        <is>
          <t>AWARD-239</t>
        </is>
      </c>
      <c r="B240" s="18" t="inlineStr">
        <is>
          <t>FILM-139</t>
        </is>
      </c>
      <c r="C240" s="5" t="inlineStr">
        <is>
          <t>Student of the Year</t>
        </is>
      </c>
      <c r="D240" s="17" t="n">
        <v>2013</v>
      </c>
      <c r="E240" s="5" t="inlineStr">
        <is>
          <t>Filmfare Awards</t>
        </is>
      </c>
      <c r="F240" s="5" t="inlineStr">
        <is>
          <t>Best Music Director</t>
        </is>
      </c>
      <c r="G240" s="5" t="inlineStr">
        <is>
          <t>Vishal–Shekhar</t>
        </is>
      </c>
      <c r="H240" s="5" t="inlineStr">
        <is>
          <t>Music director</t>
        </is>
      </c>
      <c r="I240" s="5" t="inlineStr">
        <is>
          <t>Nomination</t>
        </is>
      </c>
      <c r="J240" s="5" t="inlineStr">
        <is>
          <t>Competitive</t>
        </is>
      </c>
      <c r="K240" s="5" t="n"/>
      <c r="L240" s="5" t="inlineStr">
        <is>
          <t>SOURCE-131; SOURCE-465</t>
        </is>
      </c>
      <c r="M240" s="5" t="inlineStr">
        <is>
          <t>Medium</t>
        </is>
      </c>
    </row>
    <row r="241" ht="19" customHeight="1">
      <c r="A241" s="15" t="inlineStr">
        <is>
          <t>AWARD-240</t>
        </is>
      </c>
      <c r="B241" s="18" t="inlineStr">
        <is>
          <t>FILM-139</t>
        </is>
      </c>
      <c r="C241" s="5" t="inlineStr">
        <is>
          <t>Student of the Year</t>
        </is>
      </c>
      <c r="D241" s="17" t="n">
        <v>2013</v>
      </c>
      <c r="E241" s="5" t="inlineStr">
        <is>
          <t>Filmfare Awards</t>
        </is>
      </c>
      <c r="F241" s="5" t="inlineStr">
        <is>
          <t>Best Debutant – Male</t>
        </is>
      </c>
      <c r="G241" s="5" t="inlineStr">
        <is>
          <t>Sidharth Malhotra</t>
        </is>
      </c>
      <c r="H241" s="5" t="inlineStr">
        <is>
          <t>Actor</t>
        </is>
      </c>
      <c r="I241" s="5" t="inlineStr">
        <is>
          <t>Nomination</t>
        </is>
      </c>
      <c r="J241" s="5" t="inlineStr">
        <is>
          <t>Competitive</t>
        </is>
      </c>
      <c r="K241" s="5" t="n"/>
      <c r="L241" s="5" t="inlineStr">
        <is>
          <t>SOURCE-131; SOURCE-465</t>
        </is>
      </c>
      <c r="M241" s="5" t="inlineStr">
        <is>
          <t>Medium</t>
        </is>
      </c>
    </row>
    <row r="242" ht="19" customHeight="1">
      <c r="A242" s="15" t="inlineStr">
        <is>
          <t>AWARD-241</t>
        </is>
      </c>
      <c r="B242" s="18" t="inlineStr">
        <is>
          <t>FILM-139</t>
        </is>
      </c>
      <c r="C242" s="5" t="inlineStr">
        <is>
          <t>Student of the Year</t>
        </is>
      </c>
      <c r="D242" s="17" t="n">
        <v>2013</v>
      </c>
      <c r="E242" s="5" t="inlineStr">
        <is>
          <t>Filmfare Awards</t>
        </is>
      </c>
      <c r="F242" s="5" t="inlineStr">
        <is>
          <t>Best Debutant – Male</t>
        </is>
      </c>
      <c r="G242" s="5" t="inlineStr">
        <is>
          <t>Varun Dhawan</t>
        </is>
      </c>
      <c r="H242" s="5" t="inlineStr">
        <is>
          <t>Actor</t>
        </is>
      </c>
      <c r="I242" s="5" t="inlineStr">
        <is>
          <t>Nomination</t>
        </is>
      </c>
      <c r="J242" s="5" t="inlineStr">
        <is>
          <t>Competitive</t>
        </is>
      </c>
      <c r="K242" s="5" t="n"/>
      <c r="L242" s="5" t="inlineStr">
        <is>
          <t>SOURCE-131; SOURCE-465</t>
        </is>
      </c>
      <c r="M242" s="5" t="inlineStr">
        <is>
          <t>Medium</t>
        </is>
      </c>
    </row>
    <row r="243" ht="19" customHeight="1">
      <c r="A243" s="15" t="inlineStr">
        <is>
          <t>AWARD-242</t>
        </is>
      </c>
      <c r="B243" s="18" t="inlineStr">
        <is>
          <t>FILM-139</t>
        </is>
      </c>
      <c r="C243" s="5" t="inlineStr">
        <is>
          <t>Student of the Year</t>
        </is>
      </c>
      <c r="D243" s="17" t="n">
        <v>2013</v>
      </c>
      <c r="E243" s="5" t="inlineStr">
        <is>
          <t>Filmfare Awards</t>
        </is>
      </c>
      <c r="F243" s="5" t="inlineStr">
        <is>
          <t>Best Debutant – Female</t>
        </is>
      </c>
      <c r="G243" s="5" t="inlineStr">
        <is>
          <t>Alia Bhatt</t>
        </is>
      </c>
      <c r="H243" s="5" t="inlineStr">
        <is>
          <t>Actress</t>
        </is>
      </c>
      <c r="I243" s="5" t="inlineStr">
        <is>
          <t>Nomination</t>
        </is>
      </c>
      <c r="J243" s="5" t="inlineStr">
        <is>
          <t>Competitive</t>
        </is>
      </c>
      <c r="K243" s="5" t="n"/>
      <c r="L243" s="5" t="inlineStr">
        <is>
          <t>SOURCE-131; SOURCE-465</t>
        </is>
      </c>
      <c r="M243" s="5" t="inlineStr">
        <is>
          <t>Medium</t>
        </is>
      </c>
    </row>
    <row r="244" ht="34" customHeight="1">
      <c r="A244" s="15" t="inlineStr">
        <is>
          <t>AWARD-243</t>
        </is>
      </c>
      <c r="B244" s="18" t="inlineStr">
        <is>
          <t>FILM-139</t>
        </is>
      </c>
      <c r="C244" s="5" t="inlineStr">
        <is>
          <t>Student of the Year</t>
        </is>
      </c>
      <c r="D244" s="17" t="n">
        <v>2013</v>
      </c>
      <c r="E244" s="5" t="inlineStr">
        <is>
          <t>Producers Guild Film Awards</t>
        </is>
      </c>
      <c r="F244" s="5" t="inlineStr">
        <is>
          <t>Best Actor in a Comic Role</t>
        </is>
      </c>
      <c r="G244" s="5" t="inlineStr">
        <is>
          <t>Rishi Kapoor</t>
        </is>
      </c>
      <c r="H244" s="5" t="inlineStr">
        <is>
          <t>Actor</t>
        </is>
      </c>
      <c r="I244" s="5" t="inlineStr">
        <is>
          <t>Nomination</t>
        </is>
      </c>
      <c r="J244" s="5" t="inlineStr">
        <is>
          <t>Competitive</t>
        </is>
      </c>
      <c r="K244" s="5" t="inlineStr">
        <is>
          <t>8th Apsara Film &amp; Television Producers Guild Awards, as the dean Yoginder Vashisht.</t>
        </is>
      </c>
      <c r="L244" s="5" t="inlineStr">
        <is>
          <t>SOURCE-131</t>
        </is>
      </c>
      <c r="M244" s="5" t="inlineStr">
        <is>
          <t>Medium</t>
        </is>
      </c>
    </row>
    <row r="245" ht="49" customHeight="1">
      <c r="A245" s="15" t="inlineStr">
        <is>
          <t>AWARD-244</t>
        </is>
      </c>
      <c r="B245" s="18" t="inlineStr">
        <is>
          <t>FILM-140</t>
        </is>
      </c>
      <c r="C245" s="5" t="inlineStr">
        <is>
          <t>Jab Tak Hai Jaan</t>
        </is>
      </c>
      <c r="D245" s="17" t="n">
        <v>2013</v>
      </c>
      <c r="E245" s="5" t="inlineStr">
        <is>
          <t>Filmfare Awards</t>
        </is>
      </c>
      <c r="F245" s="5" t="inlineStr">
        <is>
          <t>Best Supporting Actress</t>
        </is>
      </c>
      <c r="G245" s="5" t="inlineStr">
        <is>
          <t>Anushka Sharma</t>
        </is>
      </c>
      <c r="H245" s="5" t="inlineStr">
        <is>
          <t>Actress</t>
        </is>
      </c>
      <c r="I245" s="5" t="inlineStr">
        <is>
          <t>Win</t>
        </is>
      </c>
      <c r="J245" s="5" t="inlineStr">
        <is>
          <t>Competitive</t>
        </is>
      </c>
      <c r="K245" s="5" t="inlineStr">
        <is>
          <t>58th Filmfare Awards, 20 January 2013. The film took 7 nominations and won 4. Kapoor appears in an extended special appearance.</t>
        </is>
      </c>
      <c r="L245" s="5" t="inlineStr">
        <is>
          <t>SOURCE-132; SOURCE-465</t>
        </is>
      </c>
      <c r="M245" s="5" t="inlineStr">
        <is>
          <t>Medium</t>
        </is>
      </c>
    </row>
    <row r="246" ht="19" customHeight="1">
      <c r="A246" s="15" t="inlineStr">
        <is>
          <t>AWARD-245</t>
        </is>
      </c>
      <c r="B246" s="18" t="inlineStr">
        <is>
          <t>FILM-140</t>
        </is>
      </c>
      <c r="C246" s="5" t="inlineStr">
        <is>
          <t>Jab Tak Hai Jaan</t>
        </is>
      </c>
      <c r="D246" s="17" t="n">
        <v>2013</v>
      </c>
      <c r="E246" s="5" t="inlineStr">
        <is>
          <t>Filmfare Awards</t>
        </is>
      </c>
      <c r="F246" s="5" t="inlineStr">
        <is>
          <t>Best Lyricist</t>
        </is>
      </c>
      <c r="G246" s="5" t="inlineStr">
        <is>
          <t>Gulzar</t>
        </is>
      </c>
      <c r="H246" s="5" t="inlineStr">
        <is>
          <t>Lyricist</t>
        </is>
      </c>
      <c r="I246" s="5" t="inlineStr">
        <is>
          <t>Win</t>
        </is>
      </c>
      <c r="J246" s="5" t="inlineStr">
        <is>
          <t>Competitive</t>
        </is>
      </c>
      <c r="K246" s="5" t="inlineStr">
        <is>
          <t>For "Challa".</t>
        </is>
      </c>
      <c r="L246" s="5" t="inlineStr">
        <is>
          <t>SOURCE-132; SOURCE-465</t>
        </is>
      </c>
      <c r="M246" s="5" t="inlineStr">
        <is>
          <t>Medium</t>
        </is>
      </c>
    </row>
    <row r="247" ht="64" customHeight="1">
      <c r="A247" s="15" t="inlineStr">
        <is>
          <t>AWARD-246</t>
        </is>
      </c>
      <c r="B247" s="18" t="inlineStr">
        <is>
          <t>FILM-140</t>
        </is>
      </c>
      <c r="C247" s="5" t="inlineStr">
        <is>
          <t>Jab Tak Hai Jaan</t>
        </is>
      </c>
      <c r="D247" s="17" t="n">
        <v>2013</v>
      </c>
      <c r="E247" s="5" t="inlineStr">
        <is>
          <t>Filmfare Awards</t>
        </is>
      </c>
      <c r="F247" s="5" t="inlineStr">
        <is>
          <t>Lifetime Achievement Award</t>
        </is>
      </c>
      <c r="G247" s="5" t="inlineStr">
        <is>
          <t>Yash Chopra</t>
        </is>
      </c>
      <c r="H247" s="5" t="inlineStr">
        <is>
          <t>Director</t>
        </is>
      </c>
      <c r="I247" s="5" t="inlineStr">
        <is>
          <t>Win</t>
        </is>
      </c>
      <c r="J247" s="5" t="inlineStr">
        <is>
          <t>Honorary</t>
        </is>
      </c>
      <c r="K247" s="5" t="inlineStr">
        <is>
          <t>Awarded for his whole body of work, after his death in October 2012; this was his last film. Chopra directed Kapoor in Kabhie Kabhie and Chandni.</t>
        </is>
      </c>
      <c r="L247" s="5" t="inlineStr">
        <is>
          <t>SOURCE-132; SOURCE-465</t>
        </is>
      </c>
      <c r="M247" s="5" t="inlineStr">
        <is>
          <t>Medium</t>
        </is>
      </c>
    </row>
    <row r="248" ht="49" customHeight="1">
      <c r="A248" s="15" t="inlineStr">
        <is>
          <t>AWARD-247</t>
        </is>
      </c>
      <c r="B248" s="18" t="inlineStr">
        <is>
          <t>FILM-140</t>
        </is>
      </c>
      <c r="C248" s="5" t="inlineStr">
        <is>
          <t>Jab Tak Hai Jaan</t>
        </is>
      </c>
      <c r="D248" s="17" t="n">
        <v>2013</v>
      </c>
      <c r="E248" s="5" t="inlineStr">
        <is>
          <t>Filmfare Awards</t>
        </is>
      </c>
      <c r="F248" s="5" t="inlineStr">
        <is>
          <t>R. D. Burman Award for New Music Talent</t>
        </is>
      </c>
      <c r="G248" s="5" t="inlineStr">
        <is>
          <t>Neeti Mohan</t>
        </is>
      </c>
      <c r="H248" s="5" t="inlineStr">
        <is>
          <t>Playback singer</t>
        </is>
      </c>
      <c r="I248" s="5" t="inlineStr">
        <is>
          <t>Win</t>
        </is>
      </c>
      <c r="J248" s="5" t="inlineStr">
        <is>
          <t>Competitive</t>
        </is>
      </c>
      <c r="K248" s="5" t="inlineStr">
        <is>
          <t>For "Jiya Re"; see the matching row under Student of the Year, which the same ceremony's award is also recorded against.</t>
        </is>
      </c>
      <c r="L248" s="5" t="inlineStr">
        <is>
          <t>SOURCE-132; SOURCE-465</t>
        </is>
      </c>
      <c r="M248" s="5" t="inlineStr">
        <is>
          <t>Medium</t>
        </is>
      </c>
    </row>
    <row r="249" ht="19" customHeight="1">
      <c r="A249" s="15" t="inlineStr">
        <is>
          <t>AWARD-248</t>
        </is>
      </c>
      <c r="B249" s="18" t="inlineStr">
        <is>
          <t>FILM-140</t>
        </is>
      </c>
      <c r="C249" s="5" t="inlineStr">
        <is>
          <t>Jab Tak Hai Jaan</t>
        </is>
      </c>
      <c r="D249" s="17" t="n">
        <v>2013</v>
      </c>
      <c r="E249" s="5" t="inlineStr">
        <is>
          <t>Filmfare Awards</t>
        </is>
      </c>
      <c r="F249" s="5" t="inlineStr">
        <is>
          <t>Best Actor</t>
        </is>
      </c>
      <c r="G249" s="5" t="inlineStr">
        <is>
          <t>Shah Rukh Khan</t>
        </is>
      </c>
      <c r="H249" s="5" t="inlineStr">
        <is>
          <t>Actor</t>
        </is>
      </c>
      <c r="I249" s="5" t="inlineStr">
        <is>
          <t>Nomination</t>
        </is>
      </c>
      <c r="J249" s="5" t="inlineStr">
        <is>
          <t>Competitive</t>
        </is>
      </c>
      <c r="K249" s="5" t="n"/>
      <c r="L249" s="5" t="inlineStr">
        <is>
          <t>SOURCE-132; SOURCE-465</t>
        </is>
      </c>
      <c r="M249" s="5" t="inlineStr">
        <is>
          <t>Medium</t>
        </is>
      </c>
    </row>
    <row r="250" ht="19" customHeight="1">
      <c r="A250" s="15" t="inlineStr">
        <is>
          <t>AWARD-249</t>
        </is>
      </c>
      <c r="B250" s="18" t="inlineStr">
        <is>
          <t>FILM-140</t>
        </is>
      </c>
      <c r="C250" s="5" t="inlineStr">
        <is>
          <t>Jab Tak Hai Jaan</t>
        </is>
      </c>
      <c r="D250" s="17" t="n">
        <v>2013</v>
      </c>
      <c r="E250" s="5" t="inlineStr">
        <is>
          <t>Filmfare Awards</t>
        </is>
      </c>
      <c r="F250" s="5" t="inlineStr">
        <is>
          <t>Best Lyricist</t>
        </is>
      </c>
      <c r="G250" s="5" t="inlineStr">
        <is>
          <t>Gulzar</t>
        </is>
      </c>
      <c r="H250" s="5" t="inlineStr">
        <is>
          <t>Lyricist</t>
        </is>
      </c>
      <c r="I250" s="5" t="inlineStr">
        <is>
          <t>Nomination</t>
        </is>
      </c>
      <c r="J250" s="5" t="inlineStr">
        <is>
          <t>Competitive</t>
        </is>
      </c>
      <c r="K250" s="5" t="inlineStr">
        <is>
          <t>For "Saans".</t>
        </is>
      </c>
      <c r="L250" s="5" t="inlineStr">
        <is>
          <t>SOURCE-132; SOURCE-465</t>
        </is>
      </c>
      <c r="M250" s="5" t="inlineStr">
        <is>
          <t>Medium</t>
        </is>
      </c>
    </row>
    <row r="251" ht="19" customHeight="1">
      <c r="A251" s="15" t="inlineStr">
        <is>
          <t>AWARD-250</t>
        </is>
      </c>
      <c r="B251" s="18" t="inlineStr">
        <is>
          <t>FILM-140</t>
        </is>
      </c>
      <c r="C251" s="5" t="inlineStr">
        <is>
          <t>Jab Tak Hai Jaan</t>
        </is>
      </c>
      <c r="D251" s="17" t="n">
        <v>2013</v>
      </c>
      <c r="E251" s="5" t="inlineStr">
        <is>
          <t>Filmfare Awards</t>
        </is>
      </c>
      <c r="F251" s="5" t="inlineStr">
        <is>
          <t>Best Male Playback Singer</t>
        </is>
      </c>
      <c r="G251" s="5" t="inlineStr">
        <is>
          <t>Rabbi Shergill</t>
        </is>
      </c>
      <c r="H251" s="5" t="inlineStr">
        <is>
          <t>Playback singer</t>
        </is>
      </c>
      <c r="I251" s="5" t="inlineStr">
        <is>
          <t>Nomination</t>
        </is>
      </c>
      <c r="J251" s="5" t="inlineStr">
        <is>
          <t>Competitive</t>
        </is>
      </c>
      <c r="K251" s="5" t="inlineStr">
        <is>
          <t>For "Challa".</t>
        </is>
      </c>
      <c r="L251" s="5" t="inlineStr">
        <is>
          <t>SOURCE-132; SOURCE-465</t>
        </is>
      </c>
      <c r="M251" s="5" t="inlineStr">
        <is>
          <t>Medium</t>
        </is>
      </c>
    </row>
    <row r="252" ht="19" customHeight="1">
      <c r="A252" s="15" t="inlineStr">
        <is>
          <t>AWARD-251</t>
        </is>
      </c>
      <c r="B252" s="18" t="inlineStr">
        <is>
          <t>FILM-140</t>
        </is>
      </c>
      <c r="C252" s="5" t="inlineStr">
        <is>
          <t>Jab Tak Hai Jaan</t>
        </is>
      </c>
      <c r="D252" s="17" t="n">
        <v>2013</v>
      </c>
      <c r="E252" s="5" t="inlineStr">
        <is>
          <t>Filmfare Awards</t>
        </is>
      </c>
      <c r="F252" s="5" t="inlineStr">
        <is>
          <t>Best Female Playback Singer</t>
        </is>
      </c>
      <c r="G252" s="5" t="inlineStr">
        <is>
          <t>Neeti Mohan</t>
        </is>
      </c>
      <c r="H252" s="5" t="inlineStr">
        <is>
          <t>Playback singer</t>
        </is>
      </c>
      <c r="I252" s="5" t="inlineStr">
        <is>
          <t>Nomination</t>
        </is>
      </c>
      <c r="J252" s="5" t="inlineStr">
        <is>
          <t>Competitive</t>
        </is>
      </c>
      <c r="K252" s="5" t="inlineStr">
        <is>
          <t>For "Jiya Re".</t>
        </is>
      </c>
      <c r="L252" s="5" t="inlineStr">
        <is>
          <t>SOURCE-132; SOURCE-465</t>
        </is>
      </c>
      <c r="M252" s="5" t="inlineStr">
        <is>
          <t>Medium</t>
        </is>
      </c>
    </row>
    <row r="253" ht="19" customHeight="1">
      <c r="A253" s="15" t="inlineStr">
        <is>
          <t>AWARD-252</t>
        </is>
      </c>
      <c r="B253" s="18" t="inlineStr">
        <is>
          <t>FILM-140</t>
        </is>
      </c>
      <c r="C253" s="5" t="inlineStr">
        <is>
          <t>Jab Tak Hai Jaan</t>
        </is>
      </c>
      <c r="D253" s="17" t="n">
        <v>2013</v>
      </c>
      <c r="E253" s="5" t="inlineStr">
        <is>
          <t>Filmfare Awards</t>
        </is>
      </c>
      <c r="F253" s="5" t="inlineStr">
        <is>
          <t>Best Female Playback Singer</t>
        </is>
      </c>
      <c r="G253" s="5" t="inlineStr">
        <is>
          <t>Shreya Ghoshal</t>
        </is>
      </c>
      <c r="H253" s="5" t="inlineStr">
        <is>
          <t>Playback singer</t>
        </is>
      </c>
      <c r="I253" s="5" t="inlineStr">
        <is>
          <t>Nomination</t>
        </is>
      </c>
      <c r="J253" s="5" t="inlineStr">
        <is>
          <t>Competitive</t>
        </is>
      </c>
      <c r="K253" s="5" t="inlineStr">
        <is>
          <t>For "Saans".</t>
        </is>
      </c>
      <c r="L253" s="5" t="inlineStr">
        <is>
          <t>SOURCE-132; SOURCE-465</t>
        </is>
      </c>
      <c r="M253" s="5" t="inlineStr">
        <is>
          <t>Medium</t>
        </is>
      </c>
    </row>
    <row r="254" ht="64" customHeight="1">
      <c r="A254" s="15" t="inlineStr">
        <is>
          <t>AWARD-253</t>
        </is>
      </c>
      <c r="B254" s="18" t="inlineStr">
        <is>
          <t>FILM-143</t>
        </is>
      </c>
      <c r="C254" s="5" t="inlineStr">
        <is>
          <t>D-Day</t>
        </is>
      </c>
      <c r="D254" s="17" t="n">
        <v>2014</v>
      </c>
      <c r="E254" s="5" t="inlineStr">
        <is>
          <t>Filmfare Awards</t>
        </is>
      </c>
      <c r="F254" s="5" t="inlineStr">
        <is>
          <t>Best Editing</t>
        </is>
      </c>
      <c r="G254" s="5" t="inlineStr">
        <is>
          <t>Aarif Sheikh</t>
        </is>
      </c>
      <c r="H254" s="5" t="inlineStr">
        <is>
          <t>Editor</t>
        </is>
      </c>
      <c r="I254" s="5" t="inlineStr">
        <is>
          <t>Win</t>
        </is>
      </c>
      <c r="J254" s="5" t="inlineStr">
        <is>
          <t>Competitive</t>
        </is>
      </c>
      <c r="K254" s="5" t="inlineStr">
        <is>
          <t>59th Filmfare Awards, for films of 2013. D-Day was one of six films to win 2 awards. Kapoor plays the Dawood Ibrahim figure Iqbal Seth, his most unsparing antagonist.</t>
        </is>
      </c>
      <c r="L254" s="5" t="inlineStr">
        <is>
          <t>SOURCE-135; SOURCE-466</t>
        </is>
      </c>
      <c r="M254" s="5" t="inlineStr">
        <is>
          <t>Medium</t>
        </is>
      </c>
    </row>
    <row r="255" ht="34" customHeight="1">
      <c r="A255" s="15" t="inlineStr">
        <is>
          <t>AWARD-254</t>
        </is>
      </c>
      <c r="B255" s="18" t="inlineStr">
        <is>
          <t>FILM-143</t>
        </is>
      </c>
      <c r="C255" s="5" t="inlineStr">
        <is>
          <t>D-Day</t>
        </is>
      </c>
      <c r="D255" s="17" t="n">
        <v>2014</v>
      </c>
      <c r="E255" s="5" t="inlineStr">
        <is>
          <t>Filmfare Awards</t>
        </is>
      </c>
      <c r="F255" s="5" t="inlineStr">
        <is>
          <t>Best Action</t>
        </is>
      </c>
      <c r="G255" s="5" t="inlineStr">
        <is>
          <t>Thomas Struthers and Guru Bachchan</t>
        </is>
      </c>
      <c r="H255" s="5" t="inlineStr">
        <is>
          <t>Technician</t>
        </is>
      </c>
      <c r="I255" s="5" t="inlineStr">
        <is>
          <t>Win</t>
        </is>
      </c>
      <c r="J255" s="5" t="inlineStr">
        <is>
          <t>Competitive</t>
        </is>
      </c>
      <c r="K255" s="5" t="n"/>
      <c r="L255" s="5" t="inlineStr">
        <is>
          <t>SOURCE-135; SOURCE-466</t>
        </is>
      </c>
      <c r="M255" s="5" t="inlineStr">
        <is>
          <t>Medium</t>
        </is>
      </c>
    </row>
    <row r="256" ht="49" customHeight="1">
      <c r="A256" s="15" t="inlineStr">
        <is>
          <t>AWARD-255</t>
        </is>
      </c>
      <c r="B256" s="18" t="inlineStr">
        <is>
          <t>FILM-143</t>
        </is>
      </c>
      <c r="C256" s="5" t="inlineStr">
        <is>
          <t>D-Day</t>
        </is>
      </c>
      <c r="D256" s="17" t="n">
        <v>2014</v>
      </c>
      <c r="E256" s="5" t="inlineStr">
        <is>
          <t>Filmfare Awards</t>
        </is>
      </c>
      <c r="F256" s="5" t="inlineStr">
        <is>
          <t>Best Screenplay</t>
        </is>
      </c>
      <c r="G256" s="5" t="inlineStr">
        <is>
          <t>Nikkhil Advani, Ritesh Shah, Suresh Nair and Niranjan Iyengar</t>
        </is>
      </c>
      <c r="H256" s="5" t="inlineStr">
        <is>
          <t>Writer</t>
        </is>
      </c>
      <c r="I256" s="5" t="inlineStr">
        <is>
          <t>Nomination</t>
        </is>
      </c>
      <c r="J256" s="5" t="inlineStr">
        <is>
          <t>Competitive</t>
        </is>
      </c>
      <c r="K256" s="5" t="n"/>
      <c r="L256" s="5" t="inlineStr">
        <is>
          <t>SOURCE-135; SOURCE-466</t>
        </is>
      </c>
      <c r="M256" s="5" t="inlineStr">
        <is>
          <t>Medium</t>
        </is>
      </c>
    </row>
    <row r="257" ht="34" customHeight="1">
      <c r="A257" s="15" t="inlineStr">
        <is>
          <t>AWARD-256</t>
        </is>
      </c>
      <c r="B257" s="18" t="inlineStr">
        <is>
          <t>FILM-144</t>
        </is>
      </c>
      <c r="C257" s="5" t="inlineStr">
        <is>
          <t>Shuddh Desi Romance</t>
        </is>
      </c>
      <c r="D257" s="17" t="n">
        <v>2014</v>
      </c>
      <c r="E257" s="5" t="inlineStr">
        <is>
          <t>Filmfare Awards</t>
        </is>
      </c>
      <c r="F257" s="5" t="inlineStr">
        <is>
          <t>Best Female Debut</t>
        </is>
      </c>
      <c r="G257" s="5" t="inlineStr">
        <is>
          <t>Vaani Kapoor</t>
        </is>
      </c>
      <c r="H257" s="5" t="inlineStr">
        <is>
          <t>Actress</t>
        </is>
      </c>
      <c r="I257" s="5" t="inlineStr">
        <is>
          <t>Win</t>
        </is>
      </c>
      <c r="J257" s="5" t="inlineStr">
        <is>
          <t>Competitive</t>
        </is>
      </c>
      <c r="K257" s="5" t="inlineStr">
        <is>
          <t>59th Filmfare Awards. Kapoor plays the wedding contractor Goyal.</t>
        </is>
      </c>
      <c r="L257" s="5" t="inlineStr">
        <is>
          <t>SOURCE-136; SOURCE-466</t>
        </is>
      </c>
      <c r="M257" s="5" t="inlineStr">
        <is>
          <t>Medium</t>
        </is>
      </c>
    </row>
    <row r="258" ht="19" customHeight="1">
      <c r="A258" s="15" t="inlineStr">
        <is>
          <t>AWARD-257</t>
        </is>
      </c>
      <c r="B258" s="18" t="inlineStr">
        <is>
          <t>FILM-144</t>
        </is>
      </c>
      <c r="C258" s="5" t="inlineStr">
        <is>
          <t>Shuddh Desi Romance</t>
        </is>
      </c>
      <c r="D258" s="17" t="n">
        <v>2014</v>
      </c>
      <c r="E258" s="5" t="inlineStr">
        <is>
          <t>Filmfare Awards</t>
        </is>
      </c>
      <c r="F258" s="5" t="inlineStr">
        <is>
          <t>Best Actress</t>
        </is>
      </c>
      <c r="G258" s="5" t="inlineStr">
        <is>
          <t>Parineeti Chopra</t>
        </is>
      </c>
      <c r="H258" s="5" t="inlineStr">
        <is>
          <t>Actress</t>
        </is>
      </c>
      <c r="I258" s="5" t="inlineStr">
        <is>
          <t>Nomination</t>
        </is>
      </c>
      <c r="J258" s="5" t="inlineStr">
        <is>
          <t>Competitive</t>
        </is>
      </c>
      <c r="K258" s="5" t="n"/>
      <c r="L258" s="5" t="inlineStr">
        <is>
          <t>SOURCE-136; SOURCE-466</t>
        </is>
      </c>
      <c r="M258" s="5" t="inlineStr">
        <is>
          <t>Medium</t>
        </is>
      </c>
    </row>
    <row r="259" ht="34" customHeight="1">
      <c r="A259" s="15" t="inlineStr">
        <is>
          <t>AWARD-258</t>
        </is>
      </c>
      <c r="B259" s="18" t="inlineStr">
        <is>
          <t>FILM-144</t>
        </is>
      </c>
      <c r="C259" s="5" t="inlineStr">
        <is>
          <t>Shuddh Desi Romance</t>
        </is>
      </c>
      <c r="D259" s="17" t="n">
        <v>2014</v>
      </c>
      <c r="E259" s="5" t="inlineStr">
        <is>
          <t>Filmfare Awards</t>
        </is>
      </c>
      <c r="F259" s="5" t="inlineStr">
        <is>
          <t>Best Story</t>
        </is>
      </c>
      <c r="G259" s="5" t="inlineStr">
        <is>
          <t>Jaideep Sahni</t>
        </is>
      </c>
      <c r="H259" s="5" t="inlineStr">
        <is>
          <t>Writer</t>
        </is>
      </c>
      <c r="I259" s="5" t="inlineStr">
        <is>
          <t>Nomination</t>
        </is>
      </c>
      <c r="J259" s="5" t="inlineStr">
        <is>
          <t>Competitive</t>
        </is>
      </c>
      <c r="K259" s="5" t="inlineStr">
        <is>
          <t>Recorded in the ceremony article rather than the film's own award list.</t>
        </is>
      </c>
      <c r="L259" s="5" t="inlineStr">
        <is>
          <t>SOURCE-466</t>
        </is>
      </c>
      <c r="M259" s="5" t="inlineStr">
        <is>
          <t>Medium</t>
        </is>
      </c>
    </row>
    <row r="260" ht="34" customHeight="1">
      <c r="A260" s="15" t="inlineStr">
        <is>
          <t>AWARD-259</t>
        </is>
      </c>
      <c r="B260" s="18" t="inlineStr">
        <is>
          <t>FILM-144</t>
        </is>
      </c>
      <c r="C260" s="5" t="inlineStr">
        <is>
          <t>Shuddh Desi Romance</t>
        </is>
      </c>
      <c r="D260" s="17" t="n">
        <v>2014</v>
      </c>
      <c r="E260" s="5" t="inlineStr">
        <is>
          <t>Filmfare Awards</t>
        </is>
      </c>
      <c r="F260" s="5" t="inlineStr">
        <is>
          <t>Best Dialogue</t>
        </is>
      </c>
      <c r="G260" s="5" t="inlineStr">
        <is>
          <t>Jaideep Sahni</t>
        </is>
      </c>
      <c r="H260" s="5" t="inlineStr">
        <is>
          <t>Writer</t>
        </is>
      </c>
      <c r="I260" s="5" t="inlineStr">
        <is>
          <t>Nomination</t>
        </is>
      </c>
      <c r="J260" s="5" t="inlineStr">
        <is>
          <t>Competitive</t>
        </is>
      </c>
      <c r="K260" s="5" t="inlineStr">
        <is>
          <t>Recorded in the ceremony article rather than the film's own award list.</t>
        </is>
      </c>
      <c r="L260" s="5" t="inlineStr">
        <is>
          <t>SOURCE-466</t>
        </is>
      </c>
      <c r="M260" s="5" t="inlineStr">
        <is>
          <t>Medium</t>
        </is>
      </c>
    </row>
    <row r="261" ht="34" customHeight="1">
      <c r="A261" s="15" t="inlineStr">
        <is>
          <t>AWARD-260</t>
        </is>
      </c>
      <c r="B261" s="18" t="inlineStr">
        <is>
          <t>FILM-152</t>
        </is>
      </c>
      <c r="C261" s="5" t="inlineStr">
        <is>
          <t>Kapoor &amp; Sons</t>
        </is>
      </c>
      <c r="D261" s="17" t="n">
        <v>2016</v>
      </c>
      <c r="E261" s="5" t="inlineStr">
        <is>
          <t>Indian Film Festival of Melbourne</t>
        </is>
      </c>
      <c r="F261" s="5" t="inlineStr">
        <is>
          <t>Best Film</t>
        </is>
      </c>
      <c r="G261" s="5" t="inlineStr">
        <is>
          <t>Kapoor &amp; Sons</t>
        </is>
      </c>
      <c r="H261" s="5" t="inlineStr">
        <is>
          <t>Film</t>
        </is>
      </c>
      <c r="I261" s="5" t="inlineStr">
        <is>
          <t>Win</t>
        </is>
      </c>
      <c r="J261" s="5" t="inlineStr">
        <is>
          <t>Competitive</t>
        </is>
      </c>
      <c r="K261" s="5" t="inlineStr">
        <is>
          <t>11 August 2016.</t>
        </is>
      </c>
      <c r="L261" s="5" t="inlineStr">
        <is>
          <t>SOURCE-144</t>
        </is>
      </c>
      <c r="M261" s="5" t="inlineStr">
        <is>
          <t>Medium</t>
        </is>
      </c>
    </row>
    <row r="262" ht="34" customHeight="1">
      <c r="A262" s="15" t="inlineStr">
        <is>
          <t>AWARD-261</t>
        </is>
      </c>
      <c r="B262" s="18" t="inlineStr">
        <is>
          <t>FILM-152</t>
        </is>
      </c>
      <c r="C262" s="5" t="inlineStr">
        <is>
          <t>Kapoor &amp; Sons</t>
        </is>
      </c>
      <c r="D262" s="17" t="n">
        <v>2016</v>
      </c>
      <c r="E262" s="5" t="inlineStr">
        <is>
          <t>Indian Film Festival of Melbourne</t>
        </is>
      </c>
      <c r="F262" s="5" t="inlineStr">
        <is>
          <t>Best Director</t>
        </is>
      </c>
      <c r="G262" s="5" t="inlineStr">
        <is>
          <t>Shakun Batra</t>
        </is>
      </c>
      <c r="H262" s="5" t="inlineStr">
        <is>
          <t>Director</t>
        </is>
      </c>
      <c r="I262" s="5" t="inlineStr">
        <is>
          <t>Nomination</t>
        </is>
      </c>
      <c r="J262" s="5" t="inlineStr">
        <is>
          <t>Competitive</t>
        </is>
      </c>
      <c r="K262" s="5" t="n"/>
      <c r="L262" s="5" t="inlineStr">
        <is>
          <t>SOURCE-144</t>
        </is>
      </c>
      <c r="M262" s="5" t="inlineStr">
        <is>
          <t>Medium</t>
        </is>
      </c>
    </row>
    <row r="263" ht="49" customHeight="1">
      <c r="A263" s="15" t="inlineStr">
        <is>
          <t>AWARD-262</t>
        </is>
      </c>
      <c r="B263" s="18" t="inlineStr">
        <is>
          <t>FILM-152</t>
        </is>
      </c>
      <c r="C263" s="5" t="inlineStr">
        <is>
          <t>Kapoor &amp; Sons</t>
        </is>
      </c>
      <c r="D263" s="17" t="n">
        <v>2016</v>
      </c>
      <c r="E263" s="5" t="inlineStr">
        <is>
          <t>Screen Awards</t>
        </is>
      </c>
      <c r="F263" s="5" t="inlineStr">
        <is>
          <t>Best Supporting Actor</t>
        </is>
      </c>
      <c r="G263" s="5" t="inlineStr">
        <is>
          <t>Rishi Kapoor</t>
        </is>
      </c>
      <c r="H263" s="5" t="inlineStr">
        <is>
          <t>Actor</t>
        </is>
      </c>
      <c r="I263" s="5" t="inlineStr">
        <is>
          <t>Win</t>
        </is>
      </c>
      <c r="J263" s="5" t="inlineStr">
        <is>
          <t>Competitive</t>
        </is>
      </c>
      <c r="K263" s="5" t="inlineStr">
        <is>
          <t>Star Screen Awards, 4 December 2016, as the ninety-year-old Amarjeet "Dadu" Kapoor, played under extensive prosthetic makeup.</t>
        </is>
      </c>
      <c r="L263" s="5" t="inlineStr">
        <is>
          <t>SOURCE-144</t>
        </is>
      </c>
      <c r="M263" s="5" t="inlineStr">
        <is>
          <t>Medium</t>
        </is>
      </c>
    </row>
    <row r="264" ht="64" customHeight="1">
      <c r="A264" s="15" t="inlineStr">
        <is>
          <t>AWARD-263</t>
        </is>
      </c>
      <c r="B264" s="18" t="inlineStr">
        <is>
          <t>FILM-152</t>
        </is>
      </c>
      <c r="C264" s="5" t="inlineStr">
        <is>
          <t>Kapoor &amp; Sons</t>
        </is>
      </c>
      <c r="D264" s="17" t="n">
        <v>2016</v>
      </c>
      <c r="E264" s="5" t="inlineStr">
        <is>
          <t>Stardust Awards</t>
        </is>
      </c>
      <c r="F264" s="5" t="inlineStr">
        <is>
          <t>Best Supporting Role (Male)</t>
        </is>
      </c>
      <c r="G264" s="5" t="inlineStr">
        <is>
          <t>Rishi Kapoor</t>
        </is>
      </c>
      <c r="H264" s="5" t="inlineStr">
        <is>
          <t>Actor</t>
        </is>
      </c>
      <c r="I264" s="5" t="inlineStr">
        <is>
          <t>Win</t>
        </is>
      </c>
      <c r="J264" s="5" t="inlineStr">
        <is>
          <t>Competitive</t>
        </is>
      </c>
      <c r="K264" s="5" t="inlineStr">
        <is>
          <t>19 December 2016. The citation covers this film and Sanam Re (FILM-151) together, so no separate row is recorded against that film.</t>
        </is>
      </c>
      <c r="L264" s="5" t="inlineStr">
        <is>
          <t>SOURCE-144</t>
        </is>
      </c>
      <c r="M264" s="5" t="inlineStr">
        <is>
          <t>Medium</t>
        </is>
      </c>
    </row>
    <row r="265" ht="79" customHeight="1">
      <c r="A265" s="15" t="inlineStr">
        <is>
          <t>AWARD-264</t>
        </is>
      </c>
      <c r="B265" s="18" t="inlineStr">
        <is>
          <t>FILM-152</t>
        </is>
      </c>
      <c r="C265" s="5" t="inlineStr">
        <is>
          <t>Kapoor &amp; Sons</t>
        </is>
      </c>
      <c r="D265" s="17" t="n">
        <v>2017</v>
      </c>
      <c r="E265" s="5" t="inlineStr">
        <is>
          <t>Filmfare Awards</t>
        </is>
      </c>
      <c r="F265" s="5" t="inlineStr">
        <is>
          <t>Best Supporting Actor</t>
        </is>
      </c>
      <c r="G265" s="5" t="inlineStr">
        <is>
          <t>Rishi Kapoor</t>
        </is>
      </c>
      <c r="H265" s="5" t="inlineStr">
        <is>
          <t>Actor</t>
        </is>
      </c>
      <c r="I265" s="5" t="inlineStr">
        <is>
          <t>Win</t>
        </is>
      </c>
      <c r="J265" s="5" t="inlineStr">
        <is>
          <t>Competitive</t>
        </is>
      </c>
      <c r="K265" s="5" t="inlineStr">
        <is>
          <t>62nd Filmfare Awards, 14 January 2017. His third and last Filmfare acting win, and the award that closed the arc from Best Actor for Bobby in 1974. Kapoor &amp; Sons won 5 awards, the second-most of the night.</t>
        </is>
      </c>
      <c r="L265" s="5" t="inlineStr">
        <is>
          <t>SOURCE-144; SOURCE-240; SOURCE-467</t>
        </is>
      </c>
      <c r="M265" s="5" t="inlineStr">
        <is>
          <t>High</t>
        </is>
      </c>
    </row>
    <row r="266" ht="34" customHeight="1">
      <c r="A266" s="15" t="inlineStr">
        <is>
          <t>AWARD-265</t>
        </is>
      </c>
      <c r="B266" s="18" t="inlineStr">
        <is>
          <t>FILM-152</t>
        </is>
      </c>
      <c r="C266" s="5" t="inlineStr">
        <is>
          <t>Kapoor &amp; Sons</t>
        </is>
      </c>
      <c r="D266" s="17" t="n">
        <v>2017</v>
      </c>
      <c r="E266" s="5" t="inlineStr">
        <is>
          <t>Filmfare Awards</t>
        </is>
      </c>
      <c r="F266" s="5" t="inlineStr">
        <is>
          <t>Best Story</t>
        </is>
      </c>
      <c r="G266" s="5" t="inlineStr">
        <is>
          <t>Shakun Batra and Ayesha Devitre Dhillon</t>
        </is>
      </c>
      <c r="H266" s="5" t="inlineStr">
        <is>
          <t>Writer</t>
        </is>
      </c>
      <c r="I266" s="5" t="inlineStr">
        <is>
          <t>Win</t>
        </is>
      </c>
      <c r="J266" s="5" t="inlineStr">
        <is>
          <t>Competitive</t>
        </is>
      </c>
      <c r="K266" s="5" t="n"/>
      <c r="L266" s="5" t="inlineStr">
        <is>
          <t>SOURCE-144; SOURCE-467</t>
        </is>
      </c>
      <c r="M266" s="5" t="inlineStr">
        <is>
          <t>Medium</t>
        </is>
      </c>
    </row>
    <row r="267" ht="34" customHeight="1">
      <c r="A267" s="15" t="inlineStr">
        <is>
          <t>AWARD-266</t>
        </is>
      </c>
      <c r="B267" s="18" t="inlineStr">
        <is>
          <t>FILM-152</t>
        </is>
      </c>
      <c r="C267" s="5" t="inlineStr">
        <is>
          <t>Kapoor &amp; Sons</t>
        </is>
      </c>
      <c r="D267" s="17" t="n">
        <v>2017</v>
      </c>
      <c r="E267" s="5" t="inlineStr">
        <is>
          <t>Filmfare Awards</t>
        </is>
      </c>
      <c r="F267" s="5" t="inlineStr">
        <is>
          <t>Best Screenplay</t>
        </is>
      </c>
      <c r="G267" s="5" t="inlineStr">
        <is>
          <t>Shakun Batra and Ayesha Devitre Dhillon</t>
        </is>
      </c>
      <c r="H267" s="5" t="inlineStr">
        <is>
          <t>Writer</t>
        </is>
      </c>
      <c r="I267" s="5" t="inlineStr">
        <is>
          <t>Win</t>
        </is>
      </c>
      <c r="J267" s="5" t="inlineStr">
        <is>
          <t>Competitive</t>
        </is>
      </c>
      <c r="K267" s="5" t="n"/>
      <c r="L267" s="5" t="inlineStr">
        <is>
          <t>SOURCE-144; SOURCE-467</t>
        </is>
      </c>
      <c r="M267" s="5" t="inlineStr">
        <is>
          <t>Medium</t>
        </is>
      </c>
    </row>
    <row r="268" ht="19" customHeight="1">
      <c r="A268" s="15" t="inlineStr">
        <is>
          <t>AWARD-267</t>
        </is>
      </c>
      <c r="B268" s="18" t="inlineStr">
        <is>
          <t>FILM-152</t>
        </is>
      </c>
      <c r="C268" s="5" t="inlineStr">
        <is>
          <t>Kapoor &amp; Sons</t>
        </is>
      </c>
      <c r="D268" s="17" t="n">
        <v>2017</v>
      </c>
      <c r="E268" s="5" t="inlineStr">
        <is>
          <t>Filmfare Awards</t>
        </is>
      </c>
      <c r="F268" s="5" t="inlineStr">
        <is>
          <t>Best Background Score</t>
        </is>
      </c>
      <c r="G268" s="5" t="inlineStr">
        <is>
          <t>Sameer Uddin</t>
        </is>
      </c>
      <c r="H268" s="5" t="inlineStr">
        <is>
          <t>Music director</t>
        </is>
      </c>
      <c r="I268" s="5" t="inlineStr">
        <is>
          <t>Win</t>
        </is>
      </c>
      <c r="J268" s="5" t="inlineStr">
        <is>
          <t>Competitive</t>
        </is>
      </c>
      <c r="K268" s="5" t="n"/>
      <c r="L268" s="5" t="inlineStr">
        <is>
          <t>SOURCE-144; SOURCE-467</t>
        </is>
      </c>
      <c r="M268" s="5" t="inlineStr">
        <is>
          <t>Medium</t>
        </is>
      </c>
    </row>
    <row r="269" ht="19" customHeight="1">
      <c r="A269" s="15" t="inlineStr">
        <is>
          <t>AWARD-268</t>
        </is>
      </c>
      <c r="B269" s="18" t="inlineStr">
        <is>
          <t>FILM-152</t>
        </is>
      </c>
      <c r="C269" s="5" t="inlineStr">
        <is>
          <t>Kapoor &amp; Sons</t>
        </is>
      </c>
      <c r="D269" s="17" t="n">
        <v>2017</v>
      </c>
      <c r="E269" s="5" t="inlineStr">
        <is>
          <t>Filmfare Awards</t>
        </is>
      </c>
      <c r="F269" s="5" t="inlineStr">
        <is>
          <t>Best Choreography</t>
        </is>
      </c>
      <c r="G269" s="5" t="inlineStr">
        <is>
          <t>Adil Shaikh</t>
        </is>
      </c>
      <c r="H269" s="5" t="inlineStr">
        <is>
          <t>Choreographer</t>
        </is>
      </c>
      <c r="I269" s="5" t="inlineStr">
        <is>
          <t>Win</t>
        </is>
      </c>
      <c r="J269" s="5" t="inlineStr">
        <is>
          <t>Competitive</t>
        </is>
      </c>
      <c r="K269" s="5" t="inlineStr">
        <is>
          <t>For "Kar Gayi Chull".</t>
        </is>
      </c>
      <c r="L269" s="5" t="inlineStr">
        <is>
          <t>SOURCE-144; SOURCE-467</t>
        </is>
      </c>
      <c r="M269" s="5" t="inlineStr">
        <is>
          <t>Medium</t>
        </is>
      </c>
    </row>
    <row r="270" ht="49" customHeight="1">
      <c r="A270" s="15" t="inlineStr">
        <is>
          <t>AWARD-269</t>
        </is>
      </c>
      <c r="B270" s="18" t="inlineStr">
        <is>
          <t>FILM-152</t>
        </is>
      </c>
      <c r="C270" s="5" t="inlineStr">
        <is>
          <t>Kapoor &amp; Sons</t>
        </is>
      </c>
      <c r="D270" s="17" t="n">
        <v>2017</v>
      </c>
      <c r="E270" s="5" t="inlineStr">
        <is>
          <t>Filmfare Awards</t>
        </is>
      </c>
      <c r="F270" s="5" t="inlineStr">
        <is>
          <t>Best Film</t>
        </is>
      </c>
      <c r="G270" s="5" t="inlineStr">
        <is>
          <t>Hiroo Yash Johar, Karan Johar and Apoorva Mehta</t>
        </is>
      </c>
      <c r="H270" s="5" t="inlineStr">
        <is>
          <t>Producer</t>
        </is>
      </c>
      <c r="I270" s="5" t="inlineStr">
        <is>
          <t>Nomination</t>
        </is>
      </c>
      <c r="J270" s="5" t="inlineStr">
        <is>
          <t>Competitive</t>
        </is>
      </c>
      <c r="K270" s="5" t="inlineStr">
        <is>
          <t>The ceremony's lead credits the film with 8 nominations; 11 Filmfare results are documented in the film's own article.</t>
        </is>
      </c>
      <c r="L270" s="5" t="inlineStr">
        <is>
          <t>SOURCE-144; SOURCE-467</t>
        </is>
      </c>
      <c r="M270" s="5" t="inlineStr">
        <is>
          <t>Medium</t>
        </is>
      </c>
    </row>
    <row r="271" ht="19" customHeight="1">
      <c r="A271" s="15" t="inlineStr">
        <is>
          <t>AWARD-270</t>
        </is>
      </c>
      <c r="B271" s="18" t="inlineStr">
        <is>
          <t>FILM-152</t>
        </is>
      </c>
      <c r="C271" s="5" t="inlineStr">
        <is>
          <t>Kapoor &amp; Sons</t>
        </is>
      </c>
      <c r="D271" s="17" t="n">
        <v>2017</v>
      </c>
      <c r="E271" s="5" t="inlineStr">
        <is>
          <t>Filmfare Awards</t>
        </is>
      </c>
      <c r="F271" s="5" t="inlineStr">
        <is>
          <t>Best Director</t>
        </is>
      </c>
      <c r="G271" s="5" t="inlineStr">
        <is>
          <t>Shakun Batra</t>
        </is>
      </c>
      <c r="H271" s="5" t="inlineStr">
        <is>
          <t>Director</t>
        </is>
      </c>
      <c r="I271" s="5" t="inlineStr">
        <is>
          <t>Nomination</t>
        </is>
      </c>
      <c r="J271" s="5" t="inlineStr">
        <is>
          <t>Competitive</t>
        </is>
      </c>
      <c r="K271" s="5" t="n"/>
      <c r="L271" s="5" t="inlineStr">
        <is>
          <t>SOURCE-144; SOURCE-467</t>
        </is>
      </c>
      <c r="M271" s="5" t="inlineStr">
        <is>
          <t>Medium</t>
        </is>
      </c>
    </row>
    <row r="272" ht="34" customHeight="1">
      <c r="A272" s="15" t="inlineStr">
        <is>
          <t>AWARD-271</t>
        </is>
      </c>
      <c r="B272" s="18" t="inlineStr">
        <is>
          <t>FILM-152</t>
        </is>
      </c>
      <c r="C272" s="5" t="inlineStr">
        <is>
          <t>Kapoor &amp; Sons</t>
        </is>
      </c>
      <c r="D272" s="17" t="n">
        <v>2017</v>
      </c>
      <c r="E272" s="5" t="inlineStr">
        <is>
          <t>Filmfare Awards</t>
        </is>
      </c>
      <c r="F272" s="5" t="inlineStr">
        <is>
          <t>Best Supporting Actor</t>
        </is>
      </c>
      <c r="G272" s="5" t="inlineStr">
        <is>
          <t>Fawad Khan</t>
        </is>
      </c>
      <c r="H272" s="5" t="inlineStr">
        <is>
          <t>Actor</t>
        </is>
      </c>
      <c r="I272" s="5" t="inlineStr">
        <is>
          <t>Nomination</t>
        </is>
      </c>
      <c r="J272" s="5" t="inlineStr">
        <is>
          <t>Competitive</t>
        </is>
      </c>
      <c r="K272" s="5" t="inlineStr">
        <is>
          <t>Three of the film's actors were nominated in this category; Kapoor won.</t>
        </is>
      </c>
      <c r="L272" s="5" t="inlineStr">
        <is>
          <t>SOURCE-144; SOURCE-467</t>
        </is>
      </c>
      <c r="M272" s="5" t="inlineStr">
        <is>
          <t>Medium</t>
        </is>
      </c>
    </row>
    <row r="273" ht="19" customHeight="1">
      <c r="A273" s="15" t="inlineStr">
        <is>
          <t>AWARD-272</t>
        </is>
      </c>
      <c r="B273" s="18" t="inlineStr">
        <is>
          <t>FILM-152</t>
        </is>
      </c>
      <c r="C273" s="5" t="inlineStr">
        <is>
          <t>Kapoor &amp; Sons</t>
        </is>
      </c>
      <c r="D273" s="17" t="n">
        <v>2017</v>
      </c>
      <c r="E273" s="5" t="inlineStr">
        <is>
          <t>Filmfare Awards</t>
        </is>
      </c>
      <c r="F273" s="5" t="inlineStr">
        <is>
          <t>Best Supporting Actor</t>
        </is>
      </c>
      <c r="G273" s="5" t="inlineStr">
        <is>
          <t>Rajat Kapoor</t>
        </is>
      </c>
      <c r="H273" s="5" t="inlineStr">
        <is>
          <t>Actor</t>
        </is>
      </c>
      <c r="I273" s="5" t="inlineStr">
        <is>
          <t>Nomination</t>
        </is>
      </c>
      <c r="J273" s="5" t="inlineStr">
        <is>
          <t>Competitive</t>
        </is>
      </c>
      <c r="K273" s="5" t="n"/>
      <c r="L273" s="5" t="inlineStr">
        <is>
          <t>SOURCE-144; SOURCE-467</t>
        </is>
      </c>
      <c r="M273" s="5" t="inlineStr">
        <is>
          <t>Medium</t>
        </is>
      </c>
    </row>
    <row r="274" ht="19" customHeight="1">
      <c r="A274" s="15" t="inlineStr">
        <is>
          <t>AWARD-273</t>
        </is>
      </c>
      <c r="B274" s="18" t="inlineStr">
        <is>
          <t>FILM-152</t>
        </is>
      </c>
      <c r="C274" s="5" t="inlineStr">
        <is>
          <t>Kapoor &amp; Sons</t>
        </is>
      </c>
      <c r="D274" s="17" t="n">
        <v>2017</v>
      </c>
      <c r="E274" s="5" t="inlineStr">
        <is>
          <t>Filmfare Awards</t>
        </is>
      </c>
      <c r="F274" s="5" t="inlineStr">
        <is>
          <t>Best Supporting Actress</t>
        </is>
      </c>
      <c r="G274" s="5" t="inlineStr">
        <is>
          <t>Ratna Pathak Shah</t>
        </is>
      </c>
      <c r="H274" s="5" t="inlineStr">
        <is>
          <t>Actress</t>
        </is>
      </c>
      <c r="I274" s="5" t="inlineStr">
        <is>
          <t>Nomination</t>
        </is>
      </c>
      <c r="J274" s="5" t="inlineStr">
        <is>
          <t>Competitive</t>
        </is>
      </c>
      <c r="K274" s="5" t="n"/>
      <c r="L274" s="5" t="inlineStr">
        <is>
          <t>SOURCE-144; SOURCE-467</t>
        </is>
      </c>
      <c r="M274" s="5" t="inlineStr">
        <is>
          <t>Medium</t>
        </is>
      </c>
    </row>
    <row r="275" ht="49" customHeight="1">
      <c r="A275" s="15" t="inlineStr">
        <is>
          <t>AWARD-274</t>
        </is>
      </c>
      <c r="B275" s="18" t="inlineStr">
        <is>
          <t>FILM-152</t>
        </is>
      </c>
      <c r="C275" s="5" t="inlineStr">
        <is>
          <t>Kapoor &amp; Sons</t>
        </is>
      </c>
      <c r="D275" s="17" t="n">
        <v>2017</v>
      </c>
      <c r="E275" s="5" t="inlineStr">
        <is>
          <t>Filmfare Awards</t>
        </is>
      </c>
      <c r="F275" s="5" t="inlineStr">
        <is>
          <t>Best Music Director</t>
        </is>
      </c>
      <c r="G275" s="5" t="inlineStr">
        <is>
          <t>Amaal Mallik, Badshah, Arko Pravo Mukherjee, Tanishk Bagchi, Benny Dayal and Nucleya</t>
        </is>
      </c>
      <c r="H275" s="5" t="inlineStr">
        <is>
          <t>Music director</t>
        </is>
      </c>
      <c r="I275" s="5" t="inlineStr">
        <is>
          <t>Nomination</t>
        </is>
      </c>
      <c r="J275" s="5" t="inlineStr">
        <is>
          <t>Competitive</t>
        </is>
      </c>
      <c r="K275" s="5" t="n"/>
      <c r="L275" s="5" t="inlineStr">
        <is>
          <t>SOURCE-144; SOURCE-467</t>
        </is>
      </c>
      <c r="M275" s="5" t="inlineStr">
        <is>
          <t>Medium</t>
        </is>
      </c>
    </row>
    <row r="276" ht="19" customHeight="1">
      <c r="A276" s="15" t="inlineStr">
        <is>
          <t>AWARD-275</t>
        </is>
      </c>
      <c r="B276" s="18" t="inlineStr">
        <is>
          <t>FILM-152</t>
        </is>
      </c>
      <c r="C276" s="5" t="inlineStr">
        <is>
          <t>Kapoor &amp; Sons</t>
        </is>
      </c>
      <c r="D276" s="17" t="n">
        <v>2017</v>
      </c>
      <c r="E276" s="5" t="inlineStr">
        <is>
          <t>Zee Cine Awards</t>
        </is>
      </c>
      <c r="F276" s="5" t="inlineStr">
        <is>
          <t>Best Supporting Actor</t>
        </is>
      </c>
      <c r="G276" s="5" t="inlineStr">
        <is>
          <t>Rishi Kapoor</t>
        </is>
      </c>
      <c r="H276" s="5" t="inlineStr">
        <is>
          <t>Actor</t>
        </is>
      </c>
      <c r="I276" s="5" t="inlineStr">
        <is>
          <t>Win</t>
        </is>
      </c>
      <c r="J276" s="5" t="inlineStr">
        <is>
          <t>Competitive</t>
        </is>
      </c>
      <c r="K276" s="5" t="inlineStr">
        <is>
          <t>11 March 2017.</t>
        </is>
      </c>
      <c r="L276" s="5" t="inlineStr">
        <is>
          <t>SOURCE-144; SOURCE-240</t>
        </is>
      </c>
      <c r="M276" s="5" t="inlineStr">
        <is>
          <t>Medium</t>
        </is>
      </c>
    </row>
    <row r="277" ht="34" customHeight="1">
      <c r="A277" s="15" t="inlineStr">
        <is>
          <t>AWARD-276</t>
        </is>
      </c>
      <c r="B277" s="18" t="inlineStr">
        <is>
          <t>FILM-152</t>
        </is>
      </c>
      <c r="C277" s="5" t="inlineStr">
        <is>
          <t>Kapoor &amp; Sons</t>
        </is>
      </c>
      <c r="D277" s="17" t="n">
        <v>2017</v>
      </c>
      <c r="E277" s="5" t="inlineStr">
        <is>
          <t>Zee Cine Awards</t>
        </is>
      </c>
      <c r="F277" s="5" t="inlineStr">
        <is>
          <t>Best Actor in a Comic Role</t>
        </is>
      </c>
      <c r="G277" s="5" t="inlineStr">
        <is>
          <t>Rishi Kapoor</t>
        </is>
      </c>
      <c r="H277" s="5" t="inlineStr">
        <is>
          <t>Actor</t>
        </is>
      </c>
      <c r="I277" s="5" t="inlineStr">
        <is>
          <t>Win</t>
        </is>
      </c>
      <c r="J277" s="5" t="inlineStr">
        <is>
          <t>Competitive</t>
        </is>
      </c>
      <c r="K277" s="5" t="inlineStr">
        <is>
          <t>A second Zee Cine award for the same performance.</t>
        </is>
      </c>
      <c r="L277" s="5" t="inlineStr">
        <is>
          <t>SOURCE-144; SOURCE-240</t>
        </is>
      </c>
      <c r="M277" s="5" t="inlineStr">
        <is>
          <t>Medium</t>
        </is>
      </c>
    </row>
    <row r="278" ht="19" customHeight="1">
      <c r="A278" s="15" t="inlineStr">
        <is>
          <t>AWARD-277</t>
        </is>
      </c>
      <c r="B278" s="18" t="inlineStr">
        <is>
          <t>FILM-152</t>
        </is>
      </c>
      <c r="C278" s="5" t="inlineStr">
        <is>
          <t>Kapoor &amp; Sons</t>
        </is>
      </c>
      <c r="D278" s="17" t="n">
        <v>2017</v>
      </c>
      <c r="E278" s="5" t="inlineStr">
        <is>
          <t>IIFA Awards</t>
        </is>
      </c>
      <c r="F278" s="5" t="inlineStr">
        <is>
          <t>Best Supporting Actor</t>
        </is>
      </c>
      <c r="G278" s="5" t="inlineStr">
        <is>
          <t>Rishi Kapoor</t>
        </is>
      </c>
      <c r="H278" s="5" t="inlineStr">
        <is>
          <t>Actor</t>
        </is>
      </c>
      <c r="I278" s="5" t="inlineStr">
        <is>
          <t>Nomination</t>
        </is>
      </c>
      <c r="J278" s="5" t="inlineStr">
        <is>
          <t>Competitive</t>
        </is>
      </c>
      <c r="K278" s="5" t="inlineStr">
        <is>
          <t>14 July 2017.</t>
        </is>
      </c>
      <c r="L278" s="5" t="inlineStr">
        <is>
          <t>SOURCE-144</t>
        </is>
      </c>
      <c r="M278" s="5" t="inlineStr">
        <is>
          <t>Medium</t>
        </is>
      </c>
    </row>
    <row r="279" ht="19" customHeight="1">
      <c r="A279" s="15" t="inlineStr">
        <is>
          <t>AWARD-278</t>
        </is>
      </c>
      <c r="B279" s="18" t="inlineStr">
        <is>
          <t>FILM-152</t>
        </is>
      </c>
      <c r="C279" s="5" t="inlineStr">
        <is>
          <t>Kapoor &amp; Sons</t>
        </is>
      </c>
      <c r="D279" s="17" t="n">
        <v>2017</v>
      </c>
      <c r="E279" s="5" t="inlineStr">
        <is>
          <t>IIFA Awards</t>
        </is>
      </c>
      <c r="F279" s="5" t="inlineStr">
        <is>
          <t>Best Actor in a Comic Role</t>
        </is>
      </c>
      <c r="G279" s="5" t="inlineStr">
        <is>
          <t>Rishi Kapoor</t>
        </is>
      </c>
      <c r="H279" s="5" t="inlineStr">
        <is>
          <t>Actor</t>
        </is>
      </c>
      <c r="I279" s="5" t="inlineStr">
        <is>
          <t>Nomination</t>
        </is>
      </c>
      <c r="J279" s="5" t="inlineStr">
        <is>
          <t>Competitive</t>
        </is>
      </c>
      <c r="K279" s="5" t="n"/>
      <c r="L279" s="5" t="inlineStr">
        <is>
          <t>SOURCE-144</t>
        </is>
      </c>
      <c r="M279" s="5" t="inlineStr">
        <is>
          <t>Medium</t>
        </is>
      </c>
    </row>
    <row r="280" ht="49" customHeight="1">
      <c r="A280" s="15" t="inlineStr">
        <is>
          <t>AWARD-279</t>
        </is>
      </c>
      <c r="B280" s="18" t="inlineStr">
        <is>
          <t>FILM-155</t>
        </is>
      </c>
      <c r="C280" s="5" t="inlineStr">
        <is>
          <t>Mulk</t>
        </is>
      </c>
      <c r="D280" s="17" t="n">
        <v>2018</v>
      </c>
      <c r="E280" s="5" t="inlineStr">
        <is>
          <t>Screen Awards</t>
        </is>
      </c>
      <c r="F280" s="5" t="inlineStr">
        <is>
          <t>Best Film (Critics)</t>
        </is>
      </c>
      <c r="G280" s="5" t="inlineStr">
        <is>
          <t>Mulk</t>
        </is>
      </c>
      <c r="H280" s="5" t="inlineStr">
        <is>
          <t>Film</t>
        </is>
      </c>
      <c r="I280" s="5" t="inlineStr">
        <is>
          <t>Win</t>
        </is>
      </c>
      <c r="J280" s="5" t="inlineStr">
        <is>
          <t>Competitive</t>
        </is>
      </c>
      <c r="K280" s="5" t="inlineStr">
        <is>
          <t>16 December 2018. Kapoor leads as Murad Ali Mohammed, the last of his major lead roles.</t>
        </is>
      </c>
      <c r="L280" s="5" t="inlineStr">
        <is>
          <t>SOURCE-148</t>
        </is>
      </c>
      <c r="M280" s="5" t="inlineStr">
        <is>
          <t>Medium</t>
        </is>
      </c>
    </row>
    <row r="281" ht="64" customHeight="1">
      <c r="A281" s="15" t="inlineStr">
        <is>
          <t>AWARD-280</t>
        </is>
      </c>
      <c r="B281" s="18" t="inlineStr">
        <is>
          <t>FILM-156</t>
        </is>
      </c>
      <c r="C281" s="5" t="inlineStr">
        <is>
          <t>Manto</t>
        </is>
      </c>
      <c r="D281" s="17" t="n">
        <v>2018</v>
      </c>
      <c r="E281" s="5" t="inlineStr">
        <is>
          <t>Toronto International Film Festival</t>
        </is>
      </c>
      <c r="F281" s="5" t="inlineStr">
        <is>
          <t>People's Choice Award</t>
        </is>
      </c>
      <c r="G281" s="5" t="inlineStr">
        <is>
          <t>Manto</t>
        </is>
      </c>
      <c r="H281" s="5" t="inlineStr">
        <is>
          <t>Film</t>
        </is>
      </c>
      <c r="I281" s="5" t="inlineStr">
        <is>
          <t>Nomination</t>
        </is>
      </c>
      <c r="J281" s="5" t="inlineStr">
        <is>
          <t>Competitive</t>
        </is>
      </c>
      <c r="K281" s="5" t="inlineStr">
        <is>
          <t>The film also played Cannes in the Un Certain Regard section; a festival selection is not recorded here as an award. Kapoor appears in a cameo.</t>
        </is>
      </c>
      <c r="L281" s="5" t="inlineStr">
        <is>
          <t>SOURCE-147</t>
        </is>
      </c>
      <c r="M281" s="5" t="inlineStr">
        <is>
          <t>Medium</t>
        </is>
      </c>
    </row>
    <row r="282" ht="64" customHeight="1">
      <c r="A282" s="15" t="inlineStr">
        <is>
          <t>AWARD-281</t>
        </is>
      </c>
      <c r="B282" s="18" t="inlineStr">
        <is>
          <t>FILM-155</t>
        </is>
      </c>
      <c r="C282" s="5" t="inlineStr">
        <is>
          <t>Mulk</t>
        </is>
      </c>
      <c r="D282" s="17" t="n">
        <v>2019</v>
      </c>
      <c r="E282" s="5" t="inlineStr">
        <is>
          <t>Filmfare Awards</t>
        </is>
      </c>
      <c r="F282" s="5" t="inlineStr">
        <is>
          <t>Best Story</t>
        </is>
      </c>
      <c r="G282" s="5" t="inlineStr">
        <is>
          <t>Anubhav Sinha</t>
        </is>
      </c>
      <c r="H282" s="5" t="inlineStr">
        <is>
          <t>Writer</t>
        </is>
      </c>
      <c r="I282" s="5" t="inlineStr">
        <is>
          <t>Win</t>
        </is>
      </c>
      <c r="J282" s="5" t="inlineStr">
        <is>
          <t>Competitive</t>
        </is>
      </c>
      <c r="K282" s="5" t="inlineStr">
        <is>
          <t>64th Filmfare Awards, 23 March 2019. Mulk took 6 nominations. Kapoor himself was not nominated for the performance widely called among his best.</t>
        </is>
      </c>
      <c r="L282" s="5" t="inlineStr">
        <is>
          <t>SOURCE-148; SOURCE-468</t>
        </is>
      </c>
      <c r="M282" s="5" t="inlineStr">
        <is>
          <t>Medium</t>
        </is>
      </c>
    </row>
    <row r="283" ht="19" customHeight="1">
      <c r="A283" s="15" t="inlineStr">
        <is>
          <t>AWARD-282</t>
        </is>
      </c>
      <c r="B283" s="18" t="inlineStr">
        <is>
          <t>FILM-155</t>
        </is>
      </c>
      <c r="C283" s="5" t="inlineStr">
        <is>
          <t>Mulk</t>
        </is>
      </c>
      <c r="D283" s="17" t="n">
        <v>2019</v>
      </c>
      <c r="E283" s="5" t="inlineStr">
        <is>
          <t>Filmfare Awards</t>
        </is>
      </c>
      <c r="F283" s="5" t="inlineStr">
        <is>
          <t>Best Actress (Critics)</t>
        </is>
      </c>
      <c r="G283" s="5" t="inlineStr">
        <is>
          <t>Taapsee Pannu</t>
        </is>
      </c>
      <c r="H283" s="5" t="inlineStr">
        <is>
          <t>Actress</t>
        </is>
      </c>
      <c r="I283" s="5" t="inlineStr">
        <is>
          <t>Nomination</t>
        </is>
      </c>
      <c r="J283" s="5" t="inlineStr">
        <is>
          <t>Competitive</t>
        </is>
      </c>
      <c r="K283" s="5" t="n"/>
      <c r="L283" s="5" t="inlineStr">
        <is>
          <t>SOURCE-148; SOURCE-468</t>
        </is>
      </c>
      <c r="M283" s="5" t="inlineStr">
        <is>
          <t>Medium</t>
        </is>
      </c>
    </row>
    <row r="284" ht="19" customHeight="1">
      <c r="A284" s="15" t="inlineStr">
        <is>
          <t>AWARD-283</t>
        </is>
      </c>
      <c r="B284" s="18" t="inlineStr">
        <is>
          <t>FILM-155</t>
        </is>
      </c>
      <c r="C284" s="5" t="inlineStr">
        <is>
          <t>Mulk</t>
        </is>
      </c>
      <c r="D284" s="17" t="n">
        <v>2019</v>
      </c>
      <c r="E284" s="5" t="inlineStr">
        <is>
          <t>Filmfare Awards</t>
        </is>
      </c>
      <c r="F284" s="5" t="inlineStr">
        <is>
          <t>Best Supporting Actor</t>
        </is>
      </c>
      <c r="G284" s="5" t="inlineStr">
        <is>
          <t>Manoj Pahwa</t>
        </is>
      </c>
      <c r="H284" s="5" t="inlineStr">
        <is>
          <t>Actor</t>
        </is>
      </c>
      <c r="I284" s="5" t="inlineStr">
        <is>
          <t>Nomination</t>
        </is>
      </c>
      <c r="J284" s="5" t="inlineStr">
        <is>
          <t>Competitive</t>
        </is>
      </c>
      <c r="K284" s="5" t="n"/>
      <c r="L284" s="5" t="inlineStr">
        <is>
          <t>SOURCE-148; SOURCE-468</t>
        </is>
      </c>
      <c r="M284" s="5" t="inlineStr">
        <is>
          <t>Medium</t>
        </is>
      </c>
    </row>
    <row r="285" ht="19" customHeight="1">
      <c r="A285" s="15" t="inlineStr">
        <is>
          <t>AWARD-284</t>
        </is>
      </c>
      <c r="B285" s="18" t="inlineStr">
        <is>
          <t>FILM-155</t>
        </is>
      </c>
      <c r="C285" s="5" t="inlineStr">
        <is>
          <t>Mulk</t>
        </is>
      </c>
      <c r="D285" s="17" t="n">
        <v>2019</v>
      </c>
      <c r="E285" s="5" t="inlineStr">
        <is>
          <t>Filmfare Awards</t>
        </is>
      </c>
      <c r="F285" s="5" t="inlineStr">
        <is>
          <t>Best Screenplay</t>
        </is>
      </c>
      <c r="G285" s="5" t="inlineStr">
        <is>
          <t>Anubhav Sinha</t>
        </is>
      </c>
      <c r="H285" s="5" t="inlineStr">
        <is>
          <t>Writer</t>
        </is>
      </c>
      <c r="I285" s="5" t="inlineStr">
        <is>
          <t>Nomination</t>
        </is>
      </c>
      <c r="J285" s="5" t="inlineStr">
        <is>
          <t>Competitive</t>
        </is>
      </c>
      <c r="K285" s="5" t="n"/>
      <c r="L285" s="5" t="inlineStr">
        <is>
          <t>SOURCE-148; SOURCE-468</t>
        </is>
      </c>
      <c r="M285" s="5" t="inlineStr">
        <is>
          <t>Medium</t>
        </is>
      </c>
    </row>
    <row r="286" ht="19" customHeight="1">
      <c r="A286" s="15" t="inlineStr">
        <is>
          <t>AWARD-285</t>
        </is>
      </c>
      <c r="B286" s="18" t="inlineStr">
        <is>
          <t>FILM-155</t>
        </is>
      </c>
      <c r="C286" s="5" t="inlineStr">
        <is>
          <t>Mulk</t>
        </is>
      </c>
      <c r="D286" s="17" t="n">
        <v>2019</v>
      </c>
      <c r="E286" s="5" t="inlineStr">
        <is>
          <t>Filmfare Awards</t>
        </is>
      </c>
      <c r="F286" s="5" t="inlineStr">
        <is>
          <t>Best Dialogue</t>
        </is>
      </c>
      <c r="G286" s="5" t="inlineStr">
        <is>
          <t>Anubhav Sinha</t>
        </is>
      </c>
      <c r="H286" s="5" t="inlineStr">
        <is>
          <t>Writer</t>
        </is>
      </c>
      <c r="I286" s="5" t="inlineStr">
        <is>
          <t>Nomination</t>
        </is>
      </c>
      <c r="J286" s="5" t="inlineStr">
        <is>
          <t>Competitive</t>
        </is>
      </c>
      <c r="K286" s="5" t="n"/>
      <c r="L286" s="5" t="inlineStr">
        <is>
          <t>SOURCE-148; SOURCE-468</t>
        </is>
      </c>
      <c r="M286" s="5" t="inlineStr">
        <is>
          <t>Medium</t>
        </is>
      </c>
    </row>
    <row r="287" ht="19" customHeight="1">
      <c r="A287" s="15" t="inlineStr">
        <is>
          <t>AWARD-286</t>
        </is>
      </c>
      <c r="B287" s="18" t="inlineStr">
        <is>
          <t>FILM-155</t>
        </is>
      </c>
      <c r="C287" s="5" t="inlineStr">
        <is>
          <t>Mulk</t>
        </is>
      </c>
      <c r="D287" s="17" t="n">
        <v>2019</v>
      </c>
      <c r="E287" s="5" t="inlineStr">
        <is>
          <t>Filmfare Awards</t>
        </is>
      </c>
      <c r="F287" s="5" t="inlineStr">
        <is>
          <t>Best Editing</t>
        </is>
      </c>
      <c r="G287" s="5" t="inlineStr">
        <is>
          <t>Ballu Saluja</t>
        </is>
      </c>
      <c r="H287" s="5" t="inlineStr">
        <is>
          <t>Editor</t>
        </is>
      </c>
      <c r="I287" s="5" t="inlineStr">
        <is>
          <t>Nomination</t>
        </is>
      </c>
      <c r="J287" s="5" t="inlineStr">
        <is>
          <t>Competitive</t>
        </is>
      </c>
      <c r="K287" s="5" t="n"/>
      <c r="L287" s="5" t="inlineStr">
        <is>
          <t>SOURCE-148; SOURCE-468</t>
        </is>
      </c>
      <c r="M287" s="5" t="inlineStr">
        <is>
          <t>Medium</t>
        </is>
      </c>
    </row>
    <row r="288" ht="79" customHeight="1">
      <c r="A288" s="15" t="inlineStr">
        <is>
          <t>AWARD-287</t>
        </is>
      </c>
      <c r="B288" s="18" t="inlineStr">
        <is>
          <t>FILM-156</t>
        </is>
      </c>
      <c r="C288" s="5" t="inlineStr">
        <is>
          <t>Manto</t>
        </is>
      </c>
      <c r="D288" s="17" t="n">
        <v>2019</v>
      </c>
      <c r="E288" s="5" t="inlineStr">
        <is>
          <t>Filmfare Awards</t>
        </is>
      </c>
      <c r="F288" s="5" t="inlineStr">
        <is>
          <t>Best Costume Design</t>
        </is>
      </c>
      <c r="G288" s="5" t="inlineStr">
        <is>
          <t>Sheetal Sharma</t>
        </is>
      </c>
      <c r="H288" s="5" t="inlineStr">
        <is>
          <t>Technician</t>
        </is>
      </c>
      <c r="I288" s="5" t="inlineStr">
        <is>
          <t>Win</t>
        </is>
      </c>
      <c r="J288" s="5" t="inlineStr">
        <is>
          <t>Competitive</t>
        </is>
      </c>
      <c r="K288" s="5" t="inlineStr">
        <is>
          <t>64th Filmfare Awards, 23 March 2019. Manto took 7 nominations. The results column of the film's own award table is malformed; win and nomination here follow the ceremony article's markup.</t>
        </is>
      </c>
      <c r="L288" s="5" t="inlineStr">
        <is>
          <t>SOURCE-147; SOURCE-468</t>
        </is>
      </c>
      <c r="M288" s="5" t="inlineStr">
        <is>
          <t>Medium</t>
        </is>
      </c>
    </row>
    <row r="289" ht="19" customHeight="1">
      <c r="A289" s="15" t="inlineStr">
        <is>
          <t>AWARD-288</t>
        </is>
      </c>
      <c r="B289" s="18" t="inlineStr">
        <is>
          <t>FILM-156</t>
        </is>
      </c>
      <c r="C289" s="5" t="inlineStr">
        <is>
          <t>Manto</t>
        </is>
      </c>
      <c r="D289" s="17" t="n">
        <v>2019</v>
      </c>
      <c r="E289" s="5" t="inlineStr">
        <is>
          <t>Filmfare Awards</t>
        </is>
      </c>
      <c r="F289" s="5" t="inlineStr">
        <is>
          <t>Best Film (Critics)</t>
        </is>
      </c>
      <c r="G289" s="5" t="inlineStr">
        <is>
          <t>Nandita Das</t>
        </is>
      </c>
      <c r="H289" s="5" t="inlineStr">
        <is>
          <t>Director</t>
        </is>
      </c>
      <c r="I289" s="5" t="inlineStr">
        <is>
          <t>Nomination</t>
        </is>
      </c>
      <c r="J289" s="5" t="inlineStr">
        <is>
          <t>Competitive</t>
        </is>
      </c>
      <c r="K289" s="5" t="n"/>
      <c r="L289" s="5" t="inlineStr">
        <is>
          <t>SOURCE-147; SOURCE-468</t>
        </is>
      </c>
      <c r="M289" s="5" t="inlineStr">
        <is>
          <t>Medium</t>
        </is>
      </c>
    </row>
    <row r="290" ht="19" customHeight="1">
      <c r="A290" s="15" t="inlineStr">
        <is>
          <t>AWARD-289</t>
        </is>
      </c>
      <c r="B290" s="18" t="inlineStr">
        <is>
          <t>FILM-156</t>
        </is>
      </c>
      <c r="C290" s="5" t="inlineStr">
        <is>
          <t>Manto</t>
        </is>
      </c>
      <c r="D290" s="17" t="n">
        <v>2019</v>
      </c>
      <c r="E290" s="5" t="inlineStr">
        <is>
          <t>Filmfare Awards</t>
        </is>
      </c>
      <c r="F290" s="5" t="inlineStr">
        <is>
          <t>Best Actor (Critics)</t>
        </is>
      </c>
      <c r="G290" s="5" t="inlineStr">
        <is>
          <t>Nawazuddin Siddiqui</t>
        </is>
      </c>
      <c r="H290" s="5" t="inlineStr">
        <is>
          <t>Actor</t>
        </is>
      </c>
      <c r="I290" s="5" t="inlineStr">
        <is>
          <t>Nomination</t>
        </is>
      </c>
      <c r="J290" s="5" t="inlineStr">
        <is>
          <t>Competitive</t>
        </is>
      </c>
      <c r="K290" s="5" t="n"/>
      <c r="L290" s="5" t="inlineStr">
        <is>
          <t>SOURCE-147; SOURCE-468</t>
        </is>
      </c>
      <c r="M290" s="5" t="inlineStr">
        <is>
          <t>Medium</t>
        </is>
      </c>
    </row>
    <row r="291" ht="19" customHeight="1">
      <c r="A291" s="15" t="inlineStr">
        <is>
          <t>AWARD-290</t>
        </is>
      </c>
      <c r="B291" s="18" t="inlineStr">
        <is>
          <t>FILM-156</t>
        </is>
      </c>
      <c r="C291" s="5" t="inlineStr">
        <is>
          <t>Manto</t>
        </is>
      </c>
      <c r="D291" s="17" t="n">
        <v>2019</v>
      </c>
      <c r="E291" s="5" t="inlineStr">
        <is>
          <t>Filmfare Awards</t>
        </is>
      </c>
      <c r="F291" s="5" t="inlineStr">
        <is>
          <t>Best Screenplay</t>
        </is>
      </c>
      <c r="G291" s="5" t="inlineStr">
        <is>
          <t>Nandita Das</t>
        </is>
      </c>
      <c r="H291" s="5" t="inlineStr">
        <is>
          <t>Writer</t>
        </is>
      </c>
      <c r="I291" s="5" t="inlineStr">
        <is>
          <t>Nomination</t>
        </is>
      </c>
      <c r="J291" s="5" t="inlineStr">
        <is>
          <t>Competitive</t>
        </is>
      </c>
      <c r="K291" s="5" t="n"/>
      <c r="L291" s="5" t="inlineStr">
        <is>
          <t>SOURCE-147; SOURCE-468</t>
        </is>
      </c>
      <c r="M291" s="5" t="inlineStr">
        <is>
          <t>Medium</t>
        </is>
      </c>
    </row>
    <row r="292" ht="19" customHeight="1">
      <c r="A292" s="15" t="inlineStr">
        <is>
          <t>AWARD-291</t>
        </is>
      </c>
      <c r="B292" s="18" t="inlineStr">
        <is>
          <t>FILM-156</t>
        </is>
      </c>
      <c r="C292" s="5" t="inlineStr">
        <is>
          <t>Manto</t>
        </is>
      </c>
      <c r="D292" s="17" t="n">
        <v>2019</v>
      </c>
      <c r="E292" s="5" t="inlineStr">
        <is>
          <t>Filmfare Awards</t>
        </is>
      </c>
      <c r="F292" s="5" t="inlineStr">
        <is>
          <t>Best Dialogue</t>
        </is>
      </c>
      <c r="G292" s="5" t="inlineStr">
        <is>
          <t>Nandita Das</t>
        </is>
      </c>
      <c r="H292" s="5" t="inlineStr">
        <is>
          <t>Writer</t>
        </is>
      </c>
      <c r="I292" s="5" t="inlineStr">
        <is>
          <t>Nomination</t>
        </is>
      </c>
      <c r="J292" s="5" t="inlineStr">
        <is>
          <t>Competitive</t>
        </is>
      </c>
      <c r="K292" s="5" t="n"/>
      <c r="L292" s="5" t="inlineStr">
        <is>
          <t>SOURCE-147; SOURCE-468</t>
        </is>
      </c>
      <c r="M292" s="5" t="inlineStr">
        <is>
          <t>Medium</t>
        </is>
      </c>
    </row>
    <row r="293" ht="19" customHeight="1">
      <c r="A293" s="15" t="inlineStr">
        <is>
          <t>AWARD-292</t>
        </is>
      </c>
      <c r="B293" s="18" t="inlineStr">
        <is>
          <t>FILM-156</t>
        </is>
      </c>
      <c r="C293" s="5" t="inlineStr">
        <is>
          <t>Manto</t>
        </is>
      </c>
      <c r="D293" s="17" t="n">
        <v>2019</v>
      </c>
      <c r="E293" s="5" t="inlineStr">
        <is>
          <t>Filmfare Awards</t>
        </is>
      </c>
      <c r="F293" s="5" t="inlineStr">
        <is>
          <t>Best Cinematography</t>
        </is>
      </c>
      <c r="G293" s="5" t="inlineStr">
        <is>
          <t>Kartik Vijay</t>
        </is>
      </c>
      <c r="H293" s="5" t="inlineStr">
        <is>
          <t>Cinematographer</t>
        </is>
      </c>
      <c r="I293" s="5" t="inlineStr">
        <is>
          <t>Nomination</t>
        </is>
      </c>
      <c r="J293" s="5" t="inlineStr">
        <is>
          <t>Competitive</t>
        </is>
      </c>
      <c r="K293" s="5" t="n"/>
      <c r="L293" s="5" t="inlineStr">
        <is>
          <t>SOURCE-147; SOURCE-468</t>
        </is>
      </c>
      <c r="M293" s="5" t="inlineStr">
        <is>
          <t>Medium</t>
        </is>
      </c>
    </row>
    <row r="294" ht="19" customHeight="1">
      <c r="A294" s="15" t="inlineStr">
        <is>
          <t>AWARD-293</t>
        </is>
      </c>
      <c r="B294" s="18" t="inlineStr">
        <is>
          <t>FILM-156</t>
        </is>
      </c>
      <c r="C294" s="5" t="inlineStr">
        <is>
          <t>Manto</t>
        </is>
      </c>
      <c r="D294" s="17" t="n">
        <v>2019</v>
      </c>
      <c r="E294" s="5" t="inlineStr">
        <is>
          <t>Filmfare Awards</t>
        </is>
      </c>
      <c r="F294" s="5" t="inlineStr">
        <is>
          <t>Best Production Design</t>
        </is>
      </c>
      <c r="G294" s="5" t="inlineStr">
        <is>
          <t>Rita Ghosh</t>
        </is>
      </c>
      <c r="H294" s="5" t="inlineStr">
        <is>
          <t>Technician</t>
        </is>
      </c>
      <c r="I294" s="5" t="inlineStr">
        <is>
          <t>Nomination</t>
        </is>
      </c>
      <c r="J294" s="5" t="inlineStr">
        <is>
          <t>Competitive</t>
        </is>
      </c>
      <c r="K294" s="5" t="n"/>
      <c r="L294" s="5" t="inlineStr">
        <is>
          <t>SOURCE-147; SOURCE-468</t>
        </is>
      </c>
      <c r="M294" s="5" t="inlineStr">
        <is>
          <t>Medium</t>
        </is>
      </c>
    </row>
    <row r="295" ht="94" customHeight="1">
      <c r="A295" s="15" t="inlineStr">
        <is>
          <t>AWARD-294</t>
        </is>
      </c>
      <c r="B295" s="18" t="n"/>
      <c r="C295" s="5" t="n"/>
      <c r="D295" s="17" t="n">
        <v>2019</v>
      </c>
      <c r="E295" s="5" t="inlineStr">
        <is>
          <t>Other award</t>
        </is>
      </c>
      <c r="F295" s="5" t="inlineStr">
        <is>
          <t>Most Stylish Award</t>
        </is>
      </c>
      <c r="G295" s="5" t="inlineStr">
        <is>
          <t>Rishi Kapoor</t>
        </is>
      </c>
      <c r="H295" s="5" t="inlineStr">
        <is>
          <t>Actor (honorary)</t>
        </is>
      </c>
      <c r="I295" s="5" t="inlineStr">
        <is>
          <t>Win</t>
        </is>
      </c>
      <c r="J295" s="5" t="inlineStr">
        <is>
          <t>Honorary</t>
        </is>
      </c>
      <c r="K295" s="5" t="inlineStr">
        <is>
          <t>Adidas Most Stylish Awards. His article's accolade list gives the category as "Best Projected By Adidas", which is garbled, and cites no source; recorded at low confidence because the award's exact name could not be verified.</t>
        </is>
      </c>
      <c r="L295" s="5" t="inlineStr">
        <is>
          <t>SOURCE-240</t>
        </is>
      </c>
      <c r="M295" s="5" t="inlineStr">
        <is>
          <t>Low</t>
        </is>
      </c>
    </row>
  </sheetData>
  <autoFilter ref="A1:M295"/>
  <dataValidations count="3">
    <dataValidation sqref="I2:I495" showDropDown="0" showInputMessage="0" showErrorMessage="1" allowBlank="1" errorTitle="Win or Nomination" error="Choose a value from the list." type="list">
      <formula1>"Win,Nomination"</formula1>
    </dataValidation>
    <dataValidation sqref="J2:J495" showDropDown="0" showInputMessage="0" showErrorMessage="1" allowBlank="1" errorTitle="Competitive or Honorary" error="Choose a value from the list." type="list">
      <formula1>"Competitive,Honorary"</formula1>
    </dataValidation>
    <dataValidation sqref="M2:M495" showDropDown="0" showInputMessage="0" showErrorMessage="1" allowBlank="1" errorTitle="Confidence Grade" error="Choose a value from the list." type="list">
      <formula1>"High,Medium,Low,Unknown"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46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22" customWidth="1" min="3" max="3"/>
    <col width="40" customWidth="1" min="4" max="4"/>
    <col width="22" customWidth="1" min="5" max="5"/>
    <col width="20" customWidth="1" min="6" max="6"/>
    <col width="12" customWidth="1" min="7" max="7"/>
    <col width="42" customWidth="1" min="8" max="8"/>
    <col width="12" customWidth="1" min="9" max="9"/>
    <col width="40" customWidth="1" min="10" max="10"/>
    <col width="18" customWidth="1" min="11" max="11"/>
    <col width="10" customWidth="1" min="12" max="12"/>
    <col width="36" customWidth="1" min="13" max="13"/>
  </cols>
  <sheetData>
    <row r="1" ht="36" customHeight="1">
      <c r="A1" s="12" t="inlineStr">
        <is>
          <t>Source ID</t>
        </is>
      </c>
      <c r="B1" s="12" t="inlineStr">
        <is>
          <t>Film IDs Supported</t>
        </is>
      </c>
      <c r="C1" s="12" t="inlineStr">
        <is>
          <t>Pairing IDs Supported</t>
        </is>
      </c>
      <c r="D1" s="12" t="inlineStr">
        <is>
          <t>Source Title</t>
        </is>
      </c>
      <c r="E1" s="12" t="inlineStr">
        <is>
          <t>Publisher</t>
        </is>
      </c>
      <c r="F1" s="12" t="inlineStr">
        <is>
          <t>Author</t>
        </is>
      </c>
      <c r="G1" s="12" t="inlineStr">
        <is>
          <t>Publication Date</t>
        </is>
      </c>
      <c r="H1" s="12" t="inlineStr">
        <is>
          <t>URL</t>
        </is>
      </c>
      <c r="I1" s="12" t="inlineStr">
        <is>
          <t>Access Date</t>
        </is>
      </c>
      <c r="J1" s="12" t="inlineStr">
        <is>
          <t>Claims Supported</t>
        </is>
      </c>
      <c r="K1" s="12" t="inlineStr">
        <is>
          <t>Source Type</t>
        </is>
      </c>
      <c r="L1" s="12" t="inlineStr">
        <is>
          <t>Reliability Tier</t>
        </is>
      </c>
      <c r="M1" s="12" t="inlineStr">
        <is>
          <t>Notes</t>
        </is>
      </c>
    </row>
    <row r="2" ht="409" customHeight="1">
      <c r="A2" s="15" t="inlineStr">
        <is>
          <t>SOURCE-001</t>
        </is>
      </c>
      <c r="B2" s="5" t="inlineStr">
        <is>
          <t>FILM-001; FILM-002; FILM-003; FILM-004; FILM-005; FILM-006; FILM-007; FILM-008; FILM-009; FILM-010; FILM-011; FILM-012; FILM-013; FILM-014; FILM-015; FILM-016; FILM-017; FILM-018; FILM-019; FILM-020; FILM-021; FILM-022; FILM-023; FILM-024; FILM-025; FILM-026; FILM-027; FILM-028; FILM-029; FILM-030; FILM-031; FILM-032; FILM-033; FILM-034; FILM-035; FILM-036; FILM-037; FILM-038; FILM-039; FILM-040; FILM-041; FILM-042; FILM-043; FILM-044; FILM-045; FILM-046; FILM-047; FILM-048; FILM-049; FILM-050; FILM-051; FILM-052; FILM-053; FILM-054; FILM-055; FILM-056; FILM-057; FILM-058; FILM-059; FILM-060; FILM-061; FILM-062; FILM-063; FILM-064; FILM-065; FILM-066; FILM-067; FILM-068; FILM-069; FILM-070; FILM-071; FILM-072; FILM-073; FILM-074; FILM-075; FILM-076; FILM-077; FILM-078; FILM-079; FILM-080; FILM-081; FILM-082; FILM-083; FILM-084; FILM-085; FILM-086; FILM-087; FILM-088; FILM-089; FILM-090; FILM-091; FILM-092; FILM-093; FILM-094; FILM-095; FILM-096; FILM-097; FILM-098; FILM-099; FILM-100; FILM-101; FILM-102; FILM-103; FILM-104; FILM-105; FILM-106; FILM-107; FILM-108; FILM-109; FILM-110; FILM-111; FILM-112; FILM-113; FILM-114; FILM-115; FILM-116; FILM-117; FILM-118; FILM-119; FILM-120; FILM-121; FILM-122; FILM-123; FILM-124; FILM-125; FILM-126; FILM-127; FILM-128; FILM-129; FILM-130; FILM-131; FILM-132; FILM-133; FILM-134; FILM-135; FILM-136; FILM-137; FILM-138; FILM-139; FILM-140; FILM-141; FILM-142; FILM-143; FILM-144; FILM-145; FILM-146; FILM-147; FILM-148; FILM-149; FILM-150; FILM-151; FILM-152; FILM-153; FILM-154; FILM-155; FILM-156; FILM-157; FILM-158; FILM-159; FILM-160</t>
        </is>
      </c>
      <c r="C2" s="5" t="inlineStr">
        <is>
          <t>PAIR-001; PAIR-002; PAIR-003; PAIR-004; PAIR-005; PAIR-006; PAIR-007; PAIR-008; PAIR-009; PAIR-010; PAIR-011; PAIR-012; PAIR-013; PAIR-014; PAIR-015; PAIR-016; PAIR-017; PAIR-018; PAIR-019; PAIR-020; PAIR-021; PAIR-022; PAIR-023; PAIR-024; PAIR-025; PAIR-026; PAIR-027; PAIR-028; PAIR-029; PAIR-030; PAIR-031; PAIR-032; PAIR-033; PAIR-034; PAIR-035; PAIR-036; PAIR-037; PAIR-038; PAIR-039; PAIR-040; PAIR-041; PAIR-042; PAIR-043; PAIR-044; PAIR-045; PAIR-046; PAIR-047; PAIR-048; PAIR-049; PAIR-050; PAIR-051; PAIR-052; PAIR-053; PAIR-054; PAIR-055; PAIR-056; PAIR-057; PAIR-058; PAIR-059; PAIR-060; PAIR-061; PAIR-062; PAIR-063; PAIR-064; PAIR-065; PAIR-066; PAIR-067; PAIR-068; PAIR-069; PAIR-070; PAIR-071; PAIR-072; PAIR-073; PAIR-074; PAIR-075; PAIR-076; PAIR-077; PAIR-078; PAIR-079; PAIR-080; PAIR-081; PAIR-082; PAIR-083; PAIR-084; PAIR-085; PAIR-086; PAIR-087; PAIR-088; PAIR-089; PAIR-090</t>
        </is>
      </c>
      <c r="D2" s="5" t="inlineStr">
        <is>
          <t>Rishi Kapoor filmography</t>
        </is>
      </c>
      <c r="E2" s="5" t="inlineStr">
        <is>
          <t>Wikipedia</t>
        </is>
      </c>
      <c r="F2" s="5" t="n"/>
      <c r="G2" s="5" t="n"/>
      <c r="H2" s="22" t="inlineStr">
        <is>
          <t>https://en.wikipedia.org/wiki/Rishi_Kapoor_filmography</t>
        </is>
      </c>
      <c r="I2" s="16" t="n">
        <v>46290</v>
      </c>
      <c r="J2" s="5" t="inlineStr">
        <is>
          <t>Feature-film acting credits, character names, and cameo, special-appearance, narration and voice notes.</t>
        </is>
      </c>
      <c r="K2" s="5" t="inlineStr">
        <is>
          <t>Reference encyclopedia</t>
        </is>
      </c>
      <c r="L2" s="5" t="inlineStr">
        <is>
          <t>C</t>
        </is>
      </c>
      <c r="M2" s="5" t="inlineStr">
        <is>
          <t>Downloaded as raw wikitext.</t>
        </is>
      </c>
    </row>
    <row r="3" ht="34" customHeight="1">
      <c r="A3" s="15" t="inlineStr">
        <is>
          <t>SOURCE-002</t>
        </is>
      </c>
      <c r="B3" s="5" t="inlineStr">
        <is>
          <t>FILM-001</t>
        </is>
      </c>
      <c r="C3" s="5" t="n"/>
      <c r="D3" s="5" t="inlineStr">
        <is>
          <t>Shree 420</t>
        </is>
      </c>
      <c r="E3" s="5" t="inlineStr">
        <is>
          <t>Wikipedia</t>
        </is>
      </c>
      <c r="F3" s="5" t="n"/>
      <c r="G3" s="5" t="n"/>
      <c r="H3" s="22" t="inlineStr">
        <is>
          <t>https://en.wikipedia.org/wiki/Shree_420</t>
        </is>
      </c>
      <c r="I3" s="16" t="n">
        <v>46290</v>
      </c>
      <c r="J3" s="5" t="inlineStr">
        <is>
          <t>Infobox: release date, language, runtime, director, producers, writers, song composer.</t>
        </is>
      </c>
      <c r="K3" s="5" t="inlineStr">
        <is>
          <t>Reference encyclopedia</t>
        </is>
      </c>
      <c r="L3" s="5" t="inlineStr">
        <is>
          <t>C</t>
        </is>
      </c>
      <c r="M3" s="5" t="inlineStr">
        <is>
          <t>Film article; downloaded as raw wikitext.</t>
        </is>
      </c>
    </row>
    <row r="4" ht="49" customHeight="1">
      <c r="A4" s="15" t="inlineStr">
        <is>
          <t>SOURCE-003</t>
        </is>
      </c>
      <c r="B4" s="5" t="inlineStr">
        <is>
          <t>FILM-002</t>
        </is>
      </c>
      <c r="C4" s="5" t="inlineStr">
        <is>
          <t>PAIR-024</t>
        </is>
      </c>
      <c r="D4" s="5" t="inlineStr">
        <is>
          <t>Mera Naam Joker</t>
        </is>
      </c>
      <c r="E4" s="5" t="inlineStr">
        <is>
          <t>Wikipedia</t>
        </is>
      </c>
      <c r="F4" s="5" t="n"/>
      <c r="G4" s="5" t="n"/>
      <c r="H4" s="22" t="inlineStr">
        <is>
          <t>https://en.wikipedia.org/wiki/Mera_Naam_Joker</t>
        </is>
      </c>
      <c r="I4" s="16" t="n">
        <v>46290</v>
      </c>
      <c r="J4" s="5" t="inlineStr">
        <is>
          <t>Infobox: release date, language, runtime, director, producers, production banner, writers, song composer, lyricist, billing position.</t>
        </is>
      </c>
      <c r="K4" s="5" t="inlineStr">
        <is>
          <t>Reference encyclopedia</t>
        </is>
      </c>
      <c r="L4" s="5" t="inlineStr">
        <is>
          <t>C</t>
        </is>
      </c>
      <c r="M4" s="5" t="inlineStr">
        <is>
          <t>Film article; downloaded as raw wikitext.</t>
        </is>
      </c>
    </row>
    <row r="5" ht="49" customHeight="1">
      <c r="A5" s="15" t="inlineStr">
        <is>
          <t>SOURCE-004</t>
        </is>
      </c>
      <c r="B5" s="5" t="inlineStr">
        <is>
          <t>FILM-003</t>
        </is>
      </c>
      <c r="C5" s="5" t="inlineStr">
        <is>
          <t>PAIR-001</t>
        </is>
      </c>
      <c r="D5" s="5" t="inlineStr">
        <is>
          <t>Bobby (1973 film)</t>
        </is>
      </c>
      <c r="E5" s="5" t="inlineStr">
        <is>
          <t>Wikipedia</t>
        </is>
      </c>
      <c r="F5" s="5" t="n"/>
      <c r="G5" s="5" t="n"/>
      <c r="H5" s="22" t="inlineStr">
        <is>
          <t>https://en.wikipedia.org/wiki/Bobby_(1973_film)</t>
        </is>
      </c>
      <c r="I5" s="16" t="n">
        <v>46290</v>
      </c>
      <c r="J5" s="5" t="inlineStr">
        <is>
          <t>Infobox: release date, language, runtime, director, producers, production banner, writers, song composer, lyricist, billing position.</t>
        </is>
      </c>
      <c r="K5" s="5" t="inlineStr">
        <is>
          <t>Reference encyclopedia</t>
        </is>
      </c>
      <c r="L5" s="5" t="inlineStr">
        <is>
          <t>C</t>
        </is>
      </c>
      <c r="M5" s="5" t="inlineStr">
        <is>
          <t>Film article; downloaded as raw wikitext.</t>
        </is>
      </c>
    </row>
    <row r="6" ht="64" customHeight="1">
      <c r="A6" s="15" t="inlineStr">
        <is>
          <t>SOURCE-005</t>
        </is>
      </c>
      <c r="B6" s="5" t="inlineStr">
        <is>
          <t>FILM-004</t>
        </is>
      </c>
      <c r="C6" s="5" t="inlineStr">
        <is>
          <t>PAIR-002; PAIR-003</t>
        </is>
      </c>
      <c r="D6" s="5" t="inlineStr">
        <is>
          <t>Zehreela Insaan</t>
        </is>
      </c>
      <c r="E6" s="5" t="inlineStr">
        <is>
          <t>Wikipedia</t>
        </is>
      </c>
      <c r="F6" s="5" t="n"/>
      <c r="G6" s="5" t="n"/>
      <c r="H6" s="22" t="inlineStr">
        <is>
          <t>https://en.wikipedia.org/wiki/Zehreela_Insaan</t>
        </is>
      </c>
      <c r="I6" s="16" t="n">
        <v>46290</v>
      </c>
      <c r="J6" s="5" t="inlineStr">
        <is>
          <t>Infobox: release date, language, runtime, director, producers, production banner, writers, source material, song composer, lyricist, billing position.</t>
        </is>
      </c>
      <c r="K6" s="5" t="inlineStr">
        <is>
          <t>Reference encyclopedia</t>
        </is>
      </c>
      <c r="L6" s="5" t="inlineStr">
        <is>
          <t>C</t>
        </is>
      </c>
      <c r="M6" s="5" t="inlineStr">
        <is>
          <t>Film article; downloaded as raw wikitext.</t>
        </is>
      </c>
    </row>
    <row r="7" ht="34" customHeight="1">
      <c r="A7" s="15" t="inlineStr">
        <is>
          <t>SOURCE-006</t>
        </is>
      </c>
      <c r="B7" s="5" t="inlineStr">
        <is>
          <t>FILM-006</t>
        </is>
      </c>
      <c r="C7" s="5" t="inlineStr">
        <is>
          <t>PAIR-005</t>
        </is>
      </c>
      <c r="D7" s="5" t="inlineStr">
        <is>
          <t>Khel Khel Mein (1975 film)</t>
        </is>
      </c>
      <c r="E7" s="5" t="inlineStr">
        <is>
          <t>Wikipedia</t>
        </is>
      </c>
      <c r="F7" s="5" t="n"/>
      <c r="G7" s="5" t="n"/>
      <c r="H7" s="22" t="inlineStr">
        <is>
          <t>https://en.wikipedia.org/wiki/Khel_Khel_Mein_(1975_film)</t>
        </is>
      </c>
      <c r="I7" s="16" t="n">
        <v>46290</v>
      </c>
      <c r="J7" s="5" t="inlineStr">
        <is>
          <t>Infobox: release date, language, director, producers, writers, song composer, billing position.</t>
        </is>
      </c>
      <c r="K7" s="5" t="inlineStr">
        <is>
          <t>Reference encyclopedia</t>
        </is>
      </c>
      <c r="L7" s="5" t="inlineStr">
        <is>
          <t>C</t>
        </is>
      </c>
      <c r="M7" s="5" t="inlineStr">
        <is>
          <t>Film article; downloaded as raw wikitext.</t>
        </is>
      </c>
    </row>
    <row r="8" ht="49" customHeight="1">
      <c r="A8" s="15" t="inlineStr">
        <is>
          <t>SOURCE-007</t>
        </is>
      </c>
      <c r="B8" s="5" t="inlineStr">
        <is>
          <t>FILM-007</t>
        </is>
      </c>
      <c r="C8" s="5" t="inlineStr">
        <is>
          <t>PAIR-006</t>
        </is>
      </c>
      <c r="D8" s="5" t="inlineStr">
        <is>
          <t>Rafoo Chakkar</t>
        </is>
      </c>
      <c r="E8" s="5" t="inlineStr">
        <is>
          <t>Wikipedia</t>
        </is>
      </c>
      <c r="F8" s="5" t="n"/>
      <c r="G8" s="5" t="n"/>
      <c r="H8" s="22" t="inlineStr">
        <is>
          <t>https://en.wikipedia.org/wiki/Rafoo_Chakkar</t>
        </is>
      </c>
      <c r="I8" s="16" t="n">
        <v>46290</v>
      </c>
      <c r="J8" s="5" t="inlineStr">
        <is>
          <t>Infobox: release date, language, director, producers, writers, song composer, lyricist, billing position.</t>
        </is>
      </c>
      <c r="K8" s="5" t="inlineStr">
        <is>
          <t>Reference encyclopedia</t>
        </is>
      </c>
      <c r="L8" s="5" t="inlineStr">
        <is>
          <t>C</t>
        </is>
      </c>
      <c r="M8" s="5" t="inlineStr">
        <is>
          <t>Film article; downloaded as raw wikitext.</t>
        </is>
      </c>
    </row>
    <row r="9" ht="34" customHeight="1">
      <c r="A9" s="15" t="inlineStr">
        <is>
          <t>SOURCE-008</t>
        </is>
      </c>
      <c r="B9" s="5" t="inlineStr">
        <is>
          <t>FILM-008</t>
        </is>
      </c>
      <c r="C9" s="5" t="inlineStr">
        <is>
          <t>PAIR-007; PAIR-008</t>
        </is>
      </c>
      <c r="D9" s="5" t="inlineStr">
        <is>
          <t>Zinda Dil</t>
        </is>
      </c>
      <c r="E9" s="5" t="inlineStr">
        <is>
          <t>Wikipedia</t>
        </is>
      </c>
      <c r="F9" s="5" t="n"/>
      <c r="G9" s="5" t="n"/>
      <c r="H9" s="22" t="inlineStr">
        <is>
          <t>https://en.wikipedia.org/wiki/Zinda_Dil</t>
        </is>
      </c>
      <c r="I9" s="16" t="n">
        <v>46290</v>
      </c>
      <c r="J9" s="5" t="inlineStr">
        <is>
          <t>Infobox: release date, language, director, producers, song composer, billing position.</t>
        </is>
      </c>
      <c r="K9" s="5" t="inlineStr">
        <is>
          <t>Reference encyclopedia</t>
        </is>
      </c>
      <c r="L9" s="5" t="inlineStr">
        <is>
          <t>C</t>
        </is>
      </c>
      <c r="M9" s="5" t="inlineStr">
        <is>
          <t>Film article; downloaded as raw wikitext.</t>
        </is>
      </c>
    </row>
    <row r="10" ht="49" customHeight="1">
      <c r="A10" s="15" t="inlineStr">
        <is>
          <t>SOURCE-009</t>
        </is>
      </c>
      <c r="B10" s="5" t="inlineStr">
        <is>
          <t>FILM-005</t>
        </is>
      </c>
      <c r="C10" s="5" t="inlineStr">
        <is>
          <t>PAIR-004</t>
        </is>
      </c>
      <c r="D10" s="5" t="inlineStr">
        <is>
          <t>Raaja</t>
        </is>
      </c>
      <c r="E10" s="5" t="inlineStr">
        <is>
          <t>Wikipedia</t>
        </is>
      </c>
      <c r="F10" s="5" t="n"/>
      <c r="G10" s="5" t="n"/>
      <c r="H10" s="22" t="inlineStr">
        <is>
          <t>https://en.wikipedia.org/wiki/Raaja</t>
        </is>
      </c>
      <c r="I10" s="16" t="n">
        <v>46290</v>
      </c>
      <c r="J10" s="5" t="inlineStr">
        <is>
          <t>Infobox: release date, language, runtime, director, producers, writers, song composer, billing position.</t>
        </is>
      </c>
      <c r="K10" s="5" t="inlineStr">
        <is>
          <t>Reference encyclopedia</t>
        </is>
      </c>
      <c r="L10" s="5" t="inlineStr">
        <is>
          <t>C</t>
        </is>
      </c>
      <c r="M10" s="5" t="inlineStr">
        <is>
          <t>Film article; downloaded as raw wikitext.</t>
        </is>
      </c>
    </row>
    <row r="11" ht="49" customHeight="1">
      <c r="A11" s="15" t="inlineStr">
        <is>
          <t>SOURCE-010</t>
        </is>
      </c>
      <c r="B11" s="5" t="inlineStr">
        <is>
          <t>FILM-009</t>
        </is>
      </c>
      <c r="C11" s="5" t="inlineStr">
        <is>
          <t>PAIR-009</t>
        </is>
      </c>
      <c r="D11" s="5" t="inlineStr">
        <is>
          <t>Kabhi Kabhie</t>
        </is>
      </c>
      <c r="E11" s="5" t="inlineStr">
        <is>
          <t>Wikipedia</t>
        </is>
      </c>
      <c r="F11" s="5" t="n"/>
      <c r="G11" s="5" t="n"/>
      <c r="H11" s="22" t="inlineStr">
        <is>
          <t>https://en.wikipedia.org/wiki/Kabhi_Kabhie</t>
        </is>
      </c>
      <c r="I11" s="16" t="n">
        <v>46290</v>
      </c>
      <c r="J11" s="5" t="inlineStr">
        <is>
          <t>Infobox: release date, language, runtime, director, producers, production banner, writers, song composer, lyricist, billing position.</t>
        </is>
      </c>
      <c r="K11" s="5" t="inlineStr">
        <is>
          <t>Reference encyclopedia</t>
        </is>
      </c>
      <c r="L11" s="5" t="inlineStr">
        <is>
          <t>C</t>
        </is>
      </c>
      <c r="M11" s="5" t="inlineStr">
        <is>
          <t>Film article; downloaded as raw wikitext.</t>
        </is>
      </c>
    </row>
    <row r="12" ht="49" customHeight="1">
      <c r="A12" s="15" t="inlineStr">
        <is>
          <t>SOURCE-011</t>
        </is>
      </c>
      <c r="B12" s="5" t="inlineStr">
        <is>
          <t>FILM-013</t>
        </is>
      </c>
      <c r="C12" s="5" t="inlineStr">
        <is>
          <t>PAIR-012</t>
        </is>
      </c>
      <c r="D12" s="5" t="inlineStr">
        <is>
          <t>Laila Majnu (1976 film)</t>
        </is>
      </c>
      <c r="E12" s="5" t="inlineStr">
        <is>
          <t>Wikipedia</t>
        </is>
      </c>
      <c r="F12" s="5" t="n"/>
      <c r="G12" s="5" t="n"/>
      <c r="H12" s="22" t="inlineStr">
        <is>
          <t>https://en.wikipedia.org/wiki/Laila_Majnu_(1976_film)</t>
        </is>
      </c>
      <c r="I12" s="16" t="n">
        <v>46290</v>
      </c>
      <c r="J12" s="5" t="inlineStr">
        <is>
          <t>Infobox: release date, language, runtime, director, producers, writers, song composer, lyricist, billing position.</t>
        </is>
      </c>
      <c r="K12" s="5" t="inlineStr">
        <is>
          <t>Reference encyclopedia</t>
        </is>
      </c>
      <c r="L12" s="5" t="inlineStr">
        <is>
          <t>C</t>
        </is>
      </c>
      <c r="M12" s="5" t="inlineStr">
        <is>
          <t>Film article; downloaded as raw wikitext.</t>
        </is>
      </c>
    </row>
    <row r="13" ht="34" customHeight="1">
      <c r="A13" s="15" t="inlineStr">
        <is>
          <t>SOURCE-012</t>
        </is>
      </c>
      <c r="B13" s="5" t="inlineStr">
        <is>
          <t>FILM-011</t>
        </is>
      </c>
      <c r="C13" s="5" t="inlineStr">
        <is>
          <t>PAIR-011</t>
        </is>
      </c>
      <c r="D13" s="5" t="inlineStr">
        <is>
          <t>Rangila Ratan</t>
        </is>
      </c>
      <c r="E13" s="5" t="inlineStr">
        <is>
          <t>Wikipedia</t>
        </is>
      </c>
      <c r="F13" s="5" t="n"/>
      <c r="G13" s="5" t="n"/>
      <c r="H13" s="22" t="inlineStr">
        <is>
          <t>https://en.wikipedia.org/wiki/Rangila_Ratan</t>
        </is>
      </c>
      <c r="I13" s="16" t="n">
        <v>46290</v>
      </c>
      <c r="J13" s="5" t="inlineStr">
        <is>
          <t>Infobox: release date, language, director, producers, song composer, billing position.</t>
        </is>
      </c>
      <c r="K13" s="5" t="inlineStr">
        <is>
          <t>Reference encyclopedia</t>
        </is>
      </c>
      <c r="L13" s="5" t="inlineStr">
        <is>
          <t>C</t>
        </is>
      </c>
      <c r="M13" s="5" t="inlineStr">
        <is>
          <t>Film article; downloaded as raw wikitext.</t>
        </is>
      </c>
    </row>
    <row r="14" ht="34" customHeight="1">
      <c r="A14" s="15" t="inlineStr">
        <is>
          <t>SOURCE-013</t>
        </is>
      </c>
      <c r="B14" s="5" t="inlineStr">
        <is>
          <t>FILM-012</t>
        </is>
      </c>
      <c r="C14" s="5" t="n"/>
      <c r="D14" s="5" t="inlineStr">
        <is>
          <t>Ginny Aur Johnny</t>
        </is>
      </c>
      <c r="E14" s="5" t="inlineStr">
        <is>
          <t>Wikipedia</t>
        </is>
      </c>
      <c r="F14" s="5" t="n"/>
      <c r="G14" s="5" t="n"/>
      <c r="H14" s="22" t="inlineStr">
        <is>
          <t>https://en.wikipedia.org/wiki/Ginny_Aur_Johnny</t>
        </is>
      </c>
      <c r="I14" s="16" t="n">
        <v>46290</v>
      </c>
      <c r="J14" s="5" t="inlineStr">
        <is>
          <t>Infobox: release date, language, director, producers, song composer.</t>
        </is>
      </c>
      <c r="K14" s="5" t="inlineStr">
        <is>
          <t>Reference encyclopedia</t>
        </is>
      </c>
      <c r="L14" s="5" t="inlineStr">
        <is>
          <t>C</t>
        </is>
      </c>
      <c r="M14" s="5" t="inlineStr">
        <is>
          <t>Film article; downloaded as raw wikitext.</t>
        </is>
      </c>
    </row>
    <row r="15" ht="49" customHeight="1">
      <c r="A15" s="15" t="inlineStr">
        <is>
          <t>SOURCE-014</t>
        </is>
      </c>
      <c r="B15" s="5" t="inlineStr">
        <is>
          <t>FILM-010</t>
        </is>
      </c>
      <c r="C15" s="5" t="inlineStr">
        <is>
          <t>PAIR-010</t>
        </is>
      </c>
      <c r="D15" s="5" t="inlineStr">
        <is>
          <t>Barood (1976 film)</t>
        </is>
      </c>
      <c r="E15" s="5" t="inlineStr">
        <is>
          <t>Wikipedia</t>
        </is>
      </c>
      <c r="F15" s="5" t="n"/>
      <c r="G15" s="5" t="n"/>
      <c r="H15" s="22" t="inlineStr">
        <is>
          <t>https://en.wikipedia.org/wiki/Barood_(1976_film)</t>
        </is>
      </c>
      <c r="I15" s="16" t="n">
        <v>46290</v>
      </c>
      <c r="J15" s="5" t="inlineStr">
        <is>
          <t>Infobox: release date, language, runtime, director, producers, writers, source material, song composer, lyricist, billing position.</t>
        </is>
      </c>
      <c r="K15" s="5" t="inlineStr">
        <is>
          <t>Reference encyclopedia</t>
        </is>
      </c>
      <c r="L15" s="5" t="inlineStr">
        <is>
          <t>C</t>
        </is>
      </c>
      <c r="M15" s="5" t="inlineStr">
        <is>
          <t>Film article; downloaded as raw wikitext.</t>
        </is>
      </c>
    </row>
    <row r="16" ht="49" customHeight="1">
      <c r="A16" s="15" t="inlineStr">
        <is>
          <t>SOURCE-015</t>
        </is>
      </c>
      <c r="B16" s="5" t="inlineStr">
        <is>
          <t>FILM-014</t>
        </is>
      </c>
      <c r="C16" s="5" t="inlineStr">
        <is>
          <t>PAIR-013</t>
        </is>
      </c>
      <c r="D16" s="5" t="inlineStr">
        <is>
          <t>Amar Akbar Anthony</t>
        </is>
      </c>
      <c r="E16" s="5" t="inlineStr">
        <is>
          <t>Wikipedia</t>
        </is>
      </c>
      <c r="F16" s="5" t="n"/>
      <c r="G16" s="5" t="n"/>
      <c r="H16" s="22" t="inlineStr">
        <is>
          <t>https://en.wikipedia.org/wiki/Amar_Akbar_Anthony</t>
        </is>
      </c>
      <c r="I16" s="16" t="n">
        <v>46290</v>
      </c>
      <c r="J16" s="5" t="inlineStr">
        <is>
          <t>Infobox: release date, language, runtime, director, producers, writers, song composer, lyricist, billing position.</t>
        </is>
      </c>
      <c r="K16" s="5" t="inlineStr">
        <is>
          <t>Reference encyclopedia</t>
        </is>
      </c>
      <c r="L16" s="5" t="inlineStr">
        <is>
          <t>C</t>
        </is>
      </c>
      <c r="M16" s="5" t="inlineStr">
        <is>
          <t>Film article; downloaded as raw wikitext.</t>
        </is>
      </c>
    </row>
    <row r="17" ht="49" customHeight="1">
      <c r="A17" s="15" t="inlineStr">
        <is>
          <t>SOURCE-016</t>
        </is>
      </c>
      <c r="B17" s="5" t="inlineStr">
        <is>
          <t>FILM-015</t>
        </is>
      </c>
      <c r="C17" s="5" t="inlineStr">
        <is>
          <t>PAIR-014</t>
        </is>
      </c>
      <c r="D17" s="5" t="inlineStr">
        <is>
          <t>Hum Kisise Kum Naheen</t>
        </is>
      </c>
      <c r="E17" s="5" t="inlineStr">
        <is>
          <t>Wikipedia</t>
        </is>
      </c>
      <c r="F17" s="5" t="n"/>
      <c r="G17" s="5" t="n"/>
      <c r="H17" s="22" t="inlineStr">
        <is>
          <t>https://en.wikipedia.org/wiki/Hum_Kisise_Kum_Naheen</t>
        </is>
      </c>
      <c r="I17" s="16" t="n">
        <v>46290</v>
      </c>
      <c r="J17" s="5" t="inlineStr">
        <is>
          <t>Infobox: release date, language, runtime, director, producers, production banner, writers, song composer, lyricist, billing position.</t>
        </is>
      </c>
      <c r="K17" s="5" t="inlineStr">
        <is>
          <t>Reference encyclopedia</t>
        </is>
      </c>
      <c r="L17" s="5" t="inlineStr">
        <is>
          <t>C</t>
        </is>
      </c>
      <c r="M17" s="5" t="inlineStr">
        <is>
          <t>Film article; downloaded as raw wikitext.</t>
        </is>
      </c>
    </row>
    <row r="18" ht="49" customHeight="1">
      <c r="A18" s="15" t="inlineStr">
        <is>
          <t>SOURCE-017</t>
        </is>
      </c>
      <c r="B18" s="5" t="inlineStr">
        <is>
          <t>FILM-016</t>
        </is>
      </c>
      <c r="C18" s="5" t="inlineStr">
        <is>
          <t>PAIR-015; PAIR-016</t>
        </is>
      </c>
      <c r="D18" s="5" t="inlineStr">
        <is>
          <t>Doosara Aadmi</t>
        </is>
      </c>
      <c r="E18" s="5" t="inlineStr">
        <is>
          <t>Wikipedia</t>
        </is>
      </c>
      <c r="F18" s="5" t="n"/>
      <c r="G18" s="5" t="n"/>
      <c r="H18" s="22" t="inlineStr">
        <is>
          <t>https://en.wikipedia.org/wiki/Doosara_Aadmi</t>
        </is>
      </c>
      <c r="I18" s="16" t="n">
        <v>46290</v>
      </c>
      <c r="J18" s="5" t="inlineStr">
        <is>
          <t>Infobox: release date, language, director, producers, production banner, writers, song composer, lyricist, billing position.</t>
        </is>
      </c>
      <c r="K18" s="5" t="inlineStr">
        <is>
          <t>Reference encyclopedia</t>
        </is>
      </c>
      <c r="L18" s="5" t="inlineStr">
        <is>
          <t>C</t>
        </is>
      </c>
      <c r="M18" s="5" t="inlineStr">
        <is>
          <t>Film article; downloaded as raw wikitext.</t>
        </is>
      </c>
    </row>
    <row r="19" ht="49" customHeight="1">
      <c r="A19" s="15" t="inlineStr">
        <is>
          <t>SOURCE-018</t>
        </is>
      </c>
      <c r="B19" s="5" t="inlineStr">
        <is>
          <t>FILM-017</t>
        </is>
      </c>
      <c r="C19" s="5" t="n"/>
      <c r="D19" s="5" t="inlineStr">
        <is>
          <t>Chala Murari Hero Banne</t>
        </is>
      </c>
      <c r="E19" s="5" t="inlineStr">
        <is>
          <t>Wikipedia</t>
        </is>
      </c>
      <c r="F19" s="5" t="n"/>
      <c r="G19" s="5" t="n"/>
      <c r="H19" s="22" t="inlineStr">
        <is>
          <t>https://en.wikipedia.org/wiki/Chala_Murari_Hero_Banne</t>
        </is>
      </c>
      <c r="I19" s="16" t="n">
        <v>46290</v>
      </c>
      <c r="J19" s="5" t="inlineStr">
        <is>
          <t>Infobox: release date, language, director, producers, production banner, song composer, lyricist.</t>
        </is>
      </c>
      <c r="K19" s="5" t="inlineStr">
        <is>
          <t>Reference encyclopedia</t>
        </is>
      </c>
      <c r="L19" s="5" t="inlineStr">
        <is>
          <t>C</t>
        </is>
      </c>
      <c r="M19" s="5" t="inlineStr">
        <is>
          <t>Film article; downloaded as raw wikitext.</t>
        </is>
      </c>
    </row>
    <row r="20" ht="34" customHeight="1">
      <c r="A20" s="15" t="inlineStr">
        <is>
          <t>SOURCE-019</t>
        </is>
      </c>
      <c r="B20" s="5" t="inlineStr">
        <is>
          <t>FILM-018</t>
        </is>
      </c>
      <c r="C20" s="5" t="n"/>
      <c r="D20" s="5" t="inlineStr">
        <is>
          <t>Naya Daur (1978 film)</t>
        </is>
      </c>
      <c r="E20" s="5" t="inlineStr">
        <is>
          <t>Wikipedia</t>
        </is>
      </c>
      <c r="F20" s="5" t="n"/>
      <c r="G20" s="5" t="n"/>
      <c r="H20" s="22" t="inlineStr">
        <is>
          <t>https://en.wikipedia.org/wiki/Naya_Daur_(1978_film)</t>
        </is>
      </c>
      <c r="I20" s="16" t="n">
        <v>46290</v>
      </c>
      <c r="J20" s="5" t="inlineStr">
        <is>
          <t>Infobox: release date, language, director, producers, writers, song composer, billing position.</t>
        </is>
      </c>
      <c r="K20" s="5" t="inlineStr">
        <is>
          <t>Reference encyclopedia</t>
        </is>
      </c>
      <c r="L20" s="5" t="inlineStr">
        <is>
          <t>C</t>
        </is>
      </c>
      <c r="M20" s="5" t="inlineStr">
        <is>
          <t>Film article; downloaded as raw wikitext.</t>
        </is>
      </c>
    </row>
    <row r="21" ht="49" customHeight="1">
      <c r="A21" s="15" t="inlineStr">
        <is>
          <t>SOURCE-020</t>
        </is>
      </c>
      <c r="B21" s="5" t="inlineStr">
        <is>
          <t>FILM-022</t>
        </is>
      </c>
      <c r="C21" s="5" t="inlineStr">
        <is>
          <t>PAIR-017</t>
        </is>
      </c>
      <c r="D21" s="5" t="inlineStr">
        <is>
          <t>Badalte Rishtey</t>
        </is>
      </c>
      <c r="E21" s="5" t="inlineStr">
        <is>
          <t>Wikipedia</t>
        </is>
      </c>
      <c r="F21" s="5" t="n"/>
      <c r="G21" s="5" t="n"/>
      <c r="H21" s="22" t="inlineStr">
        <is>
          <t>https://en.wikipedia.org/wiki/Badalte_Rishtey</t>
        </is>
      </c>
      <c r="I21" s="16" t="n">
        <v>46290</v>
      </c>
      <c r="J21" s="5" t="inlineStr">
        <is>
          <t>Infobox: release date, language, runtime, director, producers, production banner, writers, song composer, billing position.</t>
        </is>
      </c>
      <c r="K21" s="5" t="inlineStr">
        <is>
          <t>Reference encyclopedia</t>
        </is>
      </c>
      <c r="L21" s="5" t="inlineStr">
        <is>
          <t>C</t>
        </is>
      </c>
      <c r="M21" s="5" t="inlineStr">
        <is>
          <t>Film article; downloaded as raw wikitext.</t>
        </is>
      </c>
    </row>
    <row r="22" ht="34" customHeight="1">
      <c r="A22" s="15" t="inlineStr">
        <is>
          <t>SOURCE-021</t>
        </is>
      </c>
      <c r="B22" s="5" t="inlineStr">
        <is>
          <t>FILM-019</t>
        </is>
      </c>
      <c r="C22" s="5" t="n"/>
      <c r="D22" s="5" t="inlineStr">
        <is>
          <t>Anjane Mein</t>
        </is>
      </c>
      <c r="E22" s="5" t="inlineStr">
        <is>
          <t>Wikipedia</t>
        </is>
      </c>
      <c r="F22" s="5" t="n"/>
      <c r="G22" s="5" t="n"/>
      <c r="H22" s="22" t="inlineStr">
        <is>
          <t>https://en.wikipedia.org/wiki/Anjane_Mein</t>
        </is>
      </c>
      <c r="I22" s="16" t="n">
        <v>46290</v>
      </c>
      <c r="J22" s="5" t="inlineStr">
        <is>
          <t>Infobox: release date, language, director, song composer, lyricist, billing position.</t>
        </is>
      </c>
      <c r="K22" s="5" t="inlineStr">
        <is>
          <t>Reference encyclopedia</t>
        </is>
      </c>
      <c r="L22" s="5" t="inlineStr">
        <is>
          <t>C</t>
        </is>
      </c>
      <c r="M22" s="5" t="inlineStr">
        <is>
          <t>Film article; downloaded as raw wikitext.</t>
        </is>
      </c>
    </row>
    <row r="23" ht="34" customHeight="1">
      <c r="A23" s="15" t="inlineStr">
        <is>
          <t>SOURCE-022</t>
        </is>
      </c>
      <c r="B23" s="5" t="inlineStr">
        <is>
          <t>FILM-020</t>
        </is>
      </c>
      <c r="C23" s="5" t="n"/>
      <c r="D23" s="5" t="inlineStr">
        <is>
          <t>Pati Patni Aur Woh (1978 film)</t>
        </is>
      </c>
      <c r="E23" s="5" t="inlineStr">
        <is>
          <t>Wikipedia</t>
        </is>
      </c>
      <c r="F23" s="5" t="n"/>
      <c r="G23" s="5" t="n"/>
      <c r="H23" s="22" t="inlineStr">
        <is>
          <t>https://en.wikipedia.org/wiki/Pati_Patni_Aur_Woh_(1978_film)</t>
        </is>
      </c>
      <c r="I23" s="16" t="n">
        <v>46290</v>
      </c>
      <c r="J23" s="5" t="inlineStr">
        <is>
          <t>Infobox: release date, language, runtime, director, producers, writers, song composer, lyricist.</t>
        </is>
      </c>
      <c r="K23" s="5" t="inlineStr">
        <is>
          <t>Reference encyclopedia</t>
        </is>
      </c>
      <c r="L23" s="5" t="inlineStr">
        <is>
          <t>C</t>
        </is>
      </c>
      <c r="M23" s="5" t="inlineStr">
        <is>
          <t>Film article; downloaded as raw wikitext.</t>
        </is>
      </c>
    </row>
    <row r="24" ht="34" customHeight="1">
      <c r="A24" s="15" t="inlineStr">
        <is>
          <t>SOURCE-023</t>
        </is>
      </c>
      <c r="B24" s="5" t="inlineStr">
        <is>
          <t>FILM-021</t>
        </is>
      </c>
      <c r="C24" s="5" t="n"/>
      <c r="D24" s="5" t="inlineStr">
        <is>
          <t>Phool Khile Hain Gulshan Gulshan (film)</t>
        </is>
      </c>
      <c r="E24" s="5" t="inlineStr">
        <is>
          <t>Wikipedia</t>
        </is>
      </c>
      <c r="F24" s="5" t="n"/>
      <c r="G24" s="5" t="n"/>
      <c r="H24" s="22" t="inlineStr">
        <is>
          <t>https://en.wikipedia.org/wiki/Phool_Khile_Hain_Gulshan_Gulshan_(film)</t>
        </is>
      </c>
      <c r="I24" s="16" t="n">
        <v>46290</v>
      </c>
      <c r="J24" s="5" t="inlineStr">
        <is>
          <t>Infobox: release date, language, director, producers, writers, song composer, billing position.</t>
        </is>
      </c>
      <c r="K24" s="5" t="inlineStr">
        <is>
          <t>Reference encyclopedia</t>
        </is>
      </c>
      <c r="L24" s="5" t="inlineStr">
        <is>
          <t>C</t>
        </is>
      </c>
      <c r="M24" s="5" t="inlineStr">
        <is>
          <t>Film article; downloaded as raw wikitext.</t>
        </is>
      </c>
    </row>
    <row r="25" ht="49" customHeight="1">
      <c r="A25" s="15" t="inlineStr">
        <is>
          <t>SOURCE-024</t>
        </is>
      </c>
      <c r="B25" s="5" t="inlineStr">
        <is>
          <t>FILM-023</t>
        </is>
      </c>
      <c r="C25" s="5" t="inlineStr">
        <is>
          <t>PAIR-018</t>
        </is>
      </c>
      <c r="D25" s="5" t="inlineStr">
        <is>
          <t>Sargam (1979 film)</t>
        </is>
      </c>
      <c r="E25" s="5" t="inlineStr">
        <is>
          <t>Wikipedia</t>
        </is>
      </c>
      <c r="F25" s="5" t="n"/>
      <c r="G25" s="5" t="n"/>
      <c r="H25" s="22" t="inlineStr">
        <is>
          <t>https://en.wikipedia.org/wiki/Sargam_(1979_film)</t>
        </is>
      </c>
      <c r="I25" s="16" t="n">
        <v>46290</v>
      </c>
      <c r="J25" s="5" t="inlineStr">
        <is>
          <t>Infobox: release date, language, runtime, director, producers, writers, source material, song composer, lyricist, billing position.</t>
        </is>
      </c>
      <c r="K25" s="5" t="inlineStr">
        <is>
          <t>Reference encyclopedia</t>
        </is>
      </c>
      <c r="L25" s="5" t="inlineStr">
        <is>
          <t>C</t>
        </is>
      </c>
      <c r="M25" s="5" t="inlineStr">
        <is>
          <t>Film article; downloaded as raw wikitext.</t>
        </is>
      </c>
    </row>
    <row r="26" ht="49" customHeight="1">
      <c r="A26" s="15" t="inlineStr">
        <is>
          <t>SOURCE-025</t>
        </is>
      </c>
      <c r="B26" s="5" t="inlineStr">
        <is>
          <t>FILM-025</t>
        </is>
      </c>
      <c r="C26" s="5" t="inlineStr">
        <is>
          <t>PAIR-019</t>
        </is>
      </c>
      <c r="D26" s="5" t="inlineStr">
        <is>
          <t>Jhoota Kahin Ka</t>
        </is>
      </c>
      <c r="E26" s="5" t="inlineStr">
        <is>
          <t>Wikipedia</t>
        </is>
      </c>
      <c r="F26" s="5" t="n"/>
      <c r="G26" s="5" t="n"/>
      <c r="H26" s="22" t="inlineStr">
        <is>
          <t>https://en.wikipedia.org/wiki/Jhoota_Kahin_Ka</t>
        </is>
      </c>
      <c r="I26" s="16" t="n">
        <v>46290</v>
      </c>
      <c r="J26" s="5" t="inlineStr">
        <is>
          <t>Infobox: release date, language, director, producers, production banner, song composer, billing position.</t>
        </is>
      </c>
      <c r="K26" s="5" t="inlineStr">
        <is>
          <t>Reference encyclopedia</t>
        </is>
      </c>
      <c r="L26" s="5" t="inlineStr">
        <is>
          <t>C</t>
        </is>
      </c>
      <c r="M26" s="5" t="inlineStr">
        <is>
          <t>Film article; downloaded as raw wikitext.</t>
        </is>
      </c>
    </row>
    <row r="27" ht="49" customHeight="1">
      <c r="A27" s="15" t="inlineStr">
        <is>
          <t>SOURCE-026</t>
        </is>
      </c>
      <c r="B27" s="5" t="inlineStr">
        <is>
          <t>FILM-026</t>
        </is>
      </c>
      <c r="C27" s="5" t="inlineStr">
        <is>
          <t>PAIR-020</t>
        </is>
      </c>
      <c r="D27" s="5" t="inlineStr">
        <is>
          <t>Duniya Meri Jeb Mein</t>
        </is>
      </c>
      <c r="E27" s="5" t="inlineStr">
        <is>
          <t>Wikipedia</t>
        </is>
      </c>
      <c r="F27" s="5" t="n"/>
      <c r="G27" s="5" t="n"/>
      <c r="H27" s="22" t="inlineStr">
        <is>
          <t>https://en.wikipedia.org/wiki/Duniya_Meri_Jeb_Mein</t>
        </is>
      </c>
      <c r="I27" s="16" t="n">
        <v>46290</v>
      </c>
      <c r="J27" s="5" t="inlineStr">
        <is>
          <t>Infobox: release date, language, director, producers, writers, song composer, lyricist, billing position.</t>
        </is>
      </c>
      <c r="K27" s="5" t="inlineStr">
        <is>
          <t>Reference encyclopedia</t>
        </is>
      </c>
      <c r="L27" s="5" t="inlineStr">
        <is>
          <t>C</t>
        </is>
      </c>
      <c r="M27" s="5" t="inlineStr">
        <is>
          <t>Film article; downloaded as raw wikitext.</t>
        </is>
      </c>
    </row>
    <row r="28" ht="34" customHeight="1">
      <c r="A28" s="15" t="inlineStr">
        <is>
          <t>SOURCE-027</t>
        </is>
      </c>
      <c r="B28" s="5" t="inlineStr">
        <is>
          <t>FILM-024</t>
        </is>
      </c>
      <c r="C28" s="5" t="n"/>
      <c r="D28" s="5" t="inlineStr">
        <is>
          <t>Salaam Memsaab</t>
        </is>
      </c>
      <c r="E28" s="5" t="inlineStr">
        <is>
          <t>Wikipedia</t>
        </is>
      </c>
      <c r="F28" s="5" t="n"/>
      <c r="G28" s="5" t="n"/>
      <c r="H28" s="22" t="inlineStr">
        <is>
          <t>https://en.wikipedia.org/wiki/Salaam_Memsaab</t>
        </is>
      </c>
      <c r="I28" s="16" t="n">
        <v>46290</v>
      </c>
      <c r="J28" s="5" t="inlineStr">
        <is>
          <t>Infobox: release date, language, runtime, director, producers, song composer, lyricist.</t>
        </is>
      </c>
      <c r="K28" s="5" t="inlineStr">
        <is>
          <t>Reference encyclopedia</t>
        </is>
      </c>
      <c r="L28" s="5" t="inlineStr">
        <is>
          <t>C</t>
        </is>
      </c>
      <c r="M28" s="5" t="inlineStr">
        <is>
          <t>Film article; downloaded as raw wikitext.</t>
        </is>
      </c>
    </row>
    <row r="29" ht="49" customHeight="1">
      <c r="A29" s="15" t="inlineStr">
        <is>
          <t>SOURCE-028</t>
        </is>
      </c>
      <c r="B29" s="5" t="inlineStr">
        <is>
          <t>FILM-028</t>
        </is>
      </c>
      <c r="C29" s="5" t="inlineStr">
        <is>
          <t>PAIR-021</t>
        </is>
      </c>
      <c r="D29" s="5" t="inlineStr">
        <is>
          <t>Do Premee</t>
        </is>
      </c>
      <c r="E29" s="5" t="inlineStr">
        <is>
          <t>Wikipedia</t>
        </is>
      </c>
      <c r="F29" s="5" t="n"/>
      <c r="G29" s="5" t="n"/>
      <c r="H29" s="22" t="inlineStr">
        <is>
          <t>https://en.wikipedia.org/wiki/Do_Premee</t>
        </is>
      </c>
      <c r="I29" s="16" t="n">
        <v>46290</v>
      </c>
      <c r="J29" s="5" t="inlineStr">
        <is>
          <t>Infobox: release date, language, runtime, director, producers, writers, song composer, lyricist, billing position.</t>
        </is>
      </c>
      <c r="K29" s="5" t="inlineStr">
        <is>
          <t>Reference encyclopedia</t>
        </is>
      </c>
      <c r="L29" s="5" t="inlineStr">
        <is>
          <t>C</t>
        </is>
      </c>
      <c r="M29" s="5" t="inlineStr">
        <is>
          <t>Film article; downloaded as raw wikitext.</t>
        </is>
      </c>
    </row>
    <row r="30" ht="49" customHeight="1">
      <c r="A30" s="15" t="inlineStr">
        <is>
          <t>SOURCE-029</t>
        </is>
      </c>
      <c r="B30" s="5" t="inlineStr">
        <is>
          <t>FILM-029</t>
        </is>
      </c>
      <c r="C30" s="5" t="inlineStr">
        <is>
          <t>PAIR-022</t>
        </is>
      </c>
      <c r="D30" s="5" t="inlineStr">
        <is>
          <t>Dhan Daulat</t>
        </is>
      </c>
      <c r="E30" s="5" t="inlineStr">
        <is>
          <t>Wikipedia</t>
        </is>
      </c>
      <c r="F30" s="5" t="n"/>
      <c r="G30" s="5" t="n"/>
      <c r="H30" s="22" t="inlineStr">
        <is>
          <t>https://en.wikipedia.org/wiki/Dhan_Daulat</t>
        </is>
      </c>
      <c r="I30" s="16" t="n">
        <v>46290</v>
      </c>
      <c r="J30" s="5" t="inlineStr">
        <is>
          <t>Infobox: release date, language, director, producers, writers, song composer, lyricist, billing position.</t>
        </is>
      </c>
      <c r="K30" s="5" t="inlineStr">
        <is>
          <t>Reference encyclopedia</t>
        </is>
      </c>
      <c r="L30" s="5" t="inlineStr">
        <is>
          <t>C</t>
        </is>
      </c>
      <c r="M30" s="5" t="inlineStr">
        <is>
          <t>Film article; downloaded as raw wikitext.</t>
        </is>
      </c>
    </row>
    <row r="31" ht="64" customHeight="1">
      <c r="A31" s="15" t="inlineStr">
        <is>
          <t>SOURCE-030</t>
        </is>
      </c>
      <c r="B31" s="5" t="inlineStr">
        <is>
          <t>FILM-030</t>
        </is>
      </c>
      <c r="C31" s="5" t="inlineStr">
        <is>
          <t>PAIR-023</t>
        </is>
      </c>
      <c r="D31" s="5" t="inlineStr">
        <is>
          <t>Aap Ke Deewane</t>
        </is>
      </c>
      <c r="E31" s="5" t="inlineStr">
        <is>
          <t>Wikipedia</t>
        </is>
      </c>
      <c r="F31" s="5" t="n"/>
      <c r="G31" s="5" t="n"/>
      <c r="H31" s="22" t="inlineStr">
        <is>
          <t>https://en.wikipedia.org/wiki/Aap_Ke_Deewane</t>
        </is>
      </c>
      <c r="I31" s="16" t="n">
        <v>46290</v>
      </c>
      <c r="J31" s="5" t="inlineStr">
        <is>
          <t>Infobox: release date, language, runtime, director, producers, production banner, writers, song composer, background score composer, lyricist, billing position.</t>
        </is>
      </c>
      <c r="K31" s="5" t="inlineStr">
        <is>
          <t>Reference encyclopedia</t>
        </is>
      </c>
      <c r="L31" s="5" t="inlineStr">
        <is>
          <t>C</t>
        </is>
      </c>
      <c r="M31" s="5" t="inlineStr">
        <is>
          <t>Film article; downloaded as raw wikitext.</t>
        </is>
      </c>
    </row>
    <row r="32" ht="49" customHeight="1">
      <c r="A32" s="15" t="inlineStr">
        <is>
          <t>SOURCE-031</t>
        </is>
      </c>
      <c r="B32" s="5" t="inlineStr">
        <is>
          <t>FILM-031</t>
        </is>
      </c>
      <c r="C32" s="5" t="inlineStr">
        <is>
          <t>PAIR-025</t>
        </is>
      </c>
      <c r="D32" s="5" t="inlineStr">
        <is>
          <t>Karz (film)</t>
        </is>
      </c>
      <c r="E32" s="5" t="inlineStr">
        <is>
          <t>Wikipedia</t>
        </is>
      </c>
      <c r="F32" s="5" t="n"/>
      <c r="G32" s="5" t="n"/>
      <c r="H32" s="22" t="inlineStr">
        <is>
          <t>https://en.wikipedia.org/wiki/Karz_(film)</t>
        </is>
      </c>
      <c r="I32" s="16" t="n">
        <v>46290</v>
      </c>
      <c r="J32" s="5" t="inlineStr">
        <is>
          <t>Infobox: release date, language, runtime, director, producers, writers, song composer, lyricist, billing position.</t>
        </is>
      </c>
      <c r="K32" s="5" t="inlineStr">
        <is>
          <t>Reference encyclopedia</t>
        </is>
      </c>
      <c r="L32" s="5" t="inlineStr">
        <is>
          <t>C</t>
        </is>
      </c>
      <c r="M32" s="5" t="inlineStr">
        <is>
          <t>Film article; downloaded as raw wikitext.</t>
        </is>
      </c>
    </row>
    <row r="33" ht="49" customHeight="1">
      <c r="A33" s="15" t="inlineStr">
        <is>
          <t>SOURCE-032</t>
        </is>
      </c>
      <c r="B33" s="5" t="inlineStr">
        <is>
          <t>FILM-032</t>
        </is>
      </c>
      <c r="C33" s="5" t="inlineStr">
        <is>
          <t>PAIR-026</t>
        </is>
      </c>
      <c r="D33" s="5" t="inlineStr">
        <is>
          <t>Naseeb (1981 film)</t>
        </is>
      </c>
      <c r="E33" s="5" t="inlineStr">
        <is>
          <t>Wikipedia</t>
        </is>
      </c>
      <c r="F33" s="5" t="n"/>
      <c r="G33" s="5" t="n"/>
      <c r="H33" s="22" t="inlineStr">
        <is>
          <t>https://en.wikipedia.org/wiki/Naseeb_(1981_film)</t>
        </is>
      </c>
      <c r="I33" s="16" t="n">
        <v>46290</v>
      </c>
      <c r="J33" s="5" t="inlineStr">
        <is>
          <t>Infobox: release date, language, runtime, director, producers, writers, song composer, lyricist, billing position, budget, currency.</t>
        </is>
      </c>
      <c r="K33" s="5" t="inlineStr">
        <is>
          <t>Reference encyclopedia</t>
        </is>
      </c>
      <c r="L33" s="5" t="inlineStr">
        <is>
          <t>C</t>
        </is>
      </c>
      <c r="M33" s="5" t="inlineStr">
        <is>
          <t>Film article; downloaded as raw wikitext.</t>
        </is>
      </c>
    </row>
    <row r="34" ht="49" customHeight="1">
      <c r="A34" s="15" t="inlineStr">
        <is>
          <t>SOURCE-033</t>
        </is>
      </c>
      <c r="B34" s="5" t="inlineStr">
        <is>
          <t>FILM-033</t>
        </is>
      </c>
      <c r="C34" s="5" t="n"/>
      <c r="D34" s="5" t="inlineStr">
        <is>
          <t>Biwi-O-Biwi</t>
        </is>
      </c>
      <c r="E34" s="5" t="inlineStr">
        <is>
          <t>Wikipedia</t>
        </is>
      </c>
      <c r="F34" s="5" t="n"/>
      <c r="G34" s="5" t="n"/>
      <c r="H34" s="22" t="inlineStr">
        <is>
          <t>https://en.wikipedia.org/wiki/Biwi-O-Biwi</t>
        </is>
      </c>
      <c r="I34" s="16" t="n">
        <v>46290</v>
      </c>
      <c r="J34" s="5" t="inlineStr">
        <is>
          <t>Infobox: release date, language, runtime, director, producers, production banner, writers, song composer.</t>
        </is>
      </c>
      <c r="K34" s="5" t="inlineStr">
        <is>
          <t>Reference encyclopedia</t>
        </is>
      </c>
      <c r="L34" s="5" t="inlineStr">
        <is>
          <t>C</t>
        </is>
      </c>
      <c r="M34" s="5" t="inlineStr">
        <is>
          <t>Film article; downloaded as raw wikitext.</t>
        </is>
      </c>
    </row>
    <row r="35" ht="49" customHeight="1">
      <c r="A35" s="15" t="inlineStr">
        <is>
          <t>SOURCE-034</t>
        </is>
      </c>
      <c r="B35" s="5" t="inlineStr">
        <is>
          <t>FILM-036</t>
        </is>
      </c>
      <c r="C35" s="5" t="inlineStr">
        <is>
          <t>PAIR-028</t>
        </is>
      </c>
      <c r="D35" s="5" t="inlineStr">
        <is>
          <t>Yeh Vaada Raha (film)</t>
        </is>
      </c>
      <c r="E35" s="5" t="inlineStr">
        <is>
          <t>Wikipedia</t>
        </is>
      </c>
      <c r="F35" s="5" t="n"/>
      <c r="G35" s="5" t="n"/>
      <c r="H35" s="22" t="inlineStr">
        <is>
          <t>https://en.wikipedia.org/wiki/Yeh_Vaada_Raha_(film)</t>
        </is>
      </c>
      <c r="I35" s="16" t="n">
        <v>46290</v>
      </c>
      <c r="J35" s="5" t="inlineStr">
        <is>
          <t>Infobox: release date, language, director, producers, production banner, song composer, lyricist, billing position.</t>
        </is>
      </c>
      <c r="K35" s="5" t="inlineStr">
        <is>
          <t>Reference encyclopedia</t>
        </is>
      </c>
      <c r="L35" s="5" t="inlineStr">
        <is>
          <t>C</t>
        </is>
      </c>
      <c r="M35" s="5" t="inlineStr">
        <is>
          <t>Film article; downloaded as raw wikitext.</t>
        </is>
      </c>
    </row>
    <row r="36" ht="49" customHeight="1">
      <c r="A36" s="15" t="inlineStr">
        <is>
          <t>SOURCE-035</t>
        </is>
      </c>
      <c r="B36" s="5" t="inlineStr">
        <is>
          <t>FILM-034</t>
        </is>
      </c>
      <c r="C36" s="5" t="n"/>
      <c r="D36" s="5" t="inlineStr">
        <is>
          <t>Katilon Ke Kaatil</t>
        </is>
      </c>
      <c r="E36" s="5" t="inlineStr">
        <is>
          <t>Wikipedia</t>
        </is>
      </c>
      <c r="F36" s="5" t="n"/>
      <c r="G36" s="5" t="n"/>
      <c r="H36" s="22" t="inlineStr">
        <is>
          <t>https://en.wikipedia.org/wiki/Katilon_Ke_Kaatil</t>
        </is>
      </c>
      <c r="I36" s="16" t="n">
        <v>46290</v>
      </c>
      <c r="J36" s="5" t="inlineStr">
        <is>
          <t>Infobox: release date, language, runtime, director, producers, song composer, lyricist, billing position.</t>
        </is>
      </c>
      <c r="K36" s="5" t="inlineStr">
        <is>
          <t>Reference encyclopedia</t>
        </is>
      </c>
      <c r="L36" s="5" t="inlineStr">
        <is>
          <t>C</t>
        </is>
      </c>
      <c r="M36" s="5" t="inlineStr">
        <is>
          <t>Film article; downloaded as raw wikitext.</t>
        </is>
      </c>
    </row>
    <row r="37" ht="49" customHeight="1">
      <c r="A37" s="15" t="inlineStr">
        <is>
          <t>SOURCE-036</t>
        </is>
      </c>
      <c r="B37" s="5" t="inlineStr">
        <is>
          <t>FILM-035</t>
        </is>
      </c>
      <c r="C37" s="5" t="inlineStr">
        <is>
          <t>PAIR-027</t>
        </is>
      </c>
      <c r="D37" s="5" t="inlineStr">
        <is>
          <t>Zamaane Ko Dikhana Hai</t>
        </is>
      </c>
      <c r="E37" s="5" t="inlineStr">
        <is>
          <t>Wikipedia</t>
        </is>
      </c>
      <c r="F37" s="5" t="n"/>
      <c r="G37" s="5" t="n"/>
      <c r="H37" s="22" t="inlineStr">
        <is>
          <t>https://en.wikipedia.org/wiki/Zamaane_Ko_Dikhana_Hai</t>
        </is>
      </c>
      <c r="I37" s="16" t="n">
        <v>46290</v>
      </c>
      <c r="J37" s="5" t="inlineStr">
        <is>
          <t>Infobox: release date, language, director, producers, writers, song composer, lyricist, billing position.</t>
        </is>
      </c>
      <c r="K37" s="5" t="inlineStr">
        <is>
          <t>Reference encyclopedia</t>
        </is>
      </c>
      <c r="L37" s="5" t="inlineStr">
        <is>
          <t>C</t>
        </is>
      </c>
      <c r="M37" s="5" t="inlineStr">
        <is>
          <t>Film article; downloaded as raw wikitext.</t>
        </is>
      </c>
    </row>
    <row r="38" ht="49" customHeight="1">
      <c r="A38" s="15" t="inlineStr">
        <is>
          <t>SOURCE-037</t>
        </is>
      </c>
      <c r="B38" s="5" t="inlineStr">
        <is>
          <t>FILM-037</t>
        </is>
      </c>
      <c r="C38" s="5" t="inlineStr">
        <is>
          <t>PAIR-029</t>
        </is>
      </c>
      <c r="D38" s="5" t="inlineStr">
        <is>
          <t>Prem Rog</t>
        </is>
      </c>
      <c r="E38" s="5" t="inlineStr">
        <is>
          <t>Wikipedia</t>
        </is>
      </c>
      <c r="F38" s="5" t="n"/>
      <c r="G38" s="5" t="n"/>
      <c r="H38" s="22" t="inlineStr">
        <is>
          <t>https://en.wikipedia.org/wiki/Prem_Rog</t>
        </is>
      </c>
      <c r="I38" s="16" t="n">
        <v>46290</v>
      </c>
      <c r="J38" s="5" t="inlineStr">
        <is>
          <t>Infobox: release date, language, runtime, director, producers, production banner, writers, song composer, lyricist, billing position.</t>
        </is>
      </c>
      <c r="K38" s="5" t="inlineStr">
        <is>
          <t>Reference encyclopedia</t>
        </is>
      </c>
      <c r="L38" s="5" t="inlineStr">
        <is>
          <t>C</t>
        </is>
      </c>
      <c r="M38" s="5" t="inlineStr">
        <is>
          <t>Film article; downloaded as raw wikitext.</t>
        </is>
      </c>
    </row>
    <row r="39" ht="49" customHeight="1">
      <c r="A39" s="15" t="inlineStr">
        <is>
          <t>SOURCE-038</t>
        </is>
      </c>
      <c r="B39" s="5" t="inlineStr">
        <is>
          <t>FILM-038</t>
        </is>
      </c>
      <c r="C39" s="5" t="inlineStr">
        <is>
          <t>PAIR-030</t>
        </is>
      </c>
      <c r="D39" s="5" t="inlineStr">
        <is>
          <t>Deedar-E-Yaar</t>
        </is>
      </c>
      <c r="E39" s="5" t="inlineStr">
        <is>
          <t>Wikipedia</t>
        </is>
      </c>
      <c r="F39" s="5" t="n"/>
      <c r="G39" s="5" t="n"/>
      <c r="H39" s="22" t="inlineStr">
        <is>
          <t>https://en.wikipedia.org/wiki/Deedar-E-Yaar</t>
        </is>
      </c>
      <c r="I39" s="16" t="n">
        <v>46290</v>
      </c>
      <c r="J39" s="5" t="inlineStr">
        <is>
          <t>Infobox: release date, language, runtime, director, producers, production banner, writers, song composer, lyricist, billing position.</t>
        </is>
      </c>
      <c r="K39" s="5" t="inlineStr">
        <is>
          <t>Reference encyclopedia</t>
        </is>
      </c>
      <c r="L39" s="5" t="inlineStr">
        <is>
          <t>C</t>
        </is>
      </c>
      <c r="M39" s="5" t="inlineStr">
        <is>
          <t>Film article; downloaded as raw wikitext.</t>
        </is>
      </c>
    </row>
    <row r="40" ht="49" customHeight="1">
      <c r="A40" s="15" t="inlineStr">
        <is>
          <t>SOURCE-039</t>
        </is>
      </c>
      <c r="B40" s="5" t="inlineStr">
        <is>
          <t>FILM-040</t>
        </is>
      </c>
      <c r="C40" s="5" t="inlineStr">
        <is>
          <t>PAIR-031</t>
        </is>
      </c>
      <c r="D40" s="5" t="inlineStr">
        <is>
          <t>Bade Dil Wala</t>
        </is>
      </c>
      <c r="E40" s="5" t="inlineStr">
        <is>
          <t>Wikipedia</t>
        </is>
      </c>
      <c r="F40" s="5" t="n"/>
      <c r="G40" s="5" t="n"/>
      <c r="H40" s="22" t="inlineStr">
        <is>
          <t>https://en.wikipedia.org/wiki/Bade_Dil_Wala</t>
        </is>
      </c>
      <c r="I40" s="16" t="n">
        <v>46290</v>
      </c>
      <c r="J40" s="5" t="inlineStr">
        <is>
          <t>Infobox: release date, language, director, producers, writers, source material, song composer, billing position.</t>
        </is>
      </c>
      <c r="K40" s="5" t="inlineStr">
        <is>
          <t>Reference encyclopedia</t>
        </is>
      </c>
      <c r="L40" s="5" t="inlineStr">
        <is>
          <t>C</t>
        </is>
      </c>
      <c r="M40" s="5" t="inlineStr">
        <is>
          <t>Film article; downloaded as raw wikitext.</t>
        </is>
      </c>
    </row>
    <row r="41" ht="49" customHeight="1">
      <c r="A41" s="15" t="inlineStr">
        <is>
          <t>SOURCE-040</t>
        </is>
      </c>
      <c r="B41" s="5" t="inlineStr">
        <is>
          <t>FILM-041</t>
        </is>
      </c>
      <c r="C41" s="5" t="n"/>
      <c r="D41" s="5" t="inlineStr">
        <is>
          <t>Coolie (1983 Hindi film)</t>
        </is>
      </c>
      <c r="E41" s="5" t="inlineStr">
        <is>
          <t>Wikipedia</t>
        </is>
      </c>
      <c r="F41" s="5" t="n"/>
      <c r="G41" s="5" t="n"/>
      <c r="H41" s="22" t="inlineStr">
        <is>
          <t>https://en.wikipedia.org/wiki/Coolie_(1983_Hindi_film)</t>
        </is>
      </c>
      <c r="I41" s="16" t="n">
        <v>46290</v>
      </c>
      <c r="J41" s="5" t="inlineStr">
        <is>
          <t>Infobox: release date, language, runtime, director, producers, writers, song composer, lyricist, billing position, budget, currency.</t>
        </is>
      </c>
      <c r="K41" s="5" t="inlineStr">
        <is>
          <t>Reference encyclopedia</t>
        </is>
      </c>
      <c r="L41" s="5" t="inlineStr">
        <is>
          <t>C</t>
        </is>
      </c>
      <c r="M41" s="5" t="inlineStr">
        <is>
          <t>Film article; downloaded as raw wikitext.</t>
        </is>
      </c>
    </row>
    <row r="42" ht="34" customHeight="1">
      <c r="A42" s="15" t="inlineStr">
        <is>
          <t>SOURCE-041</t>
        </is>
      </c>
      <c r="B42" s="5" t="inlineStr">
        <is>
          <t>FILM-039</t>
        </is>
      </c>
      <c r="C42" s="5" t="n"/>
      <c r="D42" s="5" t="inlineStr">
        <is>
          <t>Naukar Biwi Ka</t>
        </is>
      </c>
      <c r="E42" s="5" t="inlineStr">
        <is>
          <t>Wikipedia</t>
        </is>
      </c>
      <c r="F42" s="5" t="n"/>
      <c r="G42" s="5" t="n"/>
      <c r="H42" s="22" t="inlineStr">
        <is>
          <t>https://en.wikipedia.org/wiki/Naukar_Biwi_Ka</t>
        </is>
      </c>
      <c r="I42" s="16" t="n">
        <v>46290</v>
      </c>
      <c r="J42" s="5" t="inlineStr">
        <is>
          <t>Infobox: release date, language, director, producers, source material, song composer, lyricist.</t>
        </is>
      </c>
      <c r="K42" s="5" t="inlineStr">
        <is>
          <t>Reference encyclopedia</t>
        </is>
      </c>
      <c r="L42" s="5" t="inlineStr">
        <is>
          <t>C</t>
        </is>
      </c>
      <c r="M42" s="5" t="inlineStr">
        <is>
          <t>Film article; downloaded as raw wikitext.</t>
        </is>
      </c>
    </row>
    <row r="43" ht="34" customHeight="1">
      <c r="A43" s="15" t="inlineStr">
        <is>
          <t>SOURCE-042</t>
        </is>
      </c>
      <c r="B43" s="5" t="inlineStr">
        <is>
          <t>FILM-042</t>
        </is>
      </c>
      <c r="C43" s="5" t="n"/>
      <c r="D43" s="5" t="inlineStr">
        <is>
          <t>Aan Aur Shaan</t>
        </is>
      </c>
      <c r="E43" s="5" t="inlineStr">
        <is>
          <t>Wikipedia</t>
        </is>
      </c>
      <c r="F43" s="5" t="n"/>
      <c r="G43" s="5" t="n"/>
      <c r="H43" s="22" t="inlineStr">
        <is>
          <t>https://en.wikipedia.org/wiki/Aan_Aur_Shaan</t>
        </is>
      </c>
      <c r="I43" s="16" t="n">
        <v>46290</v>
      </c>
      <c r="J43" s="5" t="inlineStr">
        <is>
          <t>Infobox: release date, language, director, song composer, billing position.</t>
        </is>
      </c>
      <c r="K43" s="5" t="inlineStr">
        <is>
          <t>Reference encyclopedia</t>
        </is>
      </c>
      <c r="L43" s="5" t="inlineStr">
        <is>
          <t>C</t>
        </is>
      </c>
      <c r="M43" s="5" t="inlineStr">
        <is>
          <t>Film article; downloaded as raw wikitext.</t>
        </is>
      </c>
    </row>
    <row r="44" ht="49" customHeight="1">
      <c r="A44" s="15" t="inlineStr">
        <is>
          <t>SOURCE-043</t>
        </is>
      </c>
      <c r="B44" s="5" t="inlineStr">
        <is>
          <t>FILM-043</t>
        </is>
      </c>
      <c r="C44" s="5" t="inlineStr">
        <is>
          <t>PAIR-032</t>
        </is>
      </c>
      <c r="D44" s="5" t="inlineStr">
        <is>
          <t>Duniya (1984 film)</t>
        </is>
      </c>
      <c r="E44" s="5" t="inlineStr">
        <is>
          <t>Wikipedia</t>
        </is>
      </c>
      <c r="F44" s="5" t="n"/>
      <c r="G44" s="5" t="n"/>
      <c r="H44" s="22" t="inlineStr">
        <is>
          <t>https://en.wikipedia.org/wiki/Duniya_(1984_film)</t>
        </is>
      </c>
      <c r="I44" s="16" t="n">
        <v>46290</v>
      </c>
      <c r="J44" s="5" t="inlineStr">
        <is>
          <t>Infobox: release date, language, director, producers, production banner, writers, song composer, lyricist, billing position.</t>
        </is>
      </c>
      <c r="K44" s="5" t="inlineStr">
        <is>
          <t>Reference encyclopedia</t>
        </is>
      </c>
      <c r="L44" s="5" t="inlineStr">
        <is>
          <t>C</t>
        </is>
      </c>
      <c r="M44" s="5" t="inlineStr">
        <is>
          <t>Film article; downloaded as raw wikitext.</t>
        </is>
      </c>
    </row>
    <row r="45" ht="34" customHeight="1">
      <c r="A45" s="15" t="inlineStr">
        <is>
          <t>SOURCE-044</t>
        </is>
      </c>
      <c r="B45" s="5" t="inlineStr">
        <is>
          <t>FILM-044</t>
        </is>
      </c>
      <c r="C45" s="5" t="inlineStr">
        <is>
          <t>PAIR-033; PAIR-034</t>
        </is>
      </c>
      <c r="D45" s="5" t="inlineStr">
        <is>
          <t>Yeh Ishq Nahin Aasaan</t>
        </is>
      </c>
      <c r="E45" s="5" t="inlineStr">
        <is>
          <t>Wikipedia</t>
        </is>
      </c>
      <c r="F45" s="5" t="n"/>
      <c r="G45" s="5" t="n"/>
      <c r="H45" s="22" t="inlineStr">
        <is>
          <t>https://en.wikipedia.org/wiki/Yeh_Ishq_Nahin_Aasaan</t>
        </is>
      </c>
      <c r="I45" s="16" t="n">
        <v>46290</v>
      </c>
      <c r="J45" s="5" t="inlineStr">
        <is>
          <t>Infobox: release date, language, director, producers, song composer, lyricist, billing position.</t>
        </is>
      </c>
      <c r="K45" s="5" t="inlineStr">
        <is>
          <t>Reference encyclopedia</t>
        </is>
      </c>
      <c r="L45" s="5" t="inlineStr">
        <is>
          <t>C</t>
        </is>
      </c>
      <c r="M45" s="5" t="inlineStr">
        <is>
          <t>Film article; downloaded as raw wikitext.</t>
        </is>
      </c>
    </row>
    <row r="46" ht="49" customHeight="1">
      <c r="A46" s="15" t="inlineStr">
        <is>
          <t>SOURCE-045</t>
        </is>
      </c>
      <c r="B46" s="5" t="inlineStr">
        <is>
          <t>FILM-046</t>
        </is>
      </c>
      <c r="C46" s="5" t="inlineStr">
        <is>
          <t>PAIR-035</t>
        </is>
      </c>
      <c r="D46" s="5" t="inlineStr">
        <is>
          <t>Zamana (1985 film)</t>
        </is>
      </c>
      <c r="E46" s="5" t="inlineStr">
        <is>
          <t>Wikipedia</t>
        </is>
      </c>
      <c r="F46" s="5" t="n"/>
      <c r="G46" s="5" t="n"/>
      <c r="H46" s="22" t="inlineStr">
        <is>
          <t>https://en.wikipedia.org/wiki/Zamana_(1985_film)</t>
        </is>
      </c>
      <c r="I46" s="16" t="n">
        <v>46290</v>
      </c>
      <c r="J46" s="5" t="inlineStr">
        <is>
          <t>Infobox: release date, language, director, producers, production banner, writers, song composer, lyricist, billing position.</t>
        </is>
      </c>
      <c r="K46" s="5" t="inlineStr">
        <is>
          <t>Reference encyclopedia</t>
        </is>
      </c>
      <c r="L46" s="5" t="inlineStr">
        <is>
          <t>C</t>
        </is>
      </c>
      <c r="M46" s="5" t="inlineStr">
        <is>
          <t>Film article; downloaded as raw wikitext.</t>
        </is>
      </c>
    </row>
    <row r="47" ht="49" customHeight="1">
      <c r="A47" s="15" t="inlineStr">
        <is>
          <t>SOURCE-046</t>
        </is>
      </c>
      <c r="B47" s="5" t="inlineStr">
        <is>
          <t>FILM-050</t>
        </is>
      </c>
      <c r="C47" s="5" t="inlineStr">
        <is>
          <t>PAIR-039; PAIR-040</t>
        </is>
      </c>
      <c r="D47" s="5" t="inlineStr">
        <is>
          <t>Tawaif (film)</t>
        </is>
      </c>
      <c r="E47" s="5" t="inlineStr">
        <is>
          <t>Wikipedia</t>
        </is>
      </c>
      <c r="F47" s="5" t="n"/>
      <c r="G47" s="5" t="n"/>
      <c r="H47" s="22" t="inlineStr">
        <is>
          <t>https://en.wikipedia.org/wiki/Tawaif_(film)</t>
        </is>
      </c>
      <c r="I47" s="16" t="n">
        <v>46290</v>
      </c>
      <c r="J47" s="5" t="inlineStr">
        <is>
          <t>Infobox: release date, language, runtime, director, producers, writers, song composer, billing position.</t>
        </is>
      </c>
      <c r="K47" s="5" t="inlineStr">
        <is>
          <t>Reference encyclopedia</t>
        </is>
      </c>
      <c r="L47" s="5" t="inlineStr">
        <is>
          <t>C</t>
        </is>
      </c>
      <c r="M47" s="5" t="inlineStr">
        <is>
          <t>Film article; downloaded as raw wikitext.</t>
        </is>
      </c>
    </row>
    <row r="48" ht="34" customHeight="1">
      <c r="A48" s="15" t="inlineStr">
        <is>
          <t>SOURCE-047</t>
        </is>
      </c>
      <c r="B48" s="5" t="inlineStr">
        <is>
          <t>FILM-047</t>
        </is>
      </c>
      <c r="C48" s="5" t="inlineStr">
        <is>
          <t>PAIR-036; PAIR-037</t>
        </is>
      </c>
      <c r="D48" s="5" t="inlineStr">
        <is>
          <t>Rahi Badal Gaye</t>
        </is>
      </c>
      <c r="E48" s="5" t="inlineStr">
        <is>
          <t>Wikipedia</t>
        </is>
      </c>
      <c r="F48" s="5" t="n"/>
      <c r="G48" s="5" t="n"/>
      <c r="H48" s="22" t="inlineStr">
        <is>
          <t>https://en.wikipedia.org/wiki/Rahi_Badal_Gaye</t>
        </is>
      </c>
      <c r="I48" s="16" t="n">
        <v>46290</v>
      </c>
      <c r="J48" s="5" t="inlineStr">
        <is>
          <t>Infobox: release date, language, director, producers, writers, song composer, billing position.</t>
        </is>
      </c>
      <c r="K48" s="5" t="inlineStr">
        <is>
          <t>Reference encyclopedia</t>
        </is>
      </c>
      <c r="L48" s="5" t="inlineStr">
        <is>
          <t>C</t>
        </is>
      </c>
      <c r="M48" s="5" t="inlineStr">
        <is>
          <t>Film article; downloaded as raw wikitext.</t>
        </is>
      </c>
    </row>
    <row r="49" ht="34" customHeight="1">
      <c r="A49" s="15" t="inlineStr">
        <is>
          <t>SOURCE-048</t>
        </is>
      </c>
      <c r="B49" s="5" t="inlineStr">
        <is>
          <t>FILM-048</t>
        </is>
      </c>
      <c r="C49" s="5" t="n"/>
      <c r="D49" s="5" t="inlineStr">
        <is>
          <t>Sitamgar</t>
        </is>
      </c>
      <c r="E49" s="5" t="inlineStr">
        <is>
          <t>Wikipedia</t>
        </is>
      </c>
      <c r="F49" s="5" t="n"/>
      <c r="G49" s="5" t="n"/>
      <c r="H49" s="22" t="inlineStr">
        <is>
          <t>https://en.wikipedia.org/wiki/Sitamgar</t>
        </is>
      </c>
      <c r="I49" s="16" t="n">
        <v>46290</v>
      </c>
      <c r="J49" s="5" t="inlineStr">
        <is>
          <t>Infobox: release date, language, director, writers, song composer, billing position.</t>
        </is>
      </c>
      <c r="K49" s="5" t="inlineStr">
        <is>
          <t>Reference encyclopedia</t>
        </is>
      </c>
      <c r="L49" s="5" t="inlineStr">
        <is>
          <t>C</t>
        </is>
      </c>
      <c r="M49" s="5" t="inlineStr">
        <is>
          <t>Film article; downloaded as raw wikitext.</t>
        </is>
      </c>
    </row>
    <row r="50" ht="49" customHeight="1">
      <c r="A50" s="15" t="inlineStr">
        <is>
          <t>SOURCE-049</t>
        </is>
      </c>
      <c r="B50" s="5" t="inlineStr">
        <is>
          <t>FILM-049</t>
        </is>
      </c>
      <c r="C50" s="5" t="inlineStr">
        <is>
          <t>PAIR-038</t>
        </is>
      </c>
      <c r="D50" s="5" t="inlineStr">
        <is>
          <t>Saagar (1985 film)</t>
        </is>
      </c>
      <c r="E50" s="5" t="inlineStr">
        <is>
          <t>Wikipedia</t>
        </is>
      </c>
      <c r="F50" s="5" t="n"/>
      <c r="G50" s="5" t="n"/>
      <c r="H50" s="22" t="inlineStr">
        <is>
          <t>https://en.wikipedia.org/wiki/Saagar_(1985_film)</t>
        </is>
      </c>
      <c r="I50" s="16" t="n">
        <v>46290</v>
      </c>
      <c r="J50" s="5" t="inlineStr">
        <is>
          <t>Infobox: release date, language, runtime, director, producers, production banner, writers, song composer, lyricist, billing position.</t>
        </is>
      </c>
      <c r="K50" s="5" t="inlineStr">
        <is>
          <t>Reference encyclopedia</t>
        </is>
      </c>
      <c r="L50" s="5" t="inlineStr">
        <is>
          <t>C</t>
        </is>
      </c>
      <c r="M50" s="5" t="inlineStr">
        <is>
          <t>Film article; downloaded as raw wikitext.</t>
        </is>
      </c>
    </row>
    <row r="51" ht="49" customHeight="1">
      <c r="A51" s="15" t="inlineStr">
        <is>
          <t>SOURCE-050</t>
        </is>
      </c>
      <c r="B51" s="5" t="inlineStr">
        <is>
          <t>FILM-045</t>
        </is>
      </c>
      <c r="C51" s="5" t="n"/>
      <c r="D51" s="5" t="inlineStr">
        <is>
          <t>Ram Tere Kitne Nam</t>
        </is>
      </c>
      <c r="E51" s="5" t="inlineStr">
        <is>
          <t>Wikipedia</t>
        </is>
      </c>
      <c r="F51" s="5" t="n"/>
      <c r="G51" s="5" t="n"/>
      <c r="H51" s="22" t="inlineStr">
        <is>
          <t>https://en.wikipedia.org/wiki/Ram_Tere_Kitne_Nam</t>
        </is>
      </c>
      <c r="I51" s="16" t="n">
        <v>46290</v>
      </c>
      <c r="J51" s="5" t="inlineStr">
        <is>
          <t>Infobox: release date, language, director, producers, production banner, writers, source material, song composer.</t>
        </is>
      </c>
      <c r="K51" s="5" t="inlineStr">
        <is>
          <t>Reference encyclopedia</t>
        </is>
      </c>
      <c r="L51" s="5" t="inlineStr">
        <is>
          <t>C</t>
        </is>
      </c>
      <c r="M51" s="5" t="inlineStr">
        <is>
          <t>Film article; downloaded as raw wikitext.</t>
        </is>
      </c>
    </row>
    <row r="52" ht="34" customHeight="1">
      <c r="A52" s="15" t="inlineStr">
        <is>
          <t>SOURCE-051</t>
        </is>
      </c>
      <c r="B52" s="5" t="inlineStr">
        <is>
          <t>FILM-053</t>
        </is>
      </c>
      <c r="C52" s="5" t="n"/>
      <c r="D52" s="5" t="inlineStr">
        <is>
          <t>Allah Rakha (film)</t>
        </is>
      </c>
      <c r="E52" s="5" t="inlineStr">
        <is>
          <t>Wikipedia</t>
        </is>
      </c>
      <c r="F52" s="5" t="n"/>
      <c r="G52" s="5" t="n"/>
      <c r="H52" s="22" t="inlineStr">
        <is>
          <t>https://en.wikipedia.org/wiki/Allah_Rakha_(film)</t>
        </is>
      </c>
      <c r="I52" s="16" t="n">
        <v>46290</v>
      </c>
      <c r="J52" s="5" t="inlineStr">
        <is>
          <t>Infobox: release date, language, director, producers, production banner, writers, song composer.</t>
        </is>
      </c>
      <c r="K52" s="5" t="inlineStr">
        <is>
          <t>Reference encyclopedia</t>
        </is>
      </c>
      <c r="L52" s="5" t="inlineStr">
        <is>
          <t>C</t>
        </is>
      </c>
      <c r="M52" s="5" t="inlineStr">
        <is>
          <t>Film article; downloaded as raw wikitext.</t>
        </is>
      </c>
    </row>
    <row r="53" ht="34" customHeight="1">
      <c r="A53" s="15" t="inlineStr">
        <is>
          <t>SOURCE-052</t>
        </is>
      </c>
      <c r="B53" s="5" t="inlineStr">
        <is>
          <t>FILM-054</t>
        </is>
      </c>
      <c r="C53" s="5" t="inlineStr">
        <is>
          <t>PAIR-043; PAIR-044</t>
        </is>
      </c>
      <c r="D53" s="5" t="inlineStr">
        <is>
          <t>Ek Chadar Maili Si</t>
        </is>
      </c>
      <c r="E53" s="5" t="inlineStr">
        <is>
          <t>Wikipedia</t>
        </is>
      </c>
      <c r="F53" s="5" t="n"/>
      <c r="G53" s="5" t="n"/>
      <c r="H53" s="22" t="inlineStr">
        <is>
          <t>https://en.wikipedia.org/wiki/Ek_Chadar_Maili_Si</t>
        </is>
      </c>
      <c r="I53" s="16" t="n">
        <v>46290</v>
      </c>
      <c r="J53" s="5" t="inlineStr">
        <is>
          <t>Infobox: release date, language, director, producers, writers, song composer, billing position.</t>
        </is>
      </c>
      <c r="K53" s="5" t="inlineStr">
        <is>
          <t>Reference encyclopedia</t>
        </is>
      </c>
      <c r="L53" s="5" t="inlineStr">
        <is>
          <t>C</t>
        </is>
      </c>
      <c r="M53" s="5" t="inlineStr">
        <is>
          <t>Film article; downloaded as raw wikitext.</t>
        </is>
      </c>
    </row>
    <row r="54" ht="49" customHeight="1">
      <c r="A54" s="15" t="inlineStr">
        <is>
          <t>SOURCE-053</t>
        </is>
      </c>
      <c r="B54" s="5" t="inlineStr">
        <is>
          <t>FILM-055</t>
        </is>
      </c>
      <c r="C54" s="5" t="inlineStr">
        <is>
          <t>PAIR-045</t>
        </is>
      </c>
      <c r="D54" s="5" t="inlineStr">
        <is>
          <t>Dosti Dushmani</t>
        </is>
      </c>
      <c r="E54" s="5" t="inlineStr">
        <is>
          <t>Wikipedia</t>
        </is>
      </c>
      <c r="F54" s="5" t="n"/>
      <c r="G54" s="5" t="n"/>
      <c r="H54" s="22" t="inlineStr">
        <is>
          <t>https://en.wikipedia.org/wiki/Dosti_Dushmani</t>
        </is>
      </c>
      <c r="I54" s="16" t="n">
        <v>46290</v>
      </c>
      <c r="J54" s="5" t="inlineStr">
        <is>
          <t>Infobox: release date, language, runtime, director, producers, production banner, writers, source material, song composer, billing position.</t>
        </is>
      </c>
      <c r="K54" s="5" t="inlineStr">
        <is>
          <t>Reference encyclopedia</t>
        </is>
      </c>
      <c r="L54" s="5" t="inlineStr">
        <is>
          <t>C</t>
        </is>
      </c>
      <c r="M54" s="5" t="inlineStr">
        <is>
          <t>Film article; downloaded as raw wikitext.</t>
        </is>
      </c>
    </row>
    <row r="55" ht="49" customHeight="1">
      <c r="A55" s="15" t="inlineStr">
        <is>
          <t>SOURCE-054</t>
        </is>
      </c>
      <c r="B55" s="5" t="inlineStr">
        <is>
          <t>FILM-056</t>
        </is>
      </c>
      <c r="C55" s="5" t="inlineStr">
        <is>
          <t>PAIR-046</t>
        </is>
      </c>
      <c r="D55" s="5" t="inlineStr">
        <is>
          <t>Nagina (1986 film)</t>
        </is>
      </c>
      <c r="E55" s="5" t="inlineStr">
        <is>
          <t>Wikipedia</t>
        </is>
      </c>
      <c r="F55" s="5" t="n"/>
      <c r="G55" s="5" t="n"/>
      <c r="H55" s="22" t="inlineStr">
        <is>
          <t>https://en.wikipedia.org/wiki/Nagina_(1986_film)</t>
        </is>
      </c>
      <c r="I55" s="16" t="n">
        <v>46290</v>
      </c>
      <c r="J55" s="5" t="inlineStr">
        <is>
          <t>Infobox: release date, language, director, producers, production banner, writers, song composer, lyricist, billing position.</t>
        </is>
      </c>
      <c r="K55" s="5" t="inlineStr">
        <is>
          <t>Reference encyclopedia</t>
        </is>
      </c>
      <c r="L55" s="5" t="inlineStr">
        <is>
          <t>C</t>
        </is>
      </c>
      <c r="M55" s="5" t="inlineStr">
        <is>
          <t>Film article; downloaded as raw wikitext.</t>
        </is>
      </c>
    </row>
    <row r="56" ht="49" customHeight="1">
      <c r="A56" s="15" t="inlineStr">
        <is>
          <t>SOURCE-055</t>
        </is>
      </c>
      <c r="B56" s="5" t="inlineStr">
        <is>
          <t>FILM-052</t>
        </is>
      </c>
      <c r="C56" s="5" t="inlineStr">
        <is>
          <t>PAIR-041; PAIR-042</t>
        </is>
      </c>
      <c r="D56" s="5" t="inlineStr">
        <is>
          <t>Naseeb Apna Apna (1986 film)</t>
        </is>
      </c>
      <c r="E56" s="5" t="inlineStr">
        <is>
          <t>Wikipedia</t>
        </is>
      </c>
      <c r="F56" s="5" t="n"/>
      <c r="G56" s="5" t="n"/>
      <c r="H56" s="22" t="inlineStr">
        <is>
          <t>https://en.wikipedia.org/wiki/Naseeb_Apna_Apna_(1986_film)</t>
        </is>
      </c>
      <c r="I56" s="16" t="n">
        <v>46290</v>
      </c>
      <c r="J56" s="5" t="inlineStr">
        <is>
          <t>Infobox: release date, language, director, producers, production banner, writers, source material, song composer, billing position.</t>
        </is>
      </c>
      <c r="K56" s="5" t="inlineStr">
        <is>
          <t>Reference encyclopedia</t>
        </is>
      </c>
      <c r="L56" s="5" t="inlineStr">
        <is>
          <t>C</t>
        </is>
      </c>
      <c r="M56" s="5" t="inlineStr">
        <is>
          <t>Film article; downloaded as raw wikitext.</t>
        </is>
      </c>
    </row>
    <row r="57" ht="34" customHeight="1">
      <c r="A57" s="15" t="inlineStr">
        <is>
          <t>SOURCE-056</t>
        </is>
      </c>
      <c r="B57" s="5" t="inlineStr">
        <is>
          <t>FILM-058</t>
        </is>
      </c>
      <c r="C57" s="5" t="n"/>
      <c r="D57" s="5" t="inlineStr">
        <is>
          <t>Pyar Ke Kabil</t>
        </is>
      </c>
      <c r="E57" s="5" t="inlineStr">
        <is>
          <t>Wikipedia</t>
        </is>
      </c>
      <c r="F57" s="5" t="n"/>
      <c r="G57" s="5" t="n"/>
      <c r="H57" s="22" t="inlineStr">
        <is>
          <t>https://en.wikipedia.org/wiki/Pyar_Ke_Kabil</t>
        </is>
      </c>
      <c r="I57" s="16" t="n">
        <v>46290</v>
      </c>
      <c r="J57" s="5" t="inlineStr">
        <is>
          <t>Infobox: release date, language, director, producers, song composer, billing position.</t>
        </is>
      </c>
      <c r="K57" s="5" t="inlineStr">
        <is>
          <t>Reference encyclopedia</t>
        </is>
      </c>
      <c r="L57" s="5" t="inlineStr">
        <is>
          <t>C</t>
        </is>
      </c>
      <c r="M57" s="5" t="inlineStr">
        <is>
          <t>Film article; downloaded as raw wikitext.</t>
        </is>
      </c>
    </row>
    <row r="58" ht="49" customHeight="1">
      <c r="A58" s="15" t="inlineStr">
        <is>
          <t>SOURCE-057</t>
        </is>
      </c>
      <c r="B58" s="5" t="inlineStr">
        <is>
          <t>FILM-059</t>
        </is>
      </c>
      <c r="C58" s="5" t="n"/>
      <c r="D58" s="5" t="inlineStr">
        <is>
          <t>Hawalaat</t>
        </is>
      </c>
      <c r="E58" s="5" t="inlineStr">
        <is>
          <t>Wikipedia</t>
        </is>
      </c>
      <c r="F58" s="5" t="n"/>
      <c r="G58" s="5" t="n"/>
      <c r="H58" s="22" t="inlineStr">
        <is>
          <t>https://en.wikipedia.org/wiki/Hawalaat</t>
        </is>
      </c>
      <c r="I58" s="16" t="n">
        <v>46290</v>
      </c>
      <c r="J58" s="5" t="inlineStr">
        <is>
          <t>Infobox: release date, language, runtime, director, producers, writers, song composer, lyricist, billing position.</t>
        </is>
      </c>
      <c r="K58" s="5" t="inlineStr">
        <is>
          <t>Reference encyclopedia</t>
        </is>
      </c>
      <c r="L58" s="5" t="inlineStr">
        <is>
          <t>C</t>
        </is>
      </c>
      <c r="M58" s="5" t="inlineStr">
        <is>
          <t>Film article; downloaded as raw wikitext.</t>
        </is>
      </c>
    </row>
    <row r="59" ht="49" customHeight="1">
      <c r="A59" s="15" t="inlineStr">
        <is>
          <t>SOURCE-058</t>
        </is>
      </c>
      <c r="B59" s="5" t="inlineStr">
        <is>
          <t>FILM-060</t>
        </is>
      </c>
      <c r="C59" s="5" t="n"/>
      <c r="D59" s="5" t="inlineStr">
        <is>
          <t>Khudgarz</t>
        </is>
      </c>
      <c r="E59" s="5" t="inlineStr">
        <is>
          <t>Wikipedia</t>
        </is>
      </c>
      <c r="F59" s="5" t="n"/>
      <c r="G59" s="5" t="n"/>
      <c r="H59" s="22" t="inlineStr">
        <is>
          <t>https://en.wikipedia.org/wiki/Khudgarz</t>
        </is>
      </c>
      <c r="I59" s="16" t="n">
        <v>46290</v>
      </c>
      <c r="J59" s="5" t="inlineStr">
        <is>
          <t>Infobox: release date, language, runtime, director, producers, production banner, writers, song composer.</t>
        </is>
      </c>
      <c r="K59" s="5" t="inlineStr">
        <is>
          <t>Reference encyclopedia</t>
        </is>
      </c>
      <c r="L59" s="5" t="inlineStr">
        <is>
          <t>C</t>
        </is>
      </c>
      <c r="M59" s="5" t="inlineStr">
        <is>
          <t>Film article; downloaded as raw wikitext.</t>
        </is>
      </c>
    </row>
    <row r="60" ht="49" customHeight="1">
      <c r="A60" s="15" t="inlineStr">
        <is>
          <t>SOURCE-059</t>
        </is>
      </c>
      <c r="B60" s="5" t="inlineStr">
        <is>
          <t>FILM-057</t>
        </is>
      </c>
      <c r="C60" s="5" t="n"/>
      <c r="D60" s="5" t="inlineStr">
        <is>
          <t>Khazana (1987 film)</t>
        </is>
      </c>
      <c r="E60" s="5" t="inlineStr">
        <is>
          <t>Wikipedia</t>
        </is>
      </c>
      <c r="F60" s="5" t="n"/>
      <c r="G60" s="5" t="n"/>
      <c r="H60" s="22" t="inlineStr">
        <is>
          <t>https://en.wikipedia.org/wiki/Khazana_(1987_film)</t>
        </is>
      </c>
      <c r="I60" s="16" t="n">
        <v>46290</v>
      </c>
      <c r="J60" s="5" t="inlineStr">
        <is>
          <t>Infobox: release date, language, runtime, director, producers, production banner, writers, song composer, lyricist.</t>
        </is>
      </c>
      <c r="K60" s="5" t="inlineStr">
        <is>
          <t>Reference encyclopedia</t>
        </is>
      </c>
      <c r="L60" s="5" t="inlineStr">
        <is>
          <t>C</t>
        </is>
      </c>
      <c r="M60" s="5" t="inlineStr">
        <is>
          <t>Film article; downloaded as raw wikitext.</t>
        </is>
      </c>
    </row>
    <row r="61" ht="49" customHeight="1">
      <c r="A61" s="15" t="inlineStr">
        <is>
          <t>SOURCE-060</t>
        </is>
      </c>
      <c r="B61" s="5" t="inlineStr">
        <is>
          <t>FILM-061</t>
        </is>
      </c>
      <c r="C61" s="5" t="n"/>
      <c r="D61" s="5" t="inlineStr">
        <is>
          <t>Sindoor (1987 film)</t>
        </is>
      </c>
      <c r="E61" s="5" t="inlineStr">
        <is>
          <t>Wikipedia</t>
        </is>
      </c>
      <c r="F61" s="5" t="n"/>
      <c r="G61" s="5" t="n"/>
      <c r="H61" s="22" t="inlineStr">
        <is>
          <t>https://en.wikipedia.org/wiki/Sindoor_(1987_film)</t>
        </is>
      </c>
      <c r="I61" s="16" t="n">
        <v>46290</v>
      </c>
      <c r="J61" s="5" t="inlineStr">
        <is>
          <t>Infobox: release date, language, runtime, director, producers, production banner, writers, source material, song composer.</t>
        </is>
      </c>
      <c r="K61" s="5" t="inlineStr">
        <is>
          <t>Reference encyclopedia</t>
        </is>
      </c>
      <c r="L61" s="5" t="inlineStr">
        <is>
          <t>C</t>
        </is>
      </c>
      <c r="M61" s="5" t="inlineStr">
        <is>
          <t>Film article; downloaded as raw wikitext.</t>
        </is>
      </c>
    </row>
    <row r="62" ht="64" customHeight="1">
      <c r="A62" s="15" t="inlineStr">
        <is>
          <t>SOURCE-061</t>
        </is>
      </c>
      <c r="B62" s="5" t="inlineStr">
        <is>
          <t>FILM-064</t>
        </is>
      </c>
      <c r="C62" s="5" t="inlineStr">
        <is>
          <t>PAIR-047; PAIR-048</t>
        </is>
      </c>
      <c r="D62" s="5" t="inlineStr">
        <is>
          <t>Ghar Ghar Ki Kahani (1988 film)</t>
        </is>
      </c>
      <c r="E62" s="5" t="inlineStr">
        <is>
          <t>Wikipedia</t>
        </is>
      </c>
      <c r="F62" s="5" t="n"/>
      <c r="G62" s="5" t="n"/>
      <c r="H62" s="22" t="inlineStr">
        <is>
          <t>https://en.wikipedia.org/wiki/Ghar_Ghar_Ki_Kahani_(1988_film)</t>
        </is>
      </c>
      <c r="I62" s="16" t="n">
        <v>46290</v>
      </c>
      <c r="J62" s="5" t="inlineStr">
        <is>
          <t>Infobox: release date, language, director, producers, writers, source material, song composer, lyricist, billing position, budget, worldwide gross, currency.</t>
        </is>
      </c>
      <c r="K62" s="5" t="inlineStr">
        <is>
          <t>Reference encyclopedia</t>
        </is>
      </c>
      <c r="L62" s="5" t="inlineStr">
        <is>
          <t>C</t>
        </is>
      </c>
      <c r="M62" s="5" t="inlineStr">
        <is>
          <t>Film article; downloaded as raw wikitext.</t>
        </is>
      </c>
    </row>
    <row r="63" ht="49" customHeight="1">
      <c r="A63" s="15" t="inlineStr">
        <is>
          <t>SOURCE-062</t>
        </is>
      </c>
      <c r="B63" s="5" t="inlineStr">
        <is>
          <t>FILM-065</t>
        </is>
      </c>
      <c r="C63" s="5" t="n"/>
      <c r="D63" s="5" t="inlineStr">
        <is>
          <t>Vijay (1988 film)</t>
        </is>
      </c>
      <c r="E63" s="5" t="inlineStr">
        <is>
          <t>Wikipedia</t>
        </is>
      </c>
      <c r="F63" s="5" t="n"/>
      <c r="G63" s="5" t="n"/>
      <c r="H63" s="22" t="inlineStr">
        <is>
          <t>https://en.wikipedia.org/wiki/Vijay_(1988_film)</t>
        </is>
      </c>
      <c r="I63" s="16" t="n">
        <v>46290</v>
      </c>
      <c r="J63" s="5" t="inlineStr">
        <is>
          <t>Infobox: release date, language, runtime, director, producers, production banner, writers, song composer, lyricist, billing position.</t>
        </is>
      </c>
      <c r="K63" s="5" t="inlineStr">
        <is>
          <t>Reference encyclopedia</t>
        </is>
      </c>
      <c r="L63" s="5" t="inlineStr">
        <is>
          <t>C</t>
        </is>
      </c>
      <c r="M63" s="5" t="inlineStr">
        <is>
          <t>Film article; downloaded as raw wikitext.</t>
        </is>
      </c>
    </row>
    <row r="64" ht="34" customHeight="1">
      <c r="A64" s="15" t="inlineStr">
        <is>
          <t>SOURCE-063</t>
        </is>
      </c>
      <c r="B64" s="5" t="inlineStr">
        <is>
          <t>FILM-066</t>
        </is>
      </c>
      <c r="C64" s="5" t="n"/>
      <c r="D64" s="5" t="inlineStr">
        <is>
          <t>Akarshan</t>
        </is>
      </c>
      <c r="E64" s="5" t="inlineStr">
        <is>
          <t>Wikipedia</t>
        </is>
      </c>
      <c r="F64" s="5" t="n"/>
      <c r="G64" s="5" t="n"/>
      <c r="H64" s="22" t="inlineStr">
        <is>
          <t>https://en.wikipedia.org/wiki/Akarshan</t>
        </is>
      </c>
      <c r="I64" s="16" t="n">
        <v>46290</v>
      </c>
      <c r="J64" s="5" t="inlineStr">
        <is>
          <t>Infobox: release date, language, director, producers, song composer.</t>
        </is>
      </c>
      <c r="K64" s="5" t="inlineStr">
        <is>
          <t>Reference encyclopedia</t>
        </is>
      </c>
      <c r="L64" s="5" t="inlineStr">
        <is>
          <t>C</t>
        </is>
      </c>
      <c r="M64" s="5" t="inlineStr">
        <is>
          <t>Film article; downloaded as raw wikitext.</t>
        </is>
      </c>
    </row>
    <row r="65" ht="49" customHeight="1">
      <c r="A65" s="15" t="inlineStr">
        <is>
          <t>SOURCE-064</t>
        </is>
      </c>
      <c r="B65" s="5" t="inlineStr">
        <is>
          <t>FILM-070</t>
        </is>
      </c>
      <c r="C65" s="5" t="inlineStr">
        <is>
          <t>PAIR-051</t>
        </is>
      </c>
      <c r="D65" s="5" t="inlineStr">
        <is>
          <t>Bade Ghar Ki Beti</t>
        </is>
      </c>
      <c r="E65" s="5" t="inlineStr">
        <is>
          <t>Wikipedia</t>
        </is>
      </c>
      <c r="F65" s="5" t="n"/>
      <c r="G65" s="5" t="n"/>
      <c r="H65" s="22" t="inlineStr">
        <is>
          <t>https://en.wikipedia.org/wiki/Bade_Ghar_Ki_Beti</t>
        </is>
      </c>
      <c r="I65" s="16" t="n">
        <v>46290</v>
      </c>
      <c r="J65" s="5" t="inlineStr">
        <is>
          <t>Infobox: release date, language, runtime, director, producers, writers, song composer, lyricist, billing position.</t>
        </is>
      </c>
      <c r="K65" s="5" t="inlineStr">
        <is>
          <t>Reference encyclopedia</t>
        </is>
      </c>
      <c r="L65" s="5" t="inlineStr">
        <is>
          <t>C</t>
        </is>
      </c>
      <c r="M65" s="5" t="inlineStr">
        <is>
          <t>Film article; downloaded as raw wikitext.</t>
        </is>
      </c>
    </row>
    <row r="66" ht="34" customHeight="1">
      <c r="A66" s="15" t="inlineStr">
        <is>
          <t>SOURCE-065</t>
        </is>
      </c>
      <c r="B66" s="5" t="inlineStr">
        <is>
          <t>FILM-071</t>
        </is>
      </c>
      <c r="C66" s="5" t="n"/>
      <c r="D66" s="5" t="inlineStr">
        <is>
          <t>Paraya Ghar</t>
        </is>
      </c>
      <c r="E66" s="5" t="inlineStr">
        <is>
          <t>Wikipedia</t>
        </is>
      </c>
      <c r="F66" s="5" t="n"/>
      <c r="G66" s="5" t="n"/>
      <c r="H66" s="22" t="inlineStr">
        <is>
          <t>https://en.wikipedia.org/wiki/Paraya_Ghar</t>
        </is>
      </c>
      <c r="I66" s="16" t="n">
        <v>46290</v>
      </c>
      <c r="J66" s="5" t="inlineStr">
        <is>
          <t>Infobox: release date, language, director, producers, song composer, billing position.</t>
        </is>
      </c>
      <c r="K66" s="5" t="inlineStr">
        <is>
          <t>Reference encyclopedia</t>
        </is>
      </c>
      <c r="L66" s="5" t="inlineStr">
        <is>
          <t>C</t>
        </is>
      </c>
      <c r="M66" s="5" t="inlineStr">
        <is>
          <t>Film article; downloaded as raw wikitext.</t>
        </is>
      </c>
    </row>
    <row r="67" ht="49" customHeight="1">
      <c r="A67" s="15" t="inlineStr">
        <is>
          <t>SOURCE-066</t>
        </is>
      </c>
      <c r="B67" s="5" t="inlineStr">
        <is>
          <t>FILM-072</t>
        </is>
      </c>
      <c r="C67" s="5" t="inlineStr">
        <is>
          <t>PAIR-052</t>
        </is>
      </c>
      <c r="D67" s="5" t="inlineStr">
        <is>
          <t>Khoj (1989 film)</t>
        </is>
      </c>
      <c r="E67" s="5" t="inlineStr">
        <is>
          <t>Wikipedia</t>
        </is>
      </c>
      <c r="F67" s="5" t="n"/>
      <c r="G67" s="5" t="n"/>
      <c r="H67" s="22" t="inlineStr">
        <is>
          <t>https://en.wikipedia.org/wiki/Khoj_(1989_film)</t>
        </is>
      </c>
      <c r="I67" s="16" t="n">
        <v>46290</v>
      </c>
      <c r="J67" s="5" t="inlineStr">
        <is>
          <t>Infobox: release date, language, director, producers, source material, song composer, billing position.</t>
        </is>
      </c>
      <c r="K67" s="5" t="inlineStr">
        <is>
          <t>Reference encyclopedia</t>
        </is>
      </c>
      <c r="L67" s="5" t="inlineStr">
        <is>
          <t>C</t>
        </is>
      </c>
      <c r="M67" s="5" t="inlineStr">
        <is>
          <t>Film article; downloaded as raw wikitext.</t>
        </is>
      </c>
    </row>
    <row r="68" ht="64" customHeight="1">
      <c r="A68" s="15" t="inlineStr">
        <is>
          <t>SOURCE-067</t>
        </is>
      </c>
      <c r="B68" s="5" t="inlineStr">
        <is>
          <t>FILM-074</t>
        </is>
      </c>
      <c r="C68" s="5" t="inlineStr">
        <is>
          <t>PAIR-053</t>
        </is>
      </c>
      <c r="D68" s="5" t="inlineStr">
        <is>
          <t>Chandni (1989 film)</t>
        </is>
      </c>
      <c r="E68" s="5" t="inlineStr">
        <is>
          <t>Wikipedia</t>
        </is>
      </c>
      <c r="F68" s="5" t="n"/>
      <c r="G68" s="5" t="n"/>
      <c r="H68" s="22" t="inlineStr">
        <is>
          <t>https://en.wikipedia.org/wiki/Chandni_(1989_film)</t>
        </is>
      </c>
      <c r="I68" s="16" t="n">
        <v>46290</v>
      </c>
      <c r="J68" s="5" t="inlineStr">
        <is>
          <t>Infobox: release date, language, runtime, director, producers, production banner, writers, song composer, lyricist, billing position, budget, currency.</t>
        </is>
      </c>
      <c r="K68" s="5" t="inlineStr">
        <is>
          <t>Reference encyclopedia</t>
        </is>
      </c>
      <c r="L68" s="5" t="inlineStr">
        <is>
          <t>C</t>
        </is>
      </c>
      <c r="M68" s="5" t="inlineStr">
        <is>
          <t>Film article; downloaded as raw wikitext.</t>
        </is>
      </c>
    </row>
    <row r="69" ht="49" customHeight="1">
      <c r="A69" s="15" t="inlineStr">
        <is>
          <t>SOURCE-068</t>
        </is>
      </c>
      <c r="B69" s="5" t="inlineStr">
        <is>
          <t>FILM-069</t>
        </is>
      </c>
      <c r="C69" s="5" t="n"/>
      <c r="D69" s="5" t="inlineStr">
        <is>
          <t>Hathyar (1989 film)</t>
        </is>
      </c>
      <c r="E69" s="5" t="inlineStr">
        <is>
          <t>Wikipedia</t>
        </is>
      </c>
      <c r="F69" s="5" t="n"/>
      <c r="G69" s="5" t="n"/>
      <c r="H69" s="22" t="inlineStr">
        <is>
          <t>https://en.wikipedia.org/wiki/Hathyar_(1989_film)</t>
        </is>
      </c>
      <c r="I69" s="16" t="n">
        <v>46290</v>
      </c>
      <c r="J69" s="5" t="inlineStr">
        <is>
          <t>Infobox: release date, language, runtime, director, producers, writers, song composer, billing position.</t>
        </is>
      </c>
      <c r="K69" s="5" t="inlineStr">
        <is>
          <t>Reference encyclopedia</t>
        </is>
      </c>
      <c r="L69" s="5" t="inlineStr">
        <is>
          <t>C</t>
        </is>
      </c>
      <c r="M69" s="5" t="inlineStr">
        <is>
          <t>Film article; downloaded as raw wikitext.</t>
        </is>
      </c>
    </row>
    <row r="70" ht="49" customHeight="1">
      <c r="A70" s="15" t="inlineStr">
        <is>
          <t>SOURCE-069</t>
        </is>
      </c>
      <c r="B70" s="5" t="inlineStr">
        <is>
          <t>FILM-068</t>
        </is>
      </c>
      <c r="C70" s="5" t="inlineStr">
        <is>
          <t>PAIR-049; PAIR-050</t>
        </is>
      </c>
      <c r="D70" s="5" t="inlineStr">
        <is>
          <t>Gharana (1989 film)</t>
        </is>
      </c>
      <c r="E70" s="5" t="inlineStr">
        <is>
          <t>Wikipedia</t>
        </is>
      </c>
      <c r="F70" s="5" t="n"/>
      <c r="G70" s="5" t="n"/>
      <c r="H70" s="22" t="inlineStr">
        <is>
          <t>https://en.wikipedia.org/wiki/Gharana_(1989_film)</t>
        </is>
      </c>
      <c r="I70" s="16" t="n">
        <v>46290</v>
      </c>
      <c r="J70" s="5" t="inlineStr">
        <is>
          <t>Infobox: release date, language, director, producers, production banner, writers, song composer, lyricist, billing position.</t>
        </is>
      </c>
      <c r="K70" s="5" t="inlineStr">
        <is>
          <t>Reference encyclopedia</t>
        </is>
      </c>
      <c r="L70" s="5" t="inlineStr">
        <is>
          <t>C</t>
        </is>
      </c>
      <c r="M70" s="5" t="inlineStr">
        <is>
          <t>Film article; downloaded as raw wikitext.</t>
        </is>
      </c>
    </row>
    <row r="71" ht="49" customHeight="1">
      <c r="A71" s="15" t="inlineStr">
        <is>
          <t>SOURCE-070</t>
        </is>
      </c>
      <c r="B71" s="5" t="inlineStr">
        <is>
          <t>FILM-073</t>
        </is>
      </c>
      <c r="C71" s="5" t="n"/>
      <c r="D71" s="5" t="inlineStr">
        <is>
          <t>Nigahen: Nagina Part II</t>
        </is>
      </c>
      <c r="E71" s="5" t="inlineStr">
        <is>
          <t>Wikipedia</t>
        </is>
      </c>
      <c r="F71" s="5" t="n"/>
      <c r="G71" s="5" t="n"/>
      <c r="H71" s="22" t="inlineStr">
        <is>
          <t>https://en.wikipedia.org/wiki/Nigahen:_Nagina_Part_II</t>
        </is>
      </c>
      <c r="I71" s="16" t="n">
        <v>46290</v>
      </c>
      <c r="J71" s="5" t="inlineStr">
        <is>
          <t>Infobox: release date, language, director, producers, production banner, writers, song composer, lyricist.</t>
        </is>
      </c>
      <c r="K71" s="5" t="inlineStr">
        <is>
          <t>Reference encyclopedia</t>
        </is>
      </c>
      <c r="L71" s="5" t="inlineStr">
        <is>
          <t>C</t>
        </is>
      </c>
      <c r="M71" s="5" t="inlineStr">
        <is>
          <t>Film article; downloaded as raw wikitext.</t>
        </is>
      </c>
    </row>
    <row r="72" ht="64" customHeight="1">
      <c r="A72" s="15" t="inlineStr">
        <is>
          <t>SOURCE-071</t>
        </is>
      </c>
      <c r="B72" s="5" t="inlineStr">
        <is>
          <t>FILM-075</t>
        </is>
      </c>
      <c r="C72" s="5" t="inlineStr">
        <is>
          <t>PAIR-054</t>
        </is>
      </c>
      <c r="D72" s="5" t="inlineStr">
        <is>
          <t>Amiri Garibi</t>
        </is>
      </c>
      <c r="E72" s="5" t="inlineStr">
        <is>
          <t>Wikipedia</t>
        </is>
      </c>
      <c r="F72" s="5" t="n"/>
      <c r="G72" s="5" t="n"/>
      <c r="H72" s="22" t="inlineStr">
        <is>
          <t>https://en.wikipedia.org/wiki/Amiri_Garibi</t>
        </is>
      </c>
      <c r="I72" s="16" t="n">
        <v>46290</v>
      </c>
      <c r="J72" s="5" t="inlineStr">
        <is>
          <t>Infobox: release date, language, runtime, director, producers, production banner, writers, source material, song composer, lyricist, billing position.</t>
        </is>
      </c>
      <c r="K72" s="5" t="inlineStr">
        <is>
          <t>Reference encyclopedia</t>
        </is>
      </c>
      <c r="L72" s="5" t="inlineStr">
        <is>
          <t>C</t>
        </is>
      </c>
      <c r="M72" s="5" t="inlineStr">
        <is>
          <t>Film article; downloaded as raw wikitext.</t>
        </is>
      </c>
    </row>
    <row r="73" ht="49" customHeight="1">
      <c r="A73" s="15" t="inlineStr">
        <is>
          <t>SOURCE-072</t>
        </is>
      </c>
      <c r="B73" s="5" t="inlineStr">
        <is>
          <t>FILM-076</t>
        </is>
      </c>
      <c r="C73" s="5" t="inlineStr">
        <is>
          <t>PAIR-055</t>
        </is>
      </c>
      <c r="D73" s="5" t="inlineStr">
        <is>
          <t>Azaad Desh Ke Gulam</t>
        </is>
      </c>
      <c r="E73" s="5" t="inlineStr">
        <is>
          <t>Wikipedia</t>
        </is>
      </c>
      <c r="F73" s="5" t="n"/>
      <c r="G73" s="5" t="n"/>
      <c r="H73" s="22" t="inlineStr">
        <is>
          <t>https://en.wikipedia.org/wiki/Azaad_Desh_Ke_Gulam</t>
        </is>
      </c>
      <c r="I73" s="16" t="n">
        <v>46290</v>
      </c>
      <c r="J73" s="5" t="inlineStr">
        <is>
          <t>Infobox: release date, language, director, producers, production banner, writers, source material, song composer, lyricist, billing position.</t>
        </is>
      </c>
      <c r="K73" s="5" t="inlineStr">
        <is>
          <t>Reference encyclopedia</t>
        </is>
      </c>
      <c r="L73" s="5" t="inlineStr">
        <is>
          <t>C</t>
        </is>
      </c>
      <c r="M73" s="5" t="inlineStr">
        <is>
          <t>Film article; downloaded as raw wikitext.</t>
        </is>
      </c>
    </row>
    <row r="74" ht="34" customHeight="1">
      <c r="A74" s="15" t="inlineStr">
        <is>
          <t>SOURCE-073</t>
        </is>
      </c>
      <c r="B74" s="5" t="inlineStr">
        <is>
          <t>FILM-078</t>
        </is>
      </c>
      <c r="C74" s="5" t="n"/>
      <c r="D74" s="5" t="inlineStr">
        <is>
          <t>Sher Dil (Indian film)</t>
        </is>
      </c>
      <c r="E74" s="5" t="inlineStr">
        <is>
          <t>Wikipedia</t>
        </is>
      </c>
      <c r="F74" s="5" t="n"/>
      <c r="G74" s="5" t="n"/>
      <c r="H74" s="22" t="inlineStr">
        <is>
          <t>https://en.wikipedia.org/wiki/Sher_Dil_(Indian_film)</t>
        </is>
      </c>
      <c r="I74" s="16" t="n">
        <v>46290</v>
      </c>
      <c r="J74" s="5" t="inlineStr">
        <is>
          <t>Infobox: release date, language, director, producers, song composer, billing position.</t>
        </is>
      </c>
      <c r="K74" s="5" t="inlineStr">
        <is>
          <t>Reference encyclopedia</t>
        </is>
      </c>
      <c r="L74" s="5" t="inlineStr">
        <is>
          <t>C</t>
        </is>
      </c>
      <c r="M74" s="5" t="inlineStr">
        <is>
          <t>Film article; downloaded as raw wikitext.</t>
        </is>
      </c>
    </row>
    <row r="75" ht="49" customHeight="1">
      <c r="A75" s="15" t="inlineStr">
        <is>
          <t>SOURCE-074</t>
        </is>
      </c>
      <c r="B75" s="5" t="inlineStr">
        <is>
          <t>FILM-077</t>
        </is>
      </c>
      <c r="C75" s="5" t="inlineStr">
        <is>
          <t>PAIR-056</t>
        </is>
      </c>
      <c r="D75" s="5" t="inlineStr">
        <is>
          <t>Sheshnaag (film)</t>
        </is>
      </c>
      <c r="E75" s="5" t="inlineStr">
        <is>
          <t>Wikipedia</t>
        </is>
      </c>
      <c r="F75" s="5" t="n"/>
      <c r="G75" s="5" t="n"/>
      <c r="H75" s="22" t="inlineStr">
        <is>
          <t>https://en.wikipedia.org/wiki/Sheshnaag_(film)</t>
        </is>
      </c>
      <c r="I75" s="16" t="n">
        <v>46290</v>
      </c>
      <c r="J75" s="5" t="inlineStr">
        <is>
          <t>Infobox: release date, language, runtime, director, producers, production banner, writers, song composer, billing position.</t>
        </is>
      </c>
      <c r="K75" s="5" t="inlineStr">
        <is>
          <t>Reference encyclopedia</t>
        </is>
      </c>
      <c r="L75" s="5" t="inlineStr">
        <is>
          <t>C</t>
        </is>
      </c>
      <c r="M75" s="5" t="inlineStr">
        <is>
          <t>Film article; downloaded as raw wikitext.</t>
        </is>
      </c>
    </row>
    <row r="76" ht="64" customHeight="1">
      <c r="A76" s="15" t="inlineStr">
        <is>
          <t>SOURCE-075</t>
        </is>
      </c>
      <c r="B76" s="5" t="inlineStr">
        <is>
          <t>FILM-080</t>
        </is>
      </c>
      <c r="C76" s="5" t="n"/>
      <c r="D76" s="5" t="inlineStr">
        <is>
          <t>Ajooba</t>
        </is>
      </c>
      <c r="E76" s="5" t="inlineStr">
        <is>
          <t>Wikipedia</t>
        </is>
      </c>
      <c r="F76" s="5" t="n"/>
      <c r="G76" s="5" t="n"/>
      <c r="H76" s="22" t="inlineStr">
        <is>
          <t>https://en.wikipedia.org/wiki/Ajooba</t>
        </is>
      </c>
      <c r="I76" s="16" t="n">
        <v>46290</v>
      </c>
      <c r="J76" s="5" t="inlineStr">
        <is>
          <t>Infobox: release date, language, runtime, director, producers, production banner, writers, song composer, background score composer, billing position.</t>
        </is>
      </c>
      <c r="K76" s="5" t="inlineStr">
        <is>
          <t>Reference encyclopedia</t>
        </is>
      </c>
      <c r="L76" s="5" t="inlineStr">
        <is>
          <t>C</t>
        </is>
      </c>
      <c r="M76" s="5" t="inlineStr">
        <is>
          <t>Film article; downloaded as raw wikitext.</t>
        </is>
      </c>
    </row>
    <row r="77" ht="49" customHeight="1">
      <c r="A77" s="15" t="inlineStr">
        <is>
          <t>SOURCE-076</t>
        </is>
      </c>
      <c r="B77" s="5" t="inlineStr">
        <is>
          <t>FILM-081</t>
        </is>
      </c>
      <c r="C77" s="5" t="inlineStr">
        <is>
          <t>PAIR-057; PAIR-058</t>
        </is>
      </c>
      <c r="D77" s="5" t="inlineStr">
        <is>
          <t>Henna (film)</t>
        </is>
      </c>
      <c r="E77" s="5" t="inlineStr">
        <is>
          <t>Wikipedia</t>
        </is>
      </c>
      <c r="F77" s="5" t="n"/>
      <c r="G77" s="5" t="n"/>
      <c r="H77" s="22" t="inlineStr">
        <is>
          <t>https://en.wikipedia.org/wiki/Henna_(film)</t>
        </is>
      </c>
      <c r="I77" s="16" t="n">
        <v>46290</v>
      </c>
      <c r="J77" s="5" t="inlineStr">
        <is>
          <t>Infobox: release date, language, runtime, director, producers, production banner, writers, song composer, billing position, budget, currency.</t>
        </is>
      </c>
      <c r="K77" s="5" t="inlineStr">
        <is>
          <t>Reference encyclopedia</t>
        </is>
      </c>
      <c r="L77" s="5" t="inlineStr">
        <is>
          <t>C</t>
        </is>
      </c>
      <c r="M77" s="5" t="inlineStr">
        <is>
          <t>Film article; downloaded as raw wikitext.</t>
        </is>
      </c>
    </row>
    <row r="78" ht="49" customHeight="1">
      <c r="A78" s="15" t="inlineStr">
        <is>
          <t>SOURCE-077</t>
        </is>
      </c>
      <c r="B78" s="5" t="inlineStr">
        <is>
          <t>FILM-082</t>
        </is>
      </c>
      <c r="C78" s="5" t="n"/>
      <c r="D78" s="5" t="inlineStr">
        <is>
          <t>Ranbhoomi</t>
        </is>
      </c>
      <c r="E78" s="5" t="inlineStr">
        <is>
          <t>Wikipedia</t>
        </is>
      </c>
      <c r="F78" s="5" t="n"/>
      <c r="G78" s="5" t="n"/>
      <c r="H78" s="22" t="inlineStr">
        <is>
          <t>https://en.wikipedia.org/wiki/Ranbhoomi</t>
        </is>
      </c>
      <c r="I78" s="16" t="n">
        <v>46290</v>
      </c>
      <c r="J78" s="5" t="inlineStr">
        <is>
          <t>Infobox: release date, language, runtime, director, producers, production banner, writers, song composer, billing position.</t>
        </is>
      </c>
      <c r="K78" s="5" t="inlineStr">
        <is>
          <t>Reference encyclopedia</t>
        </is>
      </c>
      <c r="L78" s="5" t="inlineStr">
        <is>
          <t>C</t>
        </is>
      </c>
      <c r="M78" s="5" t="inlineStr">
        <is>
          <t>Film article; downloaded as raw wikitext.</t>
        </is>
      </c>
    </row>
    <row r="79" ht="34" customHeight="1">
      <c r="A79" s="15" t="inlineStr">
        <is>
          <t>SOURCE-078</t>
        </is>
      </c>
      <c r="B79" s="5" t="inlineStr">
        <is>
          <t>FILM-083</t>
        </is>
      </c>
      <c r="C79" s="5" t="inlineStr">
        <is>
          <t>PAIR-059</t>
        </is>
      </c>
      <c r="D79" s="5" t="inlineStr">
        <is>
          <t>Banjaran</t>
        </is>
      </c>
      <c r="E79" s="5" t="inlineStr">
        <is>
          <t>Wikipedia</t>
        </is>
      </c>
      <c r="F79" s="5" t="n"/>
      <c r="G79" s="5" t="n"/>
      <c r="H79" s="22" t="inlineStr">
        <is>
          <t>https://en.wikipedia.org/wiki/Banjaran</t>
        </is>
      </c>
      <c r="I79" s="16" t="n">
        <v>46290</v>
      </c>
      <c r="J79" s="5" t="inlineStr">
        <is>
          <t>Infobox: release date, language, director, producers, song composer, lyricist, billing position.</t>
        </is>
      </c>
      <c r="K79" s="5" t="inlineStr">
        <is>
          <t>Reference encyclopedia</t>
        </is>
      </c>
      <c r="L79" s="5" t="inlineStr">
        <is>
          <t>C</t>
        </is>
      </c>
      <c r="M79" s="5" t="inlineStr">
        <is>
          <t>Film article; downloaded as raw wikitext.</t>
        </is>
      </c>
    </row>
    <row r="80" ht="49" customHeight="1">
      <c r="A80" s="15" t="inlineStr">
        <is>
          <t>SOURCE-079</t>
        </is>
      </c>
      <c r="B80" s="5" t="inlineStr">
        <is>
          <t>FILM-079</t>
        </is>
      </c>
      <c r="C80" s="5" t="n"/>
      <c r="D80" s="5" t="inlineStr">
        <is>
          <t>Ghar Parivar</t>
        </is>
      </c>
      <c r="E80" s="5" t="inlineStr">
        <is>
          <t>Wikipedia</t>
        </is>
      </c>
      <c r="F80" s="5" t="n"/>
      <c r="G80" s="5" t="n"/>
      <c r="H80" s="22" t="inlineStr">
        <is>
          <t>https://en.wikipedia.org/wiki/Ghar_Parivar</t>
        </is>
      </c>
      <c r="I80" s="16" t="n">
        <v>46290</v>
      </c>
      <c r="J80" s="5" t="inlineStr">
        <is>
          <t>Infobox: release date, language, director, producers, writers, song composer, lyricist, billing position.</t>
        </is>
      </c>
      <c r="K80" s="5" t="inlineStr">
        <is>
          <t>Reference encyclopedia</t>
        </is>
      </c>
      <c r="L80" s="5" t="inlineStr">
        <is>
          <t>C</t>
        </is>
      </c>
      <c r="M80" s="5" t="inlineStr">
        <is>
          <t>Film article; downloaded as raw wikitext.</t>
        </is>
      </c>
    </row>
    <row r="81" ht="49" customHeight="1">
      <c r="A81" s="15" t="inlineStr">
        <is>
          <t>SOURCE-080</t>
        </is>
      </c>
      <c r="B81" s="5" t="inlineStr">
        <is>
          <t>FILM-084</t>
        </is>
      </c>
      <c r="C81" s="5" t="inlineStr">
        <is>
          <t>PAIR-060</t>
        </is>
      </c>
      <c r="D81" s="5" t="inlineStr">
        <is>
          <t>Kasak (1992 film)</t>
        </is>
      </c>
      <c r="E81" s="5" t="inlineStr">
        <is>
          <t>Wikipedia</t>
        </is>
      </c>
      <c r="F81" s="5" t="n"/>
      <c r="G81" s="5" t="n"/>
      <c r="H81" s="22" t="inlineStr">
        <is>
          <t>https://en.wikipedia.org/wiki/Kasak_(1992_film)</t>
        </is>
      </c>
      <c r="I81" s="16" t="n">
        <v>46290</v>
      </c>
      <c r="J81" s="5" t="inlineStr">
        <is>
          <t>Infobox: release date, language, director, writers, source material, song composer, billing position.</t>
        </is>
      </c>
      <c r="K81" s="5" t="inlineStr">
        <is>
          <t>Reference encyclopedia</t>
        </is>
      </c>
      <c r="L81" s="5" t="inlineStr">
        <is>
          <t>C</t>
        </is>
      </c>
      <c r="M81" s="5" t="inlineStr">
        <is>
          <t>Film article; downloaded as raw wikitext.</t>
        </is>
      </c>
    </row>
    <row r="82" ht="49" customHeight="1">
      <c r="A82" s="15" t="inlineStr">
        <is>
          <t>SOURCE-081</t>
        </is>
      </c>
      <c r="B82" s="5" t="inlineStr">
        <is>
          <t>FILM-087</t>
        </is>
      </c>
      <c r="C82" s="5" t="inlineStr">
        <is>
          <t>PAIR-062</t>
        </is>
      </c>
      <c r="D82" s="5" t="inlineStr">
        <is>
          <t>Deewana (1992 film)</t>
        </is>
      </c>
      <c r="E82" s="5" t="inlineStr">
        <is>
          <t>Wikipedia</t>
        </is>
      </c>
      <c r="F82" s="5" t="n"/>
      <c r="G82" s="5" t="n"/>
      <c r="H82" s="22" t="inlineStr">
        <is>
          <t>https://en.wikipedia.org/wiki/Deewana_(1992_film)</t>
        </is>
      </c>
      <c r="I82" s="16" t="n">
        <v>46290</v>
      </c>
      <c r="J82" s="5" t="inlineStr">
        <is>
          <t>Infobox: release date, language, runtime, director, producers, production banner, writers, song composer, lyricist, billing position.</t>
        </is>
      </c>
      <c r="K82" s="5" t="inlineStr">
        <is>
          <t>Reference encyclopedia</t>
        </is>
      </c>
      <c r="L82" s="5" t="inlineStr">
        <is>
          <t>C</t>
        </is>
      </c>
      <c r="M82" s="5" t="inlineStr">
        <is>
          <t>Film article; downloaded as raw wikitext.</t>
        </is>
      </c>
    </row>
    <row r="83" ht="49" customHeight="1">
      <c r="A83" s="15" t="inlineStr">
        <is>
          <t>SOURCE-082</t>
        </is>
      </c>
      <c r="B83" s="5" t="inlineStr">
        <is>
          <t>FILM-089</t>
        </is>
      </c>
      <c r="C83" s="5" t="inlineStr">
        <is>
          <t>PAIR-063</t>
        </is>
      </c>
      <c r="D83" s="5" t="inlineStr">
        <is>
          <t>Bol Radha Bol</t>
        </is>
      </c>
      <c r="E83" s="5" t="inlineStr">
        <is>
          <t>Wikipedia</t>
        </is>
      </c>
      <c r="F83" s="5" t="n"/>
      <c r="G83" s="5" t="n"/>
      <c r="H83" s="22" t="inlineStr">
        <is>
          <t>https://en.wikipedia.org/wiki/Bol_Radha_Bol</t>
        </is>
      </c>
      <c r="I83" s="16" t="n">
        <v>46290</v>
      </c>
      <c r="J83" s="5" t="inlineStr">
        <is>
          <t>Infobox: release date, language, director, producers, production banner, writers, song composer, lyricist, billing position.</t>
        </is>
      </c>
      <c r="K83" s="5" t="inlineStr">
        <is>
          <t>Reference encyclopedia</t>
        </is>
      </c>
      <c r="L83" s="5" t="inlineStr">
        <is>
          <t>C</t>
        </is>
      </c>
      <c r="M83" s="5" t="inlineStr">
        <is>
          <t>Film article; downloaded as raw wikitext.</t>
        </is>
      </c>
    </row>
    <row r="84" ht="49" customHeight="1">
      <c r="A84" s="15" t="inlineStr">
        <is>
          <t>SOURCE-083</t>
        </is>
      </c>
      <c r="B84" s="5" t="inlineStr">
        <is>
          <t>FILM-088</t>
        </is>
      </c>
      <c r="C84" s="5" t="n"/>
      <c r="D84" s="5" t="inlineStr">
        <is>
          <t>Honeymoon (1992 film)</t>
        </is>
      </c>
      <c r="E84" s="5" t="inlineStr">
        <is>
          <t>Wikipedia</t>
        </is>
      </c>
      <c r="F84" s="5" t="n"/>
      <c r="G84" s="5" t="n"/>
      <c r="H84" s="22" t="inlineStr">
        <is>
          <t>https://en.wikipedia.org/wiki/Honeymoon_(1992_film)</t>
        </is>
      </c>
      <c r="I84" s="16" t="n">
        <v>46290</v>
      </c>
      <c r="J84" s="5" t="inlineStr">
        <is>
          <t>Infobox: release date, language, runtime, director, producers, writers, source material, song composer, billing position.</t>
        </is>
      </c>
      <c r="K84" s="5" t="inlineStr">
        <is>
          <t>Reference encyclopedia</t>
        </is>
      </c>
      <c r="L84" s="5" t="inlineStr">
        <is>
          <t>C</t>
        </is>
      </c>
      <c r="M84" s="5" t="inlineStr">
        <is>
          <t>Film article; downloaded as raw wikitext.</t>
        </is>
      </c>
    </row>
    <row r="85" ht="49" customHeight="1">
      <c r="A85" s="15" t="inlineStr">
        <is>
          <t>SOURCE-084</t>
        </is>
      </c>
      <c r="B85" s="5" t="inlineStr">
        <is>
          <t>FILM-086</t>
        </is>
      </c>
      <c r="C85" s="5" t="inlineStr">
        <is>
          <t>PAIR-061</t>
        </is>
      </c>
      <c r="D85" s="5" t="inlineStr">
        <is>
          <t>Rishta Ho To Aisa</t>
        </is>
      </c>
      <c r="E85" s="5" t="inlineStr">
        <is>
          <t>Wikipedia</t>
        </is>
      </c>
      <c r="F85" s="5" t="n"/>
      <c r="G85" s="5" t="n"/>
      <c r="H85" s="22" t="inlineStr">
        <is>
          <t>https://en.wikipedia.org/wiki/Rishta_Ho_To_Aisa</t>
        </is>
      </c>
      <c r="I85" s="16" t="n">
        <v>46290</v>
      </c>
      <c r="J85" s="5" t="inlineStr">
        <is>
          <t>Infobox: release date, language, runtime, director, producers, production banner, writers, song composer, billing position.</t>
        </is>
      </c>
      <c r="K85" s="5" t="inlineStr">
        <is>
          <t>Reference encyclopedia</t>
        </is>
      </c>
      <c r="L85" s="5" t="inlineStr">
        <is>
          <t>C</t>
        </is>
      </c>
      <c r="M85" s="5" t="inlineStr">
        <is>
          <t>Film article; downloaded as raw wikitext.</t>
        </is>
      </c>
    </row>
    <row r="86" ht="34" customHeight="1">
      <c r="A86" s="15" t="inlineStr">
        <is>
          <t>SOURCE-085</t>
        </is>
      </c>
      <c r="B86" s="5" t="inlineStr">
        <is>
          <t>FILM-092</t>
        </is>
      </c>
      <c r="C86" s="5" t="inlineStr">
        <is>
          <t>PAIR-064</t>
        </is>
      </c>
      <c r="D86" s="5" t="inlineStr">
        <is>
          <t>Shreemaan Aashique</t>
        </is>
      </c>
      <c r="E86" s="5" t="inlineStr">
        <is>
          <t>Wikipedia</t>
        </is>
      </c>
      <c r="F86" s="5" t="n"/>
      <c r="G86" s="5" t="n"/>
      <c r="H86" s="22" t="inlineStr">
        <is>
          <t>https://en.wikipedia.org/wiki/Shreemaan_Aashique</t>
        </is>
      </c>
      <c r="I86" s="16" t="n">
        <v>46290</v>
      </c>
      <c r="J86" s="5" t="inlineStr">
        <is>
          <t>Infobox: release date, language, director, producers, writers, song composer, billing position.</t>
        </is>
      </c>
      <c r="K86" s="5" t="inlineStr">
        <is>
          <t>Reference encyclopedia</t>
        </is>
      </c>
      <c r="L86" s="5" t="inlineStr">
        <is>
          <t>C</t>
        </is>
      </c>
      <c r="M86" s="5" t="inlineStr">
        <is>
          <t>Film article; downloaded as raw wikitext.</t>
        </is>
      </c>
    </row>
    <row r="87" ht="64" customHeight="1">
      <c r="A87" s="15" t="inlineStr">
        <is>
          <t>SOURCE-086</t>
        </is>
      </c>
      <c r="B87" s="5" t="inlineStr">
        <is>
          <t>FILM-093</t>
        </is>
      </c>
      <c r="C87" s="5" t="inlineStr">
        <is>
          <t>PAIR-065</t>
        </is>
      </c>
      <c r="D87" s="5" t="inlineStr">
        <is>
          <t>Damini</t>
        </is>
      </c>
      <c r="E87" s="5" t="inlineStr">
        <is>
          <t>Wikipedia</t>
        </is>
      </c>
      <c r="F87" s="5" t="n"/>
      <c r="G87" s="5" t="n"/>
      <c r="H87" s="22" t="inlineStr">
        <is>
          <t>https://en.wikipedia.org/wiki/Damini</t>
        </is>
      </c>
      <c r="I87" s="16" t="n">
        <v>46290</v>
      </c>
      <c r="J87" s="5" t="inlineStr">
        <is>
          <t>Infobox: release date, language, runtime, director, producers, production banner, writers, song composer, background score composer, lyricist, billing position.</t>
        </is>
      </c>
      <c r="K87" s="5" t="inlineStr">
        <is>
          <t>Reference encyclopedia</t>
        </is>
      </c>
      <c r="L87" s="5" t="inlineStr">
        <is>
          <t>C</t>
        </is>
      </c>
      <c r="M87" s="5" t="inlineStr">
        <is>
          <t>Film article; downloaded as raw wikitext.</t>
        </is>
      </c>
    </row>
    <row r="88" ht="49" customHeight="1">
      <c r="A88" s="15" t="inlineStr">
        <is>
          <t>SOURCE-087</t>
        </is>
      </c>
      <c r="B88" s="5" t="inlineStr">
        <is>
          <t>FILM-095</t>
        </is>
      </c>
      <c r="C88" s="5" t="inlineStr">
        <is>
          <t>PAIR-066</t>
        </is>
      </c>
      <c r="D88" s="5" t="inlineStr">
        <is>
          <t>Izzat Ki Roti</t>
        </is>
      </c>
      <c r="E88" s="5" t="inlineStr">
        <is>
          <t>Wikipedia</t>
        </is>
      </c>
      <c r="F88" s="5" t="n"/>
      <c r="G88" s="5" t="n"/>
      <c r="H88" s="22" t="inlineStr">
        <is>
          <t>https://en.wikipedia.org/wiki/Izzat_Ki_Roti</t>
        </is>
      </c>
      <c r="I88" s="16" t="n">
        <v>46290</v>
      </c>
      <c r="J88" s="5" t="inlineStr">
        <is>
          <t>Infobox: release date, language, director, producers, production banner, writers, song composer, lyricist, billing position.</t>
        </is>
      </c>
      <c r="K88" s="5" t="inlineStr">
        <is>
          <t>Reference encyclopedia</t>
        </is>
      </c>
      <c r="L88" s="5" t="inlineStr">
        <is>
          <t>C</t>
        </is>
      </c>
      <c r="M88" s="5" t="inlineStr">
        <is>
          <t>Film article; downloaded as raw wikitext.</t>
        </is>
      </c>
    </row>
    <row r="89" ht="49" customHeight="1">
      <c r="A89" s="15" t="inlineStr">
        <is>
          <t>SOURCE-088</t>
        </is>
      </c>
      <c r="B89" s="5" t="inlineStr">
        <is>
          <t>FILM-090</t>
        </is>
      </c>
      <c r="C89" s="5" t="n"/>
      <c r="D89" s="5" t="inlineStr">
        <is>
          <t>Dhartiputra</t>
        </is>
      </c>
      <c r="E89" s="5" t="inlineStr">
        <is>
          <t>Wikipedia</t>
        </is>
      </c>
      <c r="F89" s="5" t="n"/>
      <c r="G89" s="5" t="n"/>
      <c r="H89" s="22" t="inlineStr">
        <is>
          <t>https://en.wikipedia.org/wiki/Dhartiputra</t>
        </is>
      </c>
      <c r="I89" s="16" t="n">
        <v>46290</v>
      </c>
      <c r="J89" s="5" t="inlineStr">
        <is>
          <t>Infobox: release date, language, director, producers, production banner, writers, song composer, billing position.</t>
        </is>
      </c>
      <c r="K89" s="5" t="inlineStr">
        <is>
          <t>Reference encyclopedia</t>
        </is>
      </c>
      <c r="L89" s="5" t="inlineStr">
        <is>
          <t>C</t>
        </is>
      </c>
      <c r="M89" s="5" t="inlineStr">
        <is>
          <t>Film article; downloaded as raw wikitext.</t>
        </is>
      </c>
    </row>
    <row r="90" ht="49" customHeight="1">
      <c r="A90" s="15" t="inlineStr">
        <is>
          <t>SOURCE-089</t>
        </is>
      </c>
      <c r="B90" s="5" t="inlineStr">
        <is>
          <t>FILM-096</t>
        </is>
      </c>
      <c r="C90" s="5" t="n"/>
      <c r="D90" s="5" t="inlineStr">
        <is>
          <t>Anmol</t>
        </is>
      </c>
      <c r="E90" s="5" t="inlineStr">
        <is>
          <t>Wikipedia</t>
        </is>
      </c>
      <c r="F90" s="5" t="n"/>
      <c r="G90" s="5" t="n"/>
      <c r="H90" s="22" t="inlineStr">
        <is>
          <t>https://en.wikipedia.org/wiki/Anmol</t>
        </is>
      </c>
      <c r="I90" s="16" t="n">
        <v>46290</v>
      </c>
      <c r="J90" s="5" t="inlineStr">
        <is>
          <t>Infobox: release date, language, runtime, director, producers, production banner, writers, source material, song composer, billing position.</t>
        </is>
      </c>
      <c r="K90" s="5" t="inlineStr">
        <is>
          <t>Reference encyclopedia</t>
        </is>
      </c>
      <c r="L90" s="5" t="inlineStr">
        <is>
          <t>C</t>
        </is>
      </c>
      <c r="M90" s="5" t="inlineStr">
        <is>
          <t>Film article; downloaded as raw wikitext.</t>
        </is>
      </c>
    </row>
    <row r="91" ht="49" customHeight="1">
      <c r="A91" s="15" t="inlineStr">
        <is>
          <t>SOURCE-090</t>
        </is>
      </c>
      <c r="B91" s="5" t="inlineStr">
        <is>
          <t>FILM-097</t>
        </is>
      </c>
      <c r="C91" s="5" t="n"/>
      <c r="D91" s="5" t="inlineStr">
        <is>
          <t>Gurudev (film)</t>
        </is>
      </c>
      <c r="E91" s="5" t="inlineStr">
        <is>
          <t>Wikipedia</t>
        </is>
      </c>
      <c r="F91" s="5" t="n"/>
      <c r="G91" s="5" t="n"/>
      <c r="H91" s="22" t="inlineStr">
        <is>
          <t>https://en.wikipedia.org/wiki/Gurudev_(film)</t>
        </is>
      </c>
      <c r="I91" s="16" t="n">
        <v>46290</v>
      </c>
      <c r="J91" s="5" t="inlineStr">
        <is>
          <t>Infobox: release date, language, runtime, director, producers, writers, song composer, lyricist, billing position.</t>
        </is>
      </c>
      <c r="K91" s="5" t="inlineStr">
        <is>
          <t>Reference encyclopedia</t>
        </is>
      </c>
      <c r="L91" s="5" t="inlineStr">
        <is>
          <t>C</t>
        </is>
      </c>
      <c r="M91" s="5" t="inlineStr">
        <is>
          <t>Film article; downloaded as raw wikitext.</t>
        </is>
      </c>
    </row>
    <row r="92" ht="49" customHeight="1">
      <c r="A92" s="15" t="inlineStr">
        <is>
          <t>SOURCE-091</t>
        </is>
      </c>
      <c r="B92" s="5" t="inlineStr">
        <is>
          <t>FILM-094</t>
        </is>
      </c>
      <c r="C92" s="5" t="n"/>
      <c r="D92" s="5" t="inlineStr">
        <is>
          <t>Sahibaan</t>
        </is>
      </c>
      <c r="E92" s="5" t="inlineStr">
        <is>
          <t>Wikipedia</t>
        </is>
      </c>
      <c r="F92" s="5" t="n"/>
      <c r="G92" s="5" t="n"/>
      <c r="H92" s="22" t="inlineStr">
        <is>
          <t>https://en.wikipedia.org/wiki/Sahibaan</t>
        </is>
      </c>
      <c r="I92" s="16" t="n">
        <v>46290</v>
      </c>
      <c r="J92" s="5" t="inlineStr">
        <is>
          <t>Infobox: release date, language, runtime, director, producers, writers, song composer, billing position.</t>
        </is>
      </c>
      <c r="K92" s="5" t="inlineStr">
        <is>
          <t>Reference encyclopedia</t>
        </is>
      </c>
      <c r="L92" s="5" t="inlineStr">
        <is>
          <t>C</t>
        </is>
      </c>
      <c r="M92" s="5" t="inlineStr">
        <is>
          <t>Film article; downloaded as raw wikitext.</t>
        </is>
      </c>
    </row>
    <row r="93" ht="64" customHeight="1">
      <c r="A93" s="15" t="inlineStr">
        <is>
          <t>SOURCE-092</t>
        </is>
      </c>
      <c r="B93" s="5" t="inlineStr">
        <is>
          <t>FILM-100</t>
        </is>
      </c>
      <c r="C93" s="5" t="inlineStr">
        <is>
          <t>PAIR-068</t>
        </is>
      </c>
      <c r="D93" s="5" t="inlineStr">
        <is>
          <t>Saajan Ka Ghar</t>
        </is>
      </c>
      <c r="E93" s="5" t="inlineStr">
        <is>
          <t>Wikipedia</t>
        </is>
      </c>
      <c r="F93" s="5" t="n"/>
      <c r="G93" s="5" t="n"/>
      <c r="H93" s="22" t="inlineStr">
        <is>
          <t>https://en.wikipedia.org/wiki/Saajan_Ka_Ghar</t>
        </is>
      </c>
      <c r="I93" s="16" t="n">
        <v>46290</v>
      </c>
      <c r="J93" s="5" t="inlineStr">
        <is>
          <t>Infobox: release date, language, director, producers, production banner, writers, source material, song composer, background score composer, lyricist, billing position.</t>
        </is>
      </c>
      <c r="K93" s="5" t="inlineStr">
        <is>
          <t>Reference encyclopedia</t>
        </is>
      </c>
      <c r="L93" s="5" t="inlineStr">
        <is>
          <t>C</t>
        </is>
      </c>
      <c r="M93" s="5" t="inlineStr">
        <is>
          <t>Film article; downloaded as raw wikitext.</t>
        </is>
      </c>
    </row>
    <row r="94" ht="49" customHeight="1">
      <c r="A94" s="15" t="inlineStr">
        <is>
          <t>SOURCE-093</t>
        </is>
      </c>
      <c r="B94" s="5" t="inlineStr">
        <is>
          <t>FILM-101</t>
        </is>
      </c>
      <c r="C94" s="5" t="inlineStr">
        <is>
          <t>PAIR-069</t>
        </is>
      </c>
      <c r="D94" s="5" t="inlineStr">
        <is>
          <t>Pehla Pehla Pyar</t>
        </is>
      </c>
      <c r="E94" s="5" t="inlineStr">
        <is>
          <t>Wikipedia</t>
        </is>
      </c>
      <c r="F94" s="5" t="n"/>
      <c r="G94" s="5" t="n"/>
      <c r="H94" s="22" t="inlineStr">
        <is>
          <t>https://en.wikipedia.org/wiki/Pehla_Pehla_Pyar</t>
        </is>
      </c>
      <c r="I94" s="16" t="n">
        <v>46290</v>
      </c>
      <c r="J94" s="5" t="inlineStr">
        <is>
          <t>Infobox: release date, language, director, producers, production banner, writers, source material, song composer, lyricist, billing position.</t>
        </is>
      </c>
      <c r="K94" s="5" t="inlineStr">
        <is>
          <t>Reference encyclopedia</t>
        </is>
      </c>
      <c r="L94" s="5" t="inlineStr">
        <is>
          <t>C</t>
        </is>
      </c>
      <c r="M94" s="5" t="inlineStr">
        <is>
          <t>Film article; downloaded as raw wikitext.</t>
        </is>
      </c>
    </row>
    <row r="95" ht="49" customHeight="1">
      <c r="A95" s="15" t="inlineStr">
        <is>
          <t>SOURCE-094</t>
        </is>
      </c>
      <c r="B95" s="5" t="inlineStr">
        <is>
          <t>FILM-099</t>
        </is>
      </c>
      <c r="C95" s="5" t="inlineStr">
        <is>
          <t>PAIR-067</t>
        </is>
      </c>
      <c r="D95" s="5" t="inlineStr">
        <is>
          <t>Eena Meena Deeka</t>
        </is>
      </c>
      <c r="E95" s="5" t="inlineStr">
        <is>
          <t>Wikipedia</t>
        </is>
      </c>
      <c r="F95" s="5" t="n"/>
      <c r="G95" s="5" t="n"/>
      <c r="H95" s="22" t="inlineStr">
        <is>
          <t>https://en.wikipedia.org/wiki/Eena_Meena_Deeka</t>
        </is>
      </c>
      <c r="I95" s="16" t="n">
        <v>46290</v>
      </c>
      <c r="J95" s="5" t="inlineStr">
        <is>
          <t>Infobox: release date, language, director, producers, writers, song composer, lyricist, billing position.</t>
        </is>
      </c>
      <c r="K95" s="5" t="inlineStr">
        <is>
          <t>Reference encyclopedia</t>
        </is>
      </c>
      <c r="L95" s="5" t="inlineStr">
        <is>
          <t>C</t>
        </is>
      </c>
      <c r="M95" s="5" t="inlineStr">
        <is>
          <t>Film article; downloaded as raw wikitext.</t>
        </is>
      </c>
    </row>
    <row r="96" ht="49" customHeight="1">
      <c r="A96" s="15" t="inlineStr">
        <is>
          <t>SOURCE-095</t>
        </is>
      </c>
      <c r="B96" s="5" t="inlineStr">
        <is>
          <t>FILM-102</t>
        </is>
      </c>
      <c r="C96" s="5" t="inlineStr">
        <is>
          <t>PAIR-070</t>
        </is>
      </c>
      <c r="D96" s="5" t="inlineStr">
        <is>
          <t>Prem Yog</t>
        </is>
      </c>
      <c r="E96" s="5" t="inlineStr">
        <is>
          <t>Wikipedia</t>
        </is>
      </c>
      <c r="F96" s="5" t="n"/>
      <c r="G96" s="5" t="n"/>
      <c r="H96" s="22" t="inlineStr">
        <is>
          <t>https://en.wikipedia.org/wiki/Prem_Yog</t>
        </is>
      </c>
      <c r="I96" s="16" t="n">
        <v>46290</v>
      </c>
      <c r="J96" s="5" t="inlineStr">
        <is>
          <t>Infobox: release date, language, runtime, director, producers, writers, song composer, billing position.</t>
        </is>
      </c>
      <c r="K96" s="5" t="inlineStr">
        <is>
          <t>Reference encyclopedia</t>
        </is>
      </c>
      <c r="L96" s="5" t="inlineStr">
        <is>
          <t>C</t>
        </is>
      </c>
      <c r="M96" s="5" t="inlineStr">
        <is>
          <t>Film article; downloaded as raw wikitext.</t>
        </is>
      </c>
    </row>
    <row r="97" ht="49" customHeight="1">
      <c r="A97" s="15" t="inlineStr">
        <is>
          <t>SOURCE-096</t>
        </is>
      </c>
      <c r="B97" s="5" t="inlineStr">
        <is>
          <t>FILM-103</t>
        </is>
      </c>
      <c r="C97" s="5" t="inlineStr">
        <is>
          <t>PAIR-071</t>
        </is>
      </c>
      <c r="D97" s="5" t="inlineStr">
        <is>
          <t>Ghar Ki Izzat (1994 film)</t>
        </is>
      </c>
      <c r="E97" s="5" t="inlineStr">
        <is>
          <t>Wikipedia</t>
        </is>
      </c>
      <c r="F97" s="5" t="n"/>
      <c r="G97" s="5" t="n"/>
      <c r="H97" s="22" t="inlineStr">
        <is>
          <t>https://en.wikipedia.org/wiki/Ghar_Ki_Izzat_(1994_film)</t>
        </is>
      </c>
      <c r="I97" s="16" t="n">
        <v>46290</v>
      </c>
      <c r="J97" s="5" t="inlineStr">
        <is>
          <t>Infobox: release date, language, runtime, director, producers, production banner, writers, source material, song composer, billing position.</t>
        </is>
      </c>
      <c r="K97" s="5" t="inlineStr">
        <is>
          <t>Reference encyclopedia</t>
        </is>
      </c>
      <c r="L97" s="5" t="inlineStr">
        <is>
          <t>C</t>
        </is>
      </c>
      <c r="M97" s="5" t="inlineStr">
        <is>
          <t>Film article; downloaded as raw wikitext.</t>
        </is>
      </c>
    </row>
    <row r="98" ht="49" customHeight="1">
      <c r="A98" s="15" t="inlineStr">
        <is>
          <t>SOURCE-097</t>
        </is>
      </c>
      <c r="B98" s="5" t="inlineStr">
        <is>
          <t>FILM-104</t>
        </is>
      </c>
      <c r="C98" s="5" t="inlineStr">
        <is>
          <t>PAIR-072; PAIR-073</t>
        </is>
      </c>
      <c r="D98" s="5" t="inlineStr">
        <is>
          <t>Saajan Ki Baahon Mein</t>
        </is>
      </c>
      <c r="E98" s="5" t="inlineStr">
        <is>
          <t>Wikipedia</t>
        </is>
      </c>
      <c r="F98" s="5" t="n"/>
      <c r="G98" s="5" t="n"/>
      <c r="H98" s="22" t="inlineStr">
        <is>
          <t>https://en.wikipedia.org/wiki/Saajan_Ki_Baahon_Mein</t>
        </is>
      </c>
      <c r="I98" s="16" t="n">
        <v>46290</v>
      </c>
      <c r="J98" s="5" t="inlineStr">
        <is>
          <t>Infobox: release date, language, runtime, director, producers, writers, song composer, lyricist, billing position.</t>
        </is>
      </c>
      <c r="K98" s="5" t="inlineStr">
        <is>
          <t>Reference encyclopedia</t>
        </is>
      </c>
      <c r="L98" s="5" t="inlineStr">
        <is>
          <t>C</t>
        </is>
      </c>
      <c r="M98" s="5" t="inlineStr">
        <is>
          <t>Film article; downloaded as raw wikitext.</t>
        </is>
      </c>
    </row>
    <row r="99" ht="49" customHeight="1">
      <c r="A99" s="15" t="inlineStr">
        <is>
          <t>SOURCE-098</t>
        </is>
      </c>
      <c r="B99" s="5" t="inlineStr">
        <is>
          <t>FILM-105</t>
        </is>
      </c>
      <c r="C99" s="5" t="n"/>
      <c r="D99" s="5" t="inlineStr">
        <is>
          <t>Hum Dono (1995 film)</t>
        </is>
      </c>
      <c r="E99" s="5" t="inlineStr">
        <is>
          <t>Wikipedia</t>
        </is>
      </c>
      <c r="F99" s="5" t="n"/>
      <c r="G99" s="5" t="n"/>
      <c r="H99" s="22" t="inlineStr">
        <is>
          <t>https://en.wikipedia.org/wiki/Hum_Dono_(1995_film)</t>
        </is>
      </c>
      <c r="I99" s="16" t="n">
        <v>46290</v>
      </c>
      <c r="J99" s="5" t="inlineStr">
        <is>
          <t>Infobox: release date, language, director, producers, production banner, song composer, billing position.</t>
        </is>
      </c>
      <c r="K99" s="5" t="inlineStr">
        <is>
          <t>Reference encyclopedia</t>
        </is>
      </c>
      <c r="L99" s="5" t="inlineStr">
        <is>
          <t>C</t>
        </is>
      </c>
      <c r="M99" s="5" t="inlineStr">
        <is>
          <t>Film article; downloaded as raw wikitext.</t>
        </is>
      </c>
    </row>
    <row r="100" ht="49" customHeight="1">
      <c r="A100" s="15" t="inlineStr">
        <is>
          <t>SOURCE-099</t>
        </is>
      </c>
      <c r="B100" s="5" t="inlineStr">
        <is>
          <t>FILM-106</t>
        </is>
      </c>
      <c r="C100" s="5" t="inlineStr">
        <is>
          <t>PAIR-074</t>
        </is>
      </c>
      <c r="D100" s="5" t="inlineStr">
        <is>
          <t>Yaraana (1995 film)</t>
        </is>
      </c>
      <c r="E100" s="5" t="inlineStr">
        <is>
          <t>Wikipedia</t>
        </is>
      </c>
      <c r="F100" s="5" t="n"/>
      <c r="G100" s="5" t="n"/>
      <c r="H100" s="22" t="inlineStr">
        <is>
          <t>https://en.wikipedia.org/wiki/Yaraana_(1995_film)</t>
        </is>
      </c>
      <c r="I100" s="16" t="n">
        <v>46290</v>
      </c>
      <c r="J100" s="5" t="inlineStr">
        <is>
          <t>Infobox: release date, language, runtime, director, producers, writers, song composer, lyricist, billing position, budget, currency.</t>
        </is>
      </c>
      <c r="K100" s="5" t="inlineStr">
        <is>
          <t>Reference encyclopedia</t>
        </is>
      </c>
      <c r="L100" s="5" t="inlineStr">
        <is>
          <t>C</t>
        </is>
      </c>
      <c r="M100" s="5" t="inlineStr">
        <is>
          <t>Film article; downloaded as raw wikitext.</t>
        </is>
      </c>
    </row>
    <row r="101" ht="49" customHeight="1">
      <c r="A101" s="15" t="inlineStr">
        <is>
          <t>SOURCE-100</t>
        </is>
      </c>
      <c r="B101" s="5" t="inlineStr">
        <is>
          <t>FILM-107</t>
        </is>
      </c>
      <c r="C101" s="5" t="inlineStr">
        <is>
          <t>PAIR-075</t>
        </is>
      </c>
      <c r="D101" s="5" t="inlineStr">
        <is>
          <t>Prem Granth</t>
        </is>
      </c>
      <c r="E101" s="5" t="inlineStr">
        <is>
          <t>Wikipedia</t>
        </is>
      </c>
      <c r="F101" s="5" t="n"/>
      <c r="G101" s="5" t="n"/>
      <c r="H101" s="22" t="inlineStr">
        <is>
          <t>https://en.wikipedia.org/wiki/Prem_Granth</t>
        </is>
      </c>
      <c r="I101" s="16" t="n">
        <v>46290</v>
      </c>
      <c r="J101" s="5" t="inlineStr">
        <is>
          <t>Infobox: release date, language, runtime, director, producers, production banner, writers, source material, song composer, billing position.</t>
        </is>
      </c>
      <c r="K101" s="5" t="inlineStr">
        <is>
          <t>Reference encyclopedia</t>
        </is>
      </c>
      <c r="L101" s="5" t="inlineStr">
        <is>
          <t>C</t>
        </is>
      </c>
      <c r="M101" s="5" t="inlineStr">
        <is>
          <t>Film article; downloaded as raw wikitext.</t>
        </is>
      </c>
    </row>
    <row r="102" ht="64" customHeight="1">
      <c r="A102" s="15" t="inlineStr">
        <is>
          <t>SOURCE-101</t>
        </is>
      </c>
      <c r="B102" s="5" t="inlineStr">
        <is>
          <t>FILM-108</t>
        </is>
      </c>
      <c r="C102" s="5" t="inlineStr">
        <is>
          <t>PAIR-076</t>
        </is>
      </c>
      <c r="D102" s="5" t="inlineStr">
        <is>
          <t>Daraar</t>
        </is>
      </c>
      <c r="E102" s="5" t="inlineStr">
        <is>
          <t>Wikipedia</t>
        </is>
      </c>
      <c r="F102" s="5" t="n"/>
      <c r="G102" s="5" t="n"/>
      <c r="H102" s="22" t="inlineStr">
        <is>
          <t>https://en.wikipedia.org/wiki/Daraar</t>
        </is>
      </c>
      <c r="I102" s="16" t="n">
        <v>46290</v>
      </c>
      <c r="J102" s="5" t="inlineStr">
        <is>
          <t>Infobox: release date, language, runtime, director, producers, production banner, writers, song composer, background score composer, billing position, budget, currency.</t>
        </is>
      </c>
      <c r="K102" s="5" t="inlineStr">
        <is>
          <t>Reference encyclopedia</t>
        </is>
      </c>
      <c r="L102" s="5" t="inlineStr">
        <is>
          <t>C</t>
        </is>
      </c>
      <c r="M102" s="5" t="inlineStr">
        <is>
          <t>Film article; downloaded as raw wikitext.</t>
        </is>
      </c>
    </row>
    <row r="103" ht="49" customHeight="1">
      <c r="A103" s="15" t="inlineStr">
        <is>
          <t>SOURCE-102</t>
        </is>
      </c>
      <c r="B103" s="5" t="inlineStr">
        <is>
          <t>FILM-109</t>
        </is>
      </c>
      <c r="C103" s="5" t="inlineStr">
        <is>
          <t>PAIR-077</t>
        </is>
      </c>
      <c r="D103" s="5" t="inlineStr">
        <is>
          <t>Kaun Sachcha Kaun Jhootha</t>
        </is>
      </c>
      <c r="E103" s="5" t="inlineStr">
        <is>
          <t>Wikipedia</t>
        </is>
      </c>
      <c r="F103" s="5" t="n"/>
      <c r="G103" s="5" t="n"/>
      <c r="H103" s="22" t="inlineStr">
        <is>
          <t>https://en.wikipedia.org/wiki/Kaun_Sachcha_Kaun_Jhootha</t>
        </is>
      </c>
      <c r="I103" s="16" t="n">
        <v>46290</v>
      </c>
      <c r="J103" s="5" t="inlineStr">
        <is>
          <t>Infobox: release date, language, director, producers, writers, song composer, lyricist, billing position, budget, currency.</t>
        </is>
      </c>
      <c r="K103" s="5" t="inlineStr">
        <is>
          <t>Reference encyclopedia</t>
        </is>
      </c>
      <c r="L103" s="5" t="inlineStr">
        <is>
          <t>C</t>
        </is>
      </c>
      <c r="M103" s="5" t="inlineStr">
        <is>
          <t>Film article; downloaded as raw wikitext.</t>
        </is>
      </c>
    </row>
    <row r="104" ht="64" customHeight="1">
      <c r="A104" s="15" t="inlineStr">
        <is>
          <t>SOURCE-103</t>
        </is>
      </c>
      <c r="B104" s="5" t="inlineStr">
        <is>
          <t>FILM-111</t>
        </is>
      </c>
      <c r="C104" s="5" t="inlineStr">
        <is>
          <t>PAIR-078</t>
        </is>
      </c>
      <c r="D104" s="5" t="inlineStr">
        <is>
          <t>Karobaar</t>
        </is>
      </c>
      <c r="E104" s="5" t="inlineStr">
        <is>
          <t>Wikipedia</t>
        </is>
      </c>
      <c r="F104" s="5" t="n"/>
      <c r="G104" s="5" t="n"/>
      <c r="H104" s="22" t="inlineStr">
        <is>
          <t>https://en.wikipedia.org/wiki/Karobaar</t>
        </is>
      </c>
      <c r="I104" s="16" t="n">
        <v>46290</v>
      </c>
      <c r="J104" s="5" t="inlineStr">
        <is>
          <t>Infobox: release date, language, director, producers, production banner, writers, song composer, background score composer, lyricist, billing position, budget, currency.</t>
        </is>
      </c>
      <c r="K104" s="5" t="inlineStr">
        <is>
          <t>Reference encyclopedia</t>
        </is>
      </c>
      <c r="L104" s="5" t="inlineStr">
        <is>
          <t>C</t>
        </is>
      </c>
      <c r="M104" s="5" t="inlineStr">
        <is>
          <t>Film article; downloaded as raw wikitext.</t>
        </is>
      </c>
    </row>
    <row r="105" ht="49" customHeight="1">
      <c r="A105" s="15" t="inlineStr">
        <is>
          <t>SOURCE-104</t>
        </is>
      </c>
      <c r="B105" s="5" t="inlineStr">
        <is>
          <t>FILM-112</t>
        </is>
      </c>
      <c r="C105" s="5" t="n"/>
      <c r="D105" s="5" t="inlineStr">
        <is>
          <t>Raju Chacha</t>
        </is>
      </c>
      <c r="E105" s="5" t="inlineStr">
        <is>
          <t>Wikipedia</t>
        </is>
      </c>
      <c r="F105" s="5" t="n"/>
      <c r="G105" s="5" t="n"/>
      <c r="H105" s="22" t="inlineStr">
        <is>
          <t>https://en.wikipedia.org/wiki/Raju_Chacha</t>
        </is>
      </c>
      <c r="I105" s="16" t="n">
        <v>46290</v>
      </c>
      <c r="J105" s="5" t="inlineStr">
        <is>
          <t>Infobox: release date, language, director, producers, production banner, writers, song composer, lyricist, billing position, budget, currency.</t>
        </is>
      </c>
      <c r="K105" s="5" t="inlineStr">
        <is>
          <t>Reference encyclopedia</t>
        </is>
      </c>
      <c r="L105" s="5" t="inlineStr">
        <is>
          <t>C</t>
        </is>
      </c>
      <c r="M105" s="5" t="inlineStr">
        <is>
          <t>Film article; downloaded as raw wikitext.</t>
        </is>
      </c>
    </row>
    <row r="106" ht="64" customHeight="1">
      <c r="A106" s="15" t="inlineStr">
        <is>
          <t>SOURCE-105</t>
        </is>
      </c>
      <c r="B106" s="5" t="inlineStr">
        <is>
          <t>FILM-113</t>
        </is>
      </c>
      <c r="C106" s="5" t="inlineStr">
        <is>
          <t>PAIR-079</t>
        </is>
      </c>
      <c r="D106" s="5" t="inlineStr">
        <is>
          <t>Kuch Khatti Kuch Meethi</t>
        </is>
      </c>
      <c r="E106" s="5" t="inlineStr">
        <is>
          <t>Wikipedia</t>
        </is>
      </c>
      <c r="F106" s="5" t="n"/>
      <c r="G106" s="5" t="n"/>
      <c r="H106" s="22" t="inlineStr">
        <is>
          <t>https://en.wikipedia.org/wiki/Kuch_Khatti_Kuch_Meethi</t>
        </is>
      </c>
      <c r="I106" s="16" t="n">
        <v>46290</v>
      </c>
      <c r="J106" s="5" t="inlineStr">
        <is>
          <t>Infobox: release date, language, runtime, director, producers, production banner, writers, source material, song composer, lyricist, billing position, budget, currency.</t>
        </is>
      </c>
      <c r="K106" s="5" t="inlineStr">
        <is>
          <t>Reference encyclopedia</t>
        </is>
      </c>
      <c r="L106" s="5" t="inlineStr">
        <is>
          <t>C</t>
        </is>
      </c>
      <c r="M106" s="5" t="inlineStr">
        <is>
          <t>Film article; downloaded as raw wikitext.</t>
        </is>
      </c>
    </row>
    <row r="107" ht="64" customHeight="1">
      <c r="A107" s="15" t="inlineStr">
        <is>
          <t>SOURCE-106</t>
        </is>
      </c>
      <c r="B107" s="5" t="inlineStr">
        <is>
          <t>FILM-114</t>
        </is>
      </c>
      <c r="C107" s="5" t="n"/>
      <c r="D107" s="5" t="inlineStr">
        <is>
          <t>Yeh Hai Jalwa</t>
        </is>
      </c>
      <c r="E107" s="5" t="inlineStr">
        <is>
          <t>Wikipedia</t>
        </is>
      </c>
      <c r="F107" s="5" t="n"/>
      <c r="G107" s="5" t="n"/>
      <c r="H107" s="22" t="inlineStr">
        <is>
          <t>https://en.wikipedia.org/wiki/Yeh_Hai_Jalwa</t>
        </is>
      </c>
      <c r="I107" s="16" t="n">
        <v>46290</v>
      </c>
      <c r="J107" s="5" t="inlineStr">
        <is>
          <t>Infobox: release date, language, runtime, director, producers, production banner, writers, song composer, background score composer, lyricist, billing position, budget, currency.</t>
        </is>
      </c>
      <c r="K107" s="5" t="inlineStr">
        <is>
          <t>Reference encyclopedia</t>
        </is>
      </c>
      <c r="L107" s="5" t="inlineStr">
        <is>
          <t>C</t>
        </is>
      </c>
      <c r="M107" s="5" t="inlineStr">
        <is>
          <t>Film article; downloaded as raw wikitext.</t>
        </is>
      </c>
    </row>
    <row r="108" ht="49" customHeight="1">
      <c r="A108" s="15" t="inlineStr">
        <is>
          <t>SOURCE-107</t>
        </is>
      </c>
      <c r="B108" s="5" t="inlineStr">
        <is>
          <t>FILM-115</t>
        </is>
      </c>
      <c r="C108" s="5" t="n"/>
      <c r="D108" s="5" t="inlineStr">
        <is>
          <t>Kucch To Hai</t>
        </is>
      </c>
      <c r="E108" s="5" t="inlineStr">
        <is>
          <t>Wikipedia</t>
        </is>
      </c>
      <c r="F108" s="5" t="n"/>
      <c r="G108" s="5" t="n"/>
      <c r="H108" s="22" t="inlineStr">
        <is>
          <t>https://en.wikipedia.org/wiki/Kucch_To_Hai</t>
        </is>
      </c>
      <c r="I108" s="16" t="n">
        <v>46290</v>
      </c>
      <c r="J108" s="5" t="inlineStr">
        <is>
          <t>Infobox: release date, language, runtime, director, producers, production banner, writers, song composer, billing position, budget, currency.</t>
        </is>
      </c>
      <c r="K108" s="5" t="inlineStr">
        <is>
          <t>Reference encyclopedia</t>
        </is>
      </c>
      <c r="L108" s="5" t="inlineStr">
        <is>
          <t>C</t>
        </is>
      </c>
      <c r="M108" s="5" t="inlineStr">
        <is>
          <t>Film article; downloaded as raw wikitext.</t>
        </is>
      </c>
    </row>
    <row r="109" ht="49" customHeight="1">
      <c r="A109" s="15" t="inlineStr">
        <is>
          <t>SOURCE-108</t>
        </is>
      </c>
      <c r="B109" s="5" t="inlineStr">
        <is>
          <t>FILM-116</t>
        </is>
      </c>
      <c r="C109" s="5" t="n"/>
      <c r="D109" s="5" t="inlineStr">
        <is>
          <t>Love at Times Square</t>
        </is>
      </c>
      <c r="E109" s="5" t="inlineStr">
        <is>
          <t>Wikipedia</t>
        </is>
      </c>
      <c r="F109" s="5" t="n"/>
      <c r="G109" s="5" t="n"/>
      <c r="H109" s="22" t="inlineStr">
        <is>
          <t>https://en.wikipedia.org/wiki/Love_at_Times_Square</t>
        </is>
      </c>
      <c r="I109" s="16" t="n">
        <v>46290</v>
      </c>
      <c r="J109" s="5" t="inlineStr">
        <is>
          <t>Infobox: release date, language, director, producers, writers, song composer, background score composer, lyricist, budget, currency.</t>
        </is>
      </c>
      <c r="K109" s="5" t="inlineStr">
        <is>
          <t>Reference encyclopedia</t>
        </is>
      </c>
      <c r="L109" s="5" t="inlineStr">
        <is>
          <t>C</t>
        </is>
      </c>
      <c r="M109" s="5" t="inlineStr">
        <is>
          <t>Film article; downloaded as raw wikitext.</t>
        </is>
      </c>
    </row>
    <row r="110" ht="34" customHeight="1">
      <c r="A110" s="15" t="inlineStr">
        <is>
          <t>SOURCE-109</t>
        </is>
      </c>
      <c r="B110" s="5" t="inlineStr">
        <is>
          <t>FILM-117</t>
        </is>
      </c>
      <c r="C110" s="5" t="inlineStr">
        <is>
          <t>PAIR-080</t>
        </is>
      </c>
      <c r="D110" s="5" t="inlineStr">
        <is>
          <t>Tehzeeb (2003 film)</t>
        </is>
      </c>
      <c r="E110" s="5" t="inlineStr">
        <is>
          <t>Wikipedia</t>
        </is>
      </c>
      <c r="F110" s="5" t="n"/>
      <c r="G110" s="5" t="n"/>
      <c r="H110" s="22" t="inlineStr">
        <is>
          <t>https://en.wikipedia.org/wiki/Tehzeeb_(2003_film)</t>
        </is>
      </c>
      <c r="I110" s="16" t="n">
        <v>46290</v>
      </c>
      <c r="J110" s="5" t="inlineStr">
        <is>
          <t>Infobox: release date, language, runtime, director, producers, writers, song composer, lyricist.</t>
        </is>
      </c>
      <c r="K110" s="5" t="inlineStr">
        <is>
          <t>Reference encyclopedia</t>
        </is>
      </c>
      <c r="L110" s="5" t="inlineStr">
        <is>
          <t>C</t>
        </is>
      </c>
      <c r="M110" s="5" t="inlineStr">
        <is>
          <t>Film article; downloaded as raw wikitext.</t>
        </is>
      </c>
    </row>
    <row r="111" ht="64" customHeight="1">
      <c r="A111" s="15" t="inlineStr">
        <is>
          <t>SOURCE-110</t>
        </is>
      </c>
      <c r="B111" s="5" t="inlineStr">
        <is>
          <t>FILM-118</t>
        </is>
      </c>
      <c r="C111" s="5" t="n"/>
      <c r="D111" s="5" t="inlineStr">
        <is>
          <t>Hum Tum (film)</t>
        </is>
      </c>
      <c r="E111" s="5" t="inlineStr">
        <is>
          <t>Wikipedia</t>
        </is>
      </c>
      <c r="F111" s="5" t="n"/>
      <c r="G111" s="5" t="n"/>
      <c r="H111" s="22" t="inlineStr">
        <is>
          <t>https://en.wikipedia.org/wiki/Hum_Tum_(film)</t>
        </is>
      </c>
      <c r="I111" s="16" t="n">
        <v>46290</v>
      </c>
      <c r="J111" s="5" t="inlineStr">
        <is>
          <t>Infobox: release date, language, runtime, director, producers, production banner, writers, song composer, background score composer, lyricist, billing position, budget, currency.</t>
        </is>
      </c>
      <c r="K111" s="5" t="inlineStr">
        <is>
          <t>Reference encyclopedia</t>
        </is>
      </c>
      <c r="L111" s="5" t="inlineStr">
        <is>
          <t>C</t>
        </is>
      </c>
      <c r="M111" s="5" t="inlineStr">
        <is>
          <t>Film article; downloaded as raw wikitext.</t>
        </is>
      </c>
    </row>
    <row r="112" ht="49" customHeight="1">
      <c r="A112" s="15" t="inlineStr">
        <is>
          <t>SOURCE-111</t>
        </is>
      </c>
      <c r="B112" s="5" t="inlineStr">
        <is>
          <t>FILM-119</t>
        </is>
      </c>
      <c r="C112" s="5" t="inlineStr">
        <is>
          <t>PAIR-081</t>
        </is>
      </c>
      <c r="D112" s="5" t="inlineStr">
        <is>
          <t>Pyaar Mein Twist</t>
        </is>
      </c>
      <c r="E112" s="5" t="inlineStr">
        <is>
          <t>Wikipedia</t>
        </is>
      </c>
      <c r="F112" s="5" t="n"/>
      <c r="G112" s="5" t="n"/>
      <c r="H112" s="22" t="inlineStr">
        <is>
          <t>https://en.wikipedia.org/wiki/Pyaar_Mein_Twist</t>
        </is>
      </c>
      <c r="I112" s="16" t="n">
        <v>46290</v>
      </c>
      <c r="J112" s="5" t="inlineStr">
        <is>
          <t>Infobox: release date, language, runtime, director, producers, production banner, writers, song composer, billing position.</t>
        </is>
      </c>
      <c r="K112" s="5" t="inlineStr">
        <is>
          <t>Reference encyclopedia</t>
        </is>
      </c>
      <c r="L112" s="5" t="inlineStr">
        <is>
          <t>C</t>
        </is>
      </c>
      <c r="M112" s="5" t="inlineStr">
        <is>
          <t>Film article; downloaded as raw wikitext.</t>
        </is>
      </c>
    </row>
    <row r="113" ht="64" customHeight="1">
      <c r="A113" s="15" t="inlineStr">
        <is>
          <t>SOURCE-112</t>
        </is>
      </c>
      <c r="B113" s="5" t="inlineStr">
        <is>
          <t>FILM-120</t>
        </is>
      </c>
      <c r="C113" s="5" t="n"/>
      <c r="D113" s="5" t="inlineStr">
        <is>
          <t>Fanaa (2006 film)</t>
        </is>
      </c>
      <c r="E113" s="5" t="inlineStr">
        <is>
          <t>Wikipedia</t>
        </is>
      </c>
      <c r="F113" s="5" t="n"/>
      <c r="G113" s="5" t="n"/>
      <c r="H113" s="22" t="inlineStr">
        <is>
          <t>https://en.wikipedia.org/wiki/Fanaa_(2006_film)</t>
        </is>
      </c>
      <c r="I113" s="16" t="n">
        <v>46290</v>
      </c>
      <c r="J113" s="5" t="inlineStr">
        <is>
          <t>Infobox: release date, language, runtime, director, producers, production banner, writers, song composer, background score composer, lyricist, billing position.</t>
        </is>
      </c>
      <c r="K113" s="5" t="inlineStr">
        <is>
          <t>Reference encyclopedia</t>
        </is>
      </c>
      <c r="L113" s="5" t="inlineStr">
        <is>
          <t>C</t>
        </is>
      </c>
      <c r="M113" s="5" t="inlineStr">
        <is>
          <t>Film article; downloaded as raw wikitext.</t>
        </is>
      </c>
    </row>
    <row r="114" ht="49" customHeight="1">
      <c r="A114" s="15" t="inlineStr">
        <is>
          <t>SOURCE-113</t>
        </is>
      </c>
      <c r="B114" s="5" t="inlineStr">
        <is>
          <t>FILM-121</t>
        </is>
      </c>
      <c r="C114" s="5" t="n"/>
      <c r="D114" s="5" t="inlineStr">
        <is>
          <t>Love Ke Chakkar Mein</t>
        </is>
      </c>
      <c r="E114" s="5" t="inlineStr">
        <is>
          <t>Wikipedia</t>
        </is>
      </c>
      <c r="F114" s="5" t="n"/>
      <c r="G114" s="5" t="n"/>
      <c r="H114" s="22" t="inlineStr">
        <is>
          <t>https://en.wikipedia.org/wiki/Love_Ke_Chakkar_Mein</t>
        </is>
      </c>
      <c r="I114" s="16" t="n">
        <v>46290</v>
      </c>
      <c r="J114" s="5" t="inlineStr">
        <is>
          <t>Infobox: release date, language, director, producers, production banner, writers, song composer, billing position.</t>
        </is>
      </c>
      <c r="K114" s="5" t="inlineStr">
        <is>
          <t>Reference encyclopedia</t>
        </is>
      </c>
      <c r="L114" s="5" t="inlineStr">
        <is>
          <t>C</t>
        </is>
      </c>
      <c r="M114" s="5" t="inlineStr">
        <is>
          <t>Film article; downloaded as raw wikitext.</t>
        </is>
      </c>
    </row>
    <row r="115" ht="64" customHeight="1">
      <c r="A115" s="15" t="inlineStr">
        <is>
          <t>SOURCE-114</t>
        </is>
      </c>
      <c r="B115" s="5" t="inlineStr">
        <is>
          <t>FILM-123</t>
        </is>
      </c>
      <c r="C115" s="5" t="inlineStr">
        <is>
          <t>PAIR-082</t>
        </is>
      </c>
      <c r="D115" s="5" t="inlineStr">
        <is>
          <t>Namastey London</t>
        </is>
      </c>
      <c r="E115" s="5" t="inlineStr">
        <is>
          <t>Wikipedia</t>
        </is>
      </c>
      <c r="F115" s="5" t="n"/>
      <c r="G115" s="5" t="n"/>
      <c r="H115" s="22" t="inlineStr">
        <is>
          <t>https://en.wikipedia.org/wiki/Namastey_London</t>
        </is>
      </c>
      <c r="I115" s="16" t="n">
        <v>46290</v>
      </c>
      <c r="J115" s="5" t="inlineStr">
        <is>
          <t>Infobox: release date, language, runtime, director, producers, writers, song composer, background score composer, billing position, budget, currency.</t>
        </is>
      </c>
      <c r="K115" s="5" t="inlineStr">
        <is>
          <t>Reference encyclopedia</t>
        </is>
      </c>
      <c r="L115" s="5" t="inlineStr">
        <is>
          <t>C</t>
        </is>
      </c>
      <c r="M115" s="5" t="inlineStr">
        <is>
          <t>Film article; downloaded as raw wikitext.</t>
        </is>
      </c>
    </row>
    <row r="116" ht="49" customHeight="1">
      <c r="A116" s="15" t="inlineStr">
        <is>
          <t>SOURCE-115</t>
        </is>
      </c>
      <c r="B116" s="5" t="inlineStr">
        <is>
          <t>FILM-122</t>
        </is>
      </c>
      <c r="C116" s="5" t="n"/>
      <c r="D116" s="5" t="inlineStr">
        <is>
          <t>Don't Stop Dreaming</t>
        </is>
      </c>
      <c r="E116" s="5" t="inlineStr">
        <is>
          <t>Wikipedia</t>
        </is>
      </c>
      <c r="F116" s="5" t="n"/>
      <c r="G116" s="5" t="n"/>
      <c r="H116" s="22" t="inlineStr">
        <is>
          <t>https://en.wikipedia.org/wiki/Don't_Stop_Dreaming</t>
        </is>
      </c>
      <c r="I116" s="16" t="n">
        <v>46290</v>
      </c>
      <c r="J116" s="5" t="inlineStr">
        <is>
          <t>Infobox: release date, language, runtime, director, producers, production banner, writers, song composer, billing position.</t>
        </is>
      </c>
      <c r="K116" s="5" t="inlineStr">
        <is>
          <t>Reference encyclopedia</t>
        </is>
      </c>
      <c r="L116" s="5" t="inlineStr">
        <is>
          <t>C</t>
        </is>
      </c>
      <c r="M116" s="5" t="inlineStr">
        <is>
          <t>Film article; downloaded as raw wikitext.</t>
        </is>
      </c>
    </row>
    <row r="117" ht="64" customHeight="1">
      <c r="A117" s="15" t="inlineStr">
        <is>
          <t>SOURCE-116</t>
        </is>
      </c>
      <c r="B117" s="5" t="inlineStr">
        <is>
          <t>FILM-125</t>
        </is>
      </c>
      <c r="C117" s="5" t="n"/>
      <c r="D117" s="5" t="inlineStr">
        <is>
          <t>Om Shanti Om</t>
        </is>
      </c>
      <c r="E117" s="5" t="inlineStr">
        <is>
          <t>Wikipedia</t>
        </is>
      </c>
      <c r="F117" s="5" t="n"/>
      <c r="G117" s="5" t="n"/>
      <c r="H117" s="22" t="inlineStr">
        <is>
          <t>https://en.wikipedia.org/wiki/Om_Shanti_Om</t>
        </is>
      </c>
      <c r="I117" s="16" t="n">
        <v>46290</v>
      </c>
      <c r="J117" s="5" t="inlineStr">
        <is>
          <t>Infobox: release date, language, runtime, director, producers, production banner, writers, song composer, background score composer, lyricist, budget, currency.</t>
        </is>
      </c>
      <c r="K117" s="5" t="inlineStr">
        <is>
          <t>Reference encyclopedia</t>
        </is>
      </c>
      <c r="L117" s="5" t="inlineStr">
        <is>
          <t>C</t>
        </is>
      </c>
      <c r="M117" s="5" t="inlineStr">
        <is>
          <t>Film article; downloaded as raw wikitext.</t>
        </is>
      </c>
    </row>
    <row r="118" ht="49" customHeight="1">
      <c r="A118" s="15" t="inlineStr">
        <is>
          <t>SOURCE-117</t>
        </is>
      </c>
      <c r="B118" s="5" t="inlineStr">
        <is>
          <t>FILM-124</t>
        </is>
      </c>
      <c r="C118" s="5" t="n"/>
      <c r="D118" s="5" t="inlineStr">
        <is>
          <t>Sambar Salsa</t>
        </is>
      </c>
      <c r="E118" s="5" t="inlineStr">
        <is>
          <t>Wikipedia</t>
        </is>
      </c>
      <c r="F118" s="5" t="n"/>
      <c r="G118" s="5" t="n"/>
      <c r="H118" s="22" t="inlineStr">
        <is>
          <t>https://en.wikipedia.org/wiki/Sambar_Salsa</t>
        </is>
      </c>
      <c r="I118" s="16" t="n">
        <v>46290</v>
      </c>
      <c r="J118" s="5" t="inlineStr">
        <is>
          <t>Infobox: release date, language, runtime, director, producers, production banner, song composer, billing position.</t>
        </is>
      </c>
      <c r="K118" s="5" t="inlineStr">
        <is>
          <t>Reference encyclopedia</t>
        </is>
      </c>
      <c r="L118" s="5" t="inlineStr">
        <is>
          <t>C</t>
        </is>
      </c>
      <c r="M118" s="5" t="inlineStr">
        <is>
          <t>Film article; downloaded as raw wikitext.</t>
        </is>
      </c>
    </row>
    <row r="119" ht="64" customHeight="1">
      <c r="A119" s="15" t="inlineStr">
        <is>
          <t>SOURCE-118</t>
        </is>
      </c>
      <c r="B119" s="5" t="inlineStr">
        <is>
          <t>FILM-127</t>
        </is>
      </c>
      <c r="C119" s="5" t="n"/>
      <c r="D119" s="5" t="inlineStr">
        <is>
          <t>Thoda Pyaar Thoda Magic</t>
        </is>
      </c>
      <c r="E119" s="5" t="inlineStr">
        <is>
          <t>Wikipedia</t>
        </is>
      </c>
      <c r="F119" s="5" t="n"/>
      <c r="G119" s="5" t="n"/>
      <c r="H119" s="22" t="inlineStr">
        <is>
          <t>https://en.wikipedia.org/wiki/Thoda_Pyaar_Thoda_Magic</t>
        </is>
      </c>
      <c r="I119" s="16" t="n">
        <v>46290</v>
      </c>
      <c r="J119" s="5" t="inlineStr">
        <is>
          <t>Infobox: release date, language, runtime, director, producers, production banner, writers, song composer, background score composer, lyricist, billing position, budget, currency.</t>
        </is>
      </c>
      <c r="K119" s="5" t="inlineStr">
        <is>
          <t>Reference encyclopedia</t>
        </is>
      </c>
      <c r="L119" s="5" t="inlineStr">
        <is>
          <t>C</t>
        </is>
      </c>
      <c r="M119" s="5" t="inlineStr">
        <is>
          <t>Film article; downloaded as raw wikitext.</t>
        </is>
      </c>
    </row>
    <row r="120" ht="49" customHeight="1">
      <c r="A120" s="15" t="inlineStr">
        <is>
          <t>SOURCE-119</t>
        </is>
      </c>
      <c r="B120" s="5" t="inlineStr">
        <is>
          <t>FILM-126</t>
        </is>
      </c>
      <c r="C120" s="5" t="n"/>
      <c r="D120" s="5" t="inlineStr">
        <is>
          <t>Halla Bol</t>
        </is>
      </c>
      <c r="E120" s="5" t="inlineStr">
        <is>
          <t>Wikipedia</t>
        </is>
      </c>
      <c r="F120" s="5" t="n"/>
      <c r="G120" s="5" t="n"/>
      <c r="H120" s="22" t="inlineStr">
        <is>
          <t>https://en.wikipedia.org/wiki/Halla_Bol</t>
        </is>
      </c>
      <c r="I120" s="16" t="n">
        <v>46290</v>
      </c>
      <c r="J120" s="5" t="inlineStr">
        <is>
          <t>Infobox: release date, language, runtime, director, producers, production banner, writers, song composer, budget, currency.</t>
        </is>
      </c>
      <c r="K120" s="5" t="inlineStr">
        <is>
          <t>Reference encyclopedia</t>
        </is>
      </c>
      <c r="L120" s="5" t="inlineStr">
        <is>
          <t>C</t>
        </is>
      </c>
      <c r="M120" s="5" t="inlineStr">
        <is>
          <t>Film article; downloaded as raw wikitext.</t>
        </is>
      </c>
    </row>
    <row r="121" ht="49" customHeight="1">
      <c r="A121" s="15" t="inlineStr">
        <is>
          <t>SOURCE-120</t>
        </is>
      </c>
      <c r="B121" s="5" t="inlineStr">
        <is>
          <t>FILM-128</t>
        </is>
      </c>
      <c r="C121" s="5" t="n"/>
      <c r="D121" s="5" t="inlineStr">
        <is>
          <t>Luck by Chance</t>
        </is>
      </c>
      <c r="E121" s="5" t="inlineStr">
        <is>
          <t>Wikipedia</t>
        </is>
      </c>
      <c r="F121" s="5" t="n"/>
      <c r="G121" s="5" t="n"/>
      <c r="H121" s="22" t="inlineStr">
        <is>
          <t>https://en.wikipedia.org/wiki/Luck_by_Chance</t>
        </is>
      </c>
      <c r="I121" s="16" t="n">
        <v>46290</v>
      </c>
      <c r="J121" s="5" t="inlineStr">
        <is>
          <t>Infobox: release date, language, runtime, director, producers, production banner, writers, song composer, billing position, budget, currency.</t>
        </is>
      </c>
      <c r="K121" s="5" t="inlineStr">
        <is>
          <t>Reference encyclopedia</t>
        </is>
      </c>
      <c r="L121" s="5" t="inlineStr">
        <is>
          <t>C</t>
        </is>
      </c>
      <c r="M121" s="5" t="inlineStr">
        <is>
          <t>Film article; downloaded as raw wikitext.</t>
        </is>
      </c>
    </row>
    <row r="122" ht="64" customHeight="1">
      <c r="A122" s="15" t="inlineStr">
        <is>
          <t>SOURCE-121</t>
        </is>
      </c>
      <c r="B122" s="5" t="inlineStr">
        <is>
          <t>FILM-129</t>
        </is>
      </c>
      <c r="C122" s="5" t="inlineStr">
        <is>
          <t>PAIR-083</t>
        </is>
      </c>
      <c r="D122" s="5" t="inlineStr">
        <is>
          <t>Delhi-6</t>
        </is>
      </c>
      <c r="E122" s="5" t="inlineStr">
        <is>
          <t>Wikipedia</t>
        </is>
      </c>
      <c r="F122" s="5" t="n"/>
      <c r="G122" s="5" t="n"/>
      <c r="H122" s="22" t="inlineStr">
        <is>
          <t>https://en.wikipedia.org/wiki/Delhi-6</t>
        </is>
      </c>
      <c r="I122" s="16" t="n">
        <v>46290</v>
      </c>
      <c r="J122" s="5" t="inlineStr">
        <is>
          <t>Infobox: release date, language, runtime, director, producers, production banner, writers, source material, song composer, billing position, budget, currency.</t>
        </is>
      </c>
      <c r="K122" s="5" t="inlineStr">
        <is>
          <t>Reference encyclopedia</t>
        </is>
      </c>
      <c r="L122" s="5" t="inlineStr">
        <is>
          <t>C</t>
        </is>
      </c>
      <c r="M122" s="5" t="inlineStr">
        <is>
          <t>Film article; downloaded as raw wikitext.</t>
        </is>
      </c>
    </row>
    <row r="123" ht="49" customHeight="1">
      <c r="A123" s="15" t="inlineStr">
        <is>
          <t>SOURCE-122</t>
        </is>
      </c>
      <c r="B123" s="5" t="inlineStr">
        <is>
          <t>FILM-130</t>
        </is>
      </c>
      <c r="C123" s="5" t="n"/>
      <c r="D123" s="5" t="inlineStr">
        <is>
          <t>Kal Kissne Dekha</t>
        </is>
      </c>
      <c r="E123" s="5" t="inlineStr">
        <is>
          <t>Wikipedia</t>
        </is>
      </c>
      <c r="F123" s="5" t="n"/>
      <c r="G123" s="5" t="n"/>
      <c r="H123" s="22" t="inlineStr">
        <is>
          <t>https://en.wikipedia.org/wiki/Kal_Kissne_Dekha</t>
        </is>
      </c>
      <c r="I123" s="16" t="n">
        <v>46290</v>
      </c>
      <c r="J123" s="5" t="inlineStr">
        <is>
          <t>Infobox: release date, language, runtime, director, producers, production banner, writers, song composer, lyricist, billing position.</t>
        </is>
      </c>
      <c r="K123" s="5" t="inlineStr">
        <is>
          <t>Reference encyclopedia</t>
        </is>
      </c>
      <c r="L123" s="5" t="inlineStr">
        <is>
          <t>C</t>
        </is>
      </c>
      <c r="M123" s="5" t="inlineStr">
        <is>
          <t>Film article; downloaded as raw wikitext.</t>
        </is>
      </c>
    </row>
    <row r="124" ht="64" customHeight="1">
      <c r="A124" s="15" t="inlineStr">
        <is>
          <t>SOURCE-123</t>
        </is>
      </c>
      <c r="B124" s="5" t="inlineStr">
        <is>
          <t>FILM-131</t>
        </is>
      </c>
      <c r="C124" s="5" t="inlineStr">
        <is>
          <t>PAIR-084</t>
        </is>
      </c>
      <c r="D124" s="5" t="inlineStr">
        <is>
          <t>Love Aaj Kal (2009 film)</t>
        </is>
      </c>
      <c r="E124" s="5" t="inlineStr">
        <is>
          <t>Wikipedia</t>
        </is>
      </c>
      <c r="F124" s="5" t="n"/>
      <c r="G124" s="5" t="n"/>
      <c r="H124" s="22" t="inlineStr">
        <is>
          <t>https://en.wikipedia.org/wiki/Love_Aaj_Kal_(2009_film)</t>
        </is>
      </c>
      <c r="I124" s="16" t="n">
        <v>46290</v>
      </c>
      <c r="J124" s="5" t="inlineStr">
        <is>
          <t>Infobox: release date, language, runtime, director, producers, production banner, writers, song composer, background score composer, lyricist, billing position, budget, currency.</t>
        </is>
      </c>
      <c r="K124" s="5" t="inlineStr">
        <is>
          <t>Reference encyclopedia</t>
        </is>
      </c>
      <c r="L124" s="5" t="inlineStr">
        <is>
          <t>C</t>
        </is>
      </c>
      <c r="M124" s="5" t="inlineStr">
        <is>
          <t>Film article; downloaded as raw wikitext.</t>
        </is>
      </c>
    </row>
    <row r="125" ht="49" customHeight="1">
      <c r="A125" s="15" t="inlineStr">
        <is>
          <t>SOURCE-124</t>
        </is>
      </c>
      <c r="B125" s="5" t="inlineStr">
        <is>
          <t>FILM-132</t>
        </is>
      </c>
      <c r="C125" s="5" t="n"/>
      <c r="D125" s="5" t="inlineStr">
        <is>
          <t>Chintu Ji</t>
        </is>
      </c>
      <c r="E125" s="5" t="inlineStr">
        <is>
          <t>Wikipedia</t>
        </is>
      </c>
      <c r="F125" s="5" t="n"/>
      <c r="G125" s="5" t="n"/>
      <c r="H125" s="22" t="inlineStr">
        <is>
          <t>https://en.wikipedia.org/wiki/Chintu_Ji</t>
        </is>
      </c>
      <c r="I125" s="16" t="n">
        <v>46290</v>
      </c>
      <c r="J125" s="5" t="inlineStr">
        <is>
          <t>Infobox: release date, language, director, producers, production banner, writers, song composer, background score composer, billing position.</t>
        </is>
      </c>
      <c r="K125" s="5" t="inlineStr">
        <is>
          <t>Reference encyclopedia</t>
        </is>
      </c>
      <c r="L125" s="5" t="inlineStr">
        <is>
          <t>C</t>
        </is>
      </c>
      <c r="M125" s="5" t="inlineStr">
        <is>
          <t>Film article; downloaded as raw wikitext.</t>
        </is>
      </c>
    </row>
    <row r="126" ht="64" customHeight="1">
      <c r="A126" s="15" t="inlineStr">
        <is>
          <t>SOURCE-125</t>
        </is>
      </c>
      <c r="B126" s="5" t="inlineStr">
        <is>
          <t>FILM-133</t>
        </is>
      </c>
      <c r="C126" s="5" t="n"/>
      <c r="D126" s="5" t="inlineStr">
        <is>
          <t>Sadiyaan</t>
        </is>
      </c>
      <c r="E126" s="5" t="inlineStr">
        <is>
          <t>Wikipedia</t>
        </is>
      </c>
      <c r="F126" s="5" t="n"/>
      <c r="G126" s="5" t="n"/>
      <c r="H126" s="22" t="inlineStr">
        <is>
          <t>https://en.wikipedia.org/wiki/Sadiyaan</t>
        </is>
      </c>
      <c r="I126" s="16" t="n">
        <v>46290</v>
      </c>
      <c r="J126" s="5" t="inlineStr">
        <is>
          <t>Infobox: release date, language, runtime, director, producers, production banner, writers, song composer, background score composer, billing position.</t>
        </is>
      </c>
      <c r="K126" s="5" t="inlineStr">
        <is>
          <t>Reference encyclopedia</t>
        </is>
      </c>
      <c r="L126" s="5" t="inlineStr">
        <is>
          <t>C</t>
        </is>
      </c>
      <c r="M126" s="5" t="inlineStr">
        <is>
          <t>Film article; downloaded as raw wikitext.</t>
        </is>
      </c>
    </row>
    <row r="127" ht="49" customHeight="1">
      <c r="A127" s="15" t="inlineStr">
        <is>
          <t>SOURCE-126</t>
        </is>
      </c>
      <c r="B127" s="5" t="inlineStr">
        <is>
          <t>FILM-134</t>
        </is>
      </c>
      <c r="C127" s="5" t="inlineStr">
        <is>
          <t>PAIR-085</t>
        </is>
      </c>
      <c r="D127" s="5" t="inlineStr">
        <is>
          <t>Do Dooni Chaar</t>
        </is>
      </c>
      <c r="E127" s="5" t="inlineStr">
        <is>
          <t>Wikipedia</t>
        </is>
      </c>
      <c r="F127" s="5" t="n"/>
      <c r="G127" s="5" t="n"/>
      <c r="H127" s="22" t="inlineStr">
        <is>
          <t>https://en.wikipedia.org/wiki/Do_Dooni_Chaar</t>
        </is>
      </c>
      <c r="I127" s="16" t="n">
        <v>46290</v>
      </c>
      <c r="J127" s="5" t="inlineStr">
        <is>
          <t>Infobox: release date, language, runtime, director, producers, production banner, writers, song composer, billing position.</t>
        </is>
      </c>
      <c r="K127" s="5" t="inlineStr">
        <is>
          <t>Reference encyclopedia</t>
        </is>
      </c>
      <c r="L127" s="5" t="inlineStr">
        <is>
          <t>C</t>
        </is>
      </c>
      <c r="M127" s="5" t="inlineStr">
        <is>
          <t>Film article; downloaded as raw wikitext.</t>
        </is>
      </c>
    </row>
    <row r="128" ht="64" customHeight="1">
      <c r="A128" s="15" t="inlineStr">
        <is>
          <t>SOURCE-127</t>
        </is>
      </c>
      <c r="B128" s="5" t="inlineStr">
        <is>
          <t>FILM-135</t>
        </is>
      </c>
      <c r="C128" s="5" t="inlineStr">
        <is>
          <t>PAIR-086</t>
        </is>
      </c>
      <c r="D128" s="5" t="inlineStr">
        <is>
          <t>Patiala House (film)</t>
        </is>
      </c>
      <c r="E128" s="5" t="inlineStr">
        <is>
          <t>Wikipedia</t>
        </is>
      </c>
      <c r="F128" s="5" t="n"/>
      <c r="G128" s="5" t="n"/>
      <c r="H128" s="22" t="inlineStr">
        <is>
          <t>https://en.wikipedia.org/wiki/Patiala_House_(film)</t>
        </is>
      </c>
      <c r="I128" s="16" t="n">
        <v>46290</v>
      </c>
      <c r="J128" s="5" t="inlineStr">
        <is>
          <t>Infobox: release date, language, runtime, director, producers, production banner, writers, song composer, lyricist, billing position, budget, currency.</t>
        </is>
      </c>
      <c r="K128" s="5" t="inlineStr">
        <is>
          <t>Reference encyclopedia</t>
        </is>
      </c>
      <c r="L128" s="5" t="inlineStr">
        <is>
          <t>C</t>
        </is>
      </c>
      <c r="M128" s="5" t="inlineStr">
        <is>
          <t>Film article; downloaded as raw wikitext.</t>
        </is>
      </c>
    </row>
    <row r="129" ht="64" customHeight="1">
      <c r="A129" s="15" t="inlineStr">
        <is>
          <t>SOURCE-128</t>
        </is>
      </c>
      <c r="B129" s="5" t="inlineStr">
        <is>
          <t>FILM-136</t>
        </is>
      </c>
      <c r="C129" s="5" t="n"/>
      <c r="D129" s="5" t="inlineStr">
        <is>
          <t>Tell Me O Kkhuda</t>
        </is>
      </c>
      <c r="E129" s="5" t="inlineStr">
        <is>
          <t>Wikipedia</t>
        </is>
      </c>
      <c r="F129" s="5" t="n"/>
      <c r="G129" s="5" t="n"/>
      <c r="H129" s="22" t="inlineStr">
        <is>
          <t>https://en.wikipedia.org/wiki/Tell_Me_O_Kkhuda</t>
        </is>
      </c>
      <c r="I129" s="16" t="n">
        <v>46290</v>
      </c>
      <c r="J129" s="5" t="inlineStr">
        <is>
          <t>Infobox: release date, language, director, producers, production banner, writers, source material, song composer, background score composer, lyricist, billing position.</t>
        </is>
      </c>
      <c r="K129" s="5" t="inlineStr">
        <is>
          <t>Reference encyclopedia</t>
        </is>
      </c>
      <c r="L129" s="5" t="inlineStr">
        <is>
          <t>C</t>
        </is>
      </c>
      <c r="M129" s="5" t="inlineStr">
        <is>
          <t>Film article; downloaded as raw wikitext.</t>
        </is>
      </c>
    </row>
    <row r="130" ht="64" customHeight="1">
      <c r="A130" s="15" t="inlineStr">
        <is>
          <t>SOURCE-129</t>
        </is>
      </c>
      <c r="B130" s="5" t="inlineStr">
        <is>
          <t>FILM-137</t>
        </is>
      </c>
      <c r="C130" s="5" t="n"/>
      <c r="D130" s="5" t="inlineStr">
        <is>
          <t>Agneepath (2012 film)</t>
        </is>
      </c>
      <c r="E130" s="5" t="inlineStr">
        <is>
          <t>Wikipedia</t>
        </is>
      </c>
      <c r="F130" s="5" t="n"/>
      <c r="G130" s="5" t="n"/>
      <c r="H130" s="22" t="inlineStr">
        <is>
          <t>https://en.wikipedia.org/wiki/Agneepath_(2012_film)</t>
        </is>
      </c>
      <c r="I130" s="16" t="n">
        <v>46290</v>
      </c>
      <c r="J130" s="5" t="inlineStr">
        <is>
          <t>Infobox: release date, language, runtime, director, producers, production banner, writers, source material, song composer, lyricist, billing position, budget, currency.</t>
        </is>
      </c>
      <c r="K130" s="5" t="inlineStr">
        <is>
          <t>Reference encyclopedia</t>
        </is>
      </c>
      <c r="L130" s="5" t="inlineStr">
        <is>
          <t>C</t>
        </is>
      </c>
      <c r="M130" s="5" t="inlineStr">
        <is>
          <t>Film article; downloaded as raw wikitext.</t>
        </is>
      </c>
    </row>
    <row r="131" ht="79" customHeight="1">
      <c r="A131" s="15" t="inlineStr">
        <is>
          <t>SOURCE-130</t>
        </is>
      </c>
      <c r="B131" s="5" t="inlineStr">
        <is>
          <t>FILM-138</t>
        </is>
      </c>
      <c r="C131" s="5" t="n"/>
      <c r="D131" s="5" t="inlineStr">
        <is>
          <t>Housefull 2</t>
        </is>
      </c>
      <c r="E131" s="5" t="inlineStr">
        <is>
          <t>Wikipedia</t>
        </is>
      </c>
      <c r="F131" s="5" t="n"/>
      <c r="G131" s="5" t="n"/>
      <c r="H131" s="22" t="inlineStr">
        <is>
          <t>https://en.wikipedia.org/wiki/Housefull_2</t>
        </is>
      </c>
      <c r="I131" s="16" t="n">
        <v>46290</v>
      </c>
      <c r="J131" s="5" t="inlineStr">
        <is>
          <t>Infobox: release date, language, runtime, director, producers, production banner, writers, source material, song composer, background score composer, lyricist, billing position, budget, currency.</t>
        </is>
      </c>
      <c r="K131" s="5" t="inlineStr">
        <is>
          <t>Reference encyclopedia</t>
        </is>
      </c>
      <c r="L131" s="5" t="inlineStr">
        <is>
          <t>C</t>
        </is>
      </c>
      <c r="M131" s="5" t="inlineStr">
        <is>
          <t>Film article; downloaded as raw wikitext.</t>
        </is>
      </c>
    </row>
    <row r="132" ht="64" customHeight="1">
      <c r="A132" s="15" t="inlineStr">
        <is>
          <t>SOURCE-131</t>
        </is>
      </c>
      <c r="B132" s="5" t="inlineStr">
        <is>
          <t>FILM-139</t>
        </is>
      </c>
      <c r="C132" s="5" t="n"/>
      <c r="D132" s="5" t="inlineStr">
        <is>
          <t>Student of the Year</t>
        </is>
      </c>
      <c r="E132" s="5" t="inlineStr">
        <is>
          <t>Wikipedia</t>
        </is>
      </c>
      <c r="F132" s="5" t="n"/>
      <c r="G132" s="5" t="n"/>
      <c r="H132" s="22" t="inlineStr">
        <is>
          <t>https://en.wikipedia.org/wiki/Student_of_the_Year</t>
        </is>
      </c>
      <c r="I132" s="16" t="n">
        <v>46290</v>
      </c>
      <c r="J132" s="5" t="inlineStr">
        <is>
          <t>Infobox: release date, language, runtime, director, producers, production banner, writers, song composer, lyricist, billing position, budget, currency.</t>
        </is>
      </c>
      <c r="K132" s="5" t="inlineStr">
        <is>
          <t>Reference encyclopedia</t>
        </is>
      </c>
      <c r="L132" s="5" t="inlineStr">
        <is>
          <t>C</t>
        </is>
      </c>
      <c r="M132" s="5" t="inlineStr">
        <is>
          <t>Film article; downloaded as raw wikitext.</t>
        </is>
      </c>
    </row>
    <row r="133" ht="49" customHeight="1">
      <c r="A133" s="15" t="inlineStr">
        <is>
          <t>SOURCE-132</t>
        </is>
      </c>
      <c r="B133" s="5" t="inlineStr">
        <is>
          <t>FILM-140</t>
        </is>
      </c>
      <c r="C133" s="5" t="inlineStr">
        <is>
          <t>PAIR-087</t>
        </is>
      </c>
      <c r="D133" s="5" t="inlineStr">
        <is>
          <t>Jab Tak Hai Jaan</t>
        </is>
      </c>
      <c r="E133" s="5" t="inlineStr">
        <is>
          <t>Wikipedia</t>
        </is>
      </c>
      <c r="F133" s="5" t="n"/>
      <c r="G133" s="5" t="n"/>
      <c r="H133" s="22" t="inlineStr">
        <is>
          <t>https://en.wikipedia.org/wiki/Jab_Tak_Hai_Jaan</t>
        </is>
      </c>
      <c r="I133" s="16" t="n">
        <v>46290</v>
      </c>
      <c r="J133" s="5" t="inlineStr">
        <is>
          <t>Infobox: release date, language, runtime, director, producers, production banner, writers, song composer, lyricist, budget, currency.</t>
        </is>
      </c>
      <c r="K133" s="5" t="inlineStr">
        <is>
          <t>Reference encyclopedia</t>
        </is>
      </c>
      <c r="L133" s="5" t="inlineStr">
        <is>
          <t>C</t>
        </is>
      </c>
      <c r="M133" s="5" t="inlineStr">
        <is>
          <t>Film article; downloaded as raw wikitext.</t>
        </is>
      </c>
    </row>
    <row r="134" ht="64" customHeight="1">
      <c r="A134" s="15" t="inlineStr">
        <is>
          <t>SOURCE-133</t>
        </is>
      </c>
      <c r="B134" s="5" t="inlineStr">
        <is>
          <t>FILM-141</t>
        </is>
      </c>
      <c r="C134" s="5" t="n"/>
      <c r="D134" s="5" t="inlineStr">
        <is>
          <t>Chashme Baddoor (2013 film)</t>
        </is>
      </c>
      <c r="E134" s="5" t="inlineStr">
        <is>
          <t>Wikipedia</t>
        </is>
      </c>
      <c r="F134" s="5" t="n"/>
      <c r="G134" s="5" t="n"/>
      <c r="H134" s="22" t="inlineStr">
        <is>
          <t>https://en.wikipedia.org/wiki/Chashme_Baddoor_(2013_film)</t>
        </is>
      </c>
      <c r="I134" s="16" t="n">
        <v>46290</v>
      </c>
      <c r="J134" s="5" t="inlineStr">
        <is>
          <t>Infobox: release date, language, runtime, director, producers, production banner, writers, source material, song composer, background score composer, budget, currency.</t>
        </is>
      </c>
      <c r="K134" s="5" t="inlineStr">
        <is>
          <t>Reference encyclopedia</t>
        </is>
      </c>
      <c r="L134" s="5" t="inlineStr">
        <is>
          <t>C</t>
        </is>
      </c>
      <c r="M134" s="5" t="inlineStr">
        <is>
          <t>Film article; downloaded as raw wikitext.</t>
        </is>
      </c>
    </row>
    <row r="135" ht="64" customHeight="1">
      <c r="A135" s="15" t="inlineStr">
        <is>
          <t>SOURCE-134</t>
        </is>
      </c>
      <c r="B135" s="5" t="inlineStr">
        <is>
          <t>FILM-142</t>
        </is>
      </c>
      <c r="C135" s="5" t="n"/>
      <c r="D135" s="5" t="inlineStr">
        <is>
          <t>Aurangzeb (film)</t>
        </is>
      </c>
      <c r="E135" s="5" t="inlineStr">
        <is>
          <t>Wikipedia</t>
        </is>
      </c>
      <c r="F135" s="5" t="n"/>
      <c r="G135" s="5" t="n"/>
      <c r="H135" s="22" t="inlineStr">
        <is>
          <t>https://en.wikipedia.org/wiki/Aurangzeb_(film)</t>
        </is>
      </c>
      <c r="I135" s="16" t="n">
        <v>46290</v>
      </c>
      <c r="J135" s="5" t="inlineStr">
        <is>
          <t>Infobox: release date, language, runtime, director, producers, production banner, writers, song composer, background score composer, lyricist, billing position.</t>
        </is>
      </c>
      <c r="K135" s="5" t="inlineStr">
        <is>
          <t>Reference encyclopedia</t>
        </is>
      </c>
      <c r="L135" s="5" t="inlineStr">
        <is>
          <t>C</t>
        </is>
      </c>
      <c r="M135" s="5" t="inlineStr">
        <is>
          <t>Film article; downloaded as raw wikitext.</t>
        </is>
      </c>
    </row>
    <row r="136" ht="49" customHeight="1">
      <c r="A136" s="15" t="inlineStr">
        <is>
          <t>SOURCE-135</t>
        </is>
      </c>
      <c r="B136" s="5" t="inlineStr">
        <is>
          <t>FILM-143</t>
        </is>
      </c>
      <c r="C136" s="5" t="n"/>
      <c r="D136" s="5" t="inlineStr">
        <is>
          <t>D-Day (2013 film)</t>
        </is>
      </c>
      <c r="E136" s="5" t="inlineStr">
        <is>
          <t>Wikipedia</t>
        </is>
      </c>
      <c r="F136" s="5" t="n"/>
      <c r="G136" s="5" t="n"/>
      <c r="H136" s="22" t="inlineStr">
        <is>
          <t>https://en.wikipedia.org/wiki/D-Day_(2013_film)</t>
        </is>
      </c>
      <c r="I136" s="16" t="n">
        <v>46290</v>
      </c>
      <c r="J136" s="5" t="inlineStr">
        <is>
          <t>Infobox: release date, language, runtime, director, producers, production banner, writers, song composer, lyricist, billing position.</t>
        </is>
      </c>
      <c r="K136" s="5" t="inlineStr">
        <is>
          <t>Reference encyclopedia</t>
        </is>
      </c>
      <c r="L136" s="5" t="inlineStr">
        <is>
          <t>C</t>
        </is>
      </c>
      <c r="M136" s="5" t="inlineStr">
        <is>
          <t>Film article; downloaded as raw wikitext.</t>
        </is>
      </c>
    </row>
    <row r="137" ht="64" customHeight="1">
      <c r="A137" s="15" t="inlineStr">
        <is>
          <t>SOURCE-136</t>
        </is>
      </c>
      <c r="B137" s="5" t="inlineStr">
        <is>
          <t>FILM-144</t>
        </is>
      </c>
      <c r="C137" s="5" t="n"/>
      <c r="D137" s="5" t="inlineStr">
        <is>
          <t>Shuddh Desi Romance</t>
        </is>
      </c>
      <c r="E137" s="5" t="inlineStr">
        <is>
          <t>Wikipedia</t>
        </is>
      </c>
      <c r="F137" s="5" t="n"/>
      <c r="G137" s="5" t="n"/>
      <c r="H137" s="22" t="inlineStr">
        <is>
          <t>https://en.wikipedia.org/wiki/Shuddh_Desi_Romance</t>
        </is>
      </c>
      <c r="I137" s="16" t="n">
        <v>46290</v>
      </c>
      <c r="J137" s="5" t="inlineStr">
        <is>
          <t>Infobox: release date, language, runtime, director, producers, production banner, writers, song composer, lyricist, billing position, budget, currency.</t>
        </is>
      </c>
      <c r="K137" s="5" t="inlineStr">
        <is>
          <t>Reference encyclopedia</t>
        </is>
      </c>
      <c r="L137" s="5" t="inlineStr">
        <is>
          <t>C</t>
        </is>
      </c>
      <c r="M137" s="5" t="inlineStr">
        <is>
          <t>Film article; downloaded as raw wikitext.</t>
        </is>
      </c>
    </row>
    <row r="138" ht="49" customHeight="1">
      <c r="A138" s="15" t="inlineStr">
        <is>
          <t>SOURCE-137</t>
        </is>
      </c>
      <c r="B138" s="5" t="inlineStr">
        <is>
          <t>FILM-145</t>
        </is>
      </c>
      <c r="C138" s="5" t="inlineStr">
        <is>
          <t>PAIR-088</t>
        </is>
      </c>
      <c r="D138" s="5" t="inlineStr">
        <is>
          <t>Besharam (2013 film)</t>
        </is>
      </c>
      <c r="E138" s="5" t="inlineStr">
        <is>
          <t>Wikipedia</t>
        </is>
      </c>
      <c r="F138" s="5" t="n"/>
      <c r="G138" s="5" t="n"/>
      <c r="H138" s="22" t="inlineStr">
        <is>
          <t>https://en.wikipedia.org/wiki/Besharam_(2013_film)</t>
        </is>
      </c>
      <c r="I138" s="16" t="n">
        <v>46290</v>
      </c>
      <c r="J138" s="5" t="inlineStr">
        <is>
          <t>Infobox: release date, language, runtime, director, producers, production banner, writers, song composer, billing position, budget, currency.</t>
        </is>
      </c>
      <c r="K138" s="5" t="inlineStr">
        <is>
          <t>Reference encyclopedia</t>
        </is>
      </c>
      <c r="L138" s="5" t="inlineStr">
        <is>
          <t>C</t>
        </is>
      </c>
      <c r="M138" s="5" t="inlineStr">
        <is>
          <t>Film article; downloaded as raw wikitext.</t>
        </is>
      </c>
    </row>
    <row r="139" ht="64" customHeight="1">
      <c r="A139" s="15" t="inlineStr">
        <is>
          <t>SOURCE-138</t>
        </is>
      </c>
      <c r="B139" s="5" t="inlineStr">
        <is>
          <t>FILM-146</t>
        </is>
      </c>
      <c r="C139" s="5" t="n"/>
      <c r="D139" s="5" t="inlineStr">
        <is>
          <t>Bewakoofiyaan</t>
        </is>
      </c>
      <c r="E139" s="5" t="inlineStr">
        <is>
          <t>Wikipedia</t>
        </is>
      </c>
      <c r="F139" s="5" t="n"/>
      <c r="G139" s="5" t="n"/>
      <c r="H139" s="22" t="inlineStr">
        <is>
          <t>https://en.wikipedia.org/wiki/Bewakoofiyaan</t>
        </is>
      </c>
      <c r="I139" s="16" t="n">
        <v>46290</v>
      </c>
      <c r="J139" s="5" t="inlineStr">
        <is>
          <t>Infobox: release date, language, runtime, director, producers, production banner, writers, song composer, background score composer, lyricist, billing position, budget, currency.</t>
        </is>
      </c>
      <c r="K139" s="5" t="inlineStr">
        <is>
          <t>Reference encyclopedia</t>
        </is>
      </c>
      <c r="L139" s="5" t="inlineStr">
        <is>
          <t>C</t>
        </is>
      </c>
      <c r="M139" s="5" t="inlineStr">
        <is>
          <t>Film article; downloaded as raw wikitext.</t>
        </is>
      </c>
    </row>
    <row r="140" ht="64" customHeight="1">
      <c r="A140" s="15" t="inlineStr">
        <is>
          <t>SOURCE-139</t>
        </is>
      </c>
      <c r="B140" s="5" t="inlineStr">
        <is>
          <t>FILM-147</t>
        </is>
      </c>
      <c r="C140" s="5" t="n"/>
      <c r="D140" s="5" t="inlineStr">
        <is>
          <t>Kaanchi (2014 film)</t>
        </is>
      </c>
      <c r="E140" s="5" t="inlineStr">
        <is>
          <t>Wikipedia</t>
        </is>
      </c>
      <c r="F140" s="5" t="n"/>
      <c r="G140" s="5" t="n"/>
      <c r="H140" s="22" t="inlineStr">
        <is>
          <t>https://en.wikipedia.org/wiki/Kaanchi_(2014_film)</t>
        </is>
      </c>
      <c r="I140" s="16" t="n">
        <v>46290</v>
      </c>
      <c r="J140" s="5" t="inlineStr">
        <is>
          <t>Infobox: release date, language, runtime, director, producers, production banner, writers, song composer, background score composer, lyricist, billing position.</t>
        </is>
      </c>
      <c r="K140" s="5" t="inlineStr">
        <is>
          <t>Reference encyclopedia</t>
        </is>
      </c>
      <c r="L140" s="5" t="inlineStr">
        <is>
          <t>C</t>
        </is>
      </c>
      <c r="M140" s="5" t="inlineStr">
        <is>
          <t>Film article; downloaded as raw wikitext.</t>
        </is>
      </c>
    </row>
    <row r="141" ht="64" customHeight="1">
      <c r="A141" s="15" t="inlineStr">
        <is>
          <t>SOURCE-140</t>
        </is>
      </c>
      <c r="B141" s="5" t="inlineStr">
        <is>
          <t>FILM-148</t>
        </is>
      </c>
      <c r="C141" s="5" t="inlineStr">
        <is>
          <t>PAIR-089</t>
        </is>
      </c>
      <c r="D141" s="5" t="inlineStr">
        <is>
          <t>All Is Well (2015 film)</t>
        </is>
      </c>
      <c r="E141" s="5" t="inlineStr">
        <is>
          <t>Wikipedia</t>
        </is>
      </c>
      <c r="F141" s="5" t="n"/>
      <c r="G141" s="5" t="n"/>
      <c r="H141" s="22" t="inlineStr">
        <is>
          <t>https://en.wikipedia.org/wiki/All_Is_Well_(2015_film)</t>
        </is>
      </c>
      <c r="I141" s="16" t="n">
        <v>46290</v>
      </c>
      <c r="J141" s="5" t="inlineStr">
        <is>
          <t>Infobox: release date, language, runtime, director, producers, production banner, writers, song composer, background score composer, lyricist, billing position.</t>
        </is>
      </c>
      <c r="K141" s="5" t="inlineStr">
        <is>
          <t>Reference encyclopedia</t>
        </is>
      </c>
      <c r="L141" s="5" t="inlineStr">
        <is>
          <t>C</t>
        </is>
      </c>
      <c r="M141" s="5" t="inlineStr">
        <is>
          <t>Film article; downloaded as raw wikitext.</t>
        </is>
      </c>
    </row>
    <row r="142" ht="49" customHeight="1">
      <c r="A142" s="15" t="inlineStr">
        <is>
          <t>SOURCE-141</t>
        </is>
      </c>
      <c r="B142" s="5" t="inlineStr">
        <is>
          <t>FILM-149</t>
        </is>
      </c>
      <c r="C142" s="5" t="n"/>
      <c r="D142" s="5" t="inlineStr">
        <is>
          <t>Wedding Pullav</t>
        </is>
      </c>
      <c r="E142" s="5" t="inlineStr">
        <is>
          <t>Wikipedia</t>
        </is>
      </c>
      <c r="F142" s="5" t="n"/>
      <c r="G142" s="5" t="n"/>
      <c r="H142" s="22" t="inlineStr">
        <is>
          <t>https://en.wikipedia.org/wiki/Wedding_Pullav</t>
        </is>
      </c>
      <c r="I142" s="16" t="n">
        <v>46290</v>
      </c>
      <c r="J142" s="5" t="inlineStr">
        <is>
          <t>Infobox: release date, language, director, producers, production banner, song composer, background score composer, lyricist, billing position.</t>
        </is>
      </c>
      <c r="K142" s="5" t="inlineStr">
        <is>
          <t>Reference encyclopedia</t>
        </is>
      </c>
      <c r="L142" s="5" t="inlineStr">
        <is>
          <t>C</t>
        </is>
      </c>
      <c r="M142" s="5" t="inlineStr">
        <is>
          <t>Film article; downloaded as raw wikitext.</t>
        </is>
      </c>
    </row>
    <row r="143" ht="49" customHeight="1">
      <c r="A143" s="15" t="inlineStr">
        <is>
          <t>SOURCE-142</t>
        </is>
      </c>
      <c r="B143" s="5" t="inlineStr">
        <is>
          <t>FILM-150</t>
        </is>
      </c>
      <c r="C143" s="5" t="n"/>
      <c r="D143" s="5" t="inlineStr">
        <is>
          <t>Chalk n Duster</t>
        </is>
      </c>
      <c r="E143" s="5" t="inlineStr">
        <is>
          <t>Wikipedia</t>
        </is>
      </c>
      <c r="F143" s="5" t="n"/>
      <c r="G143" s="5" t="n"/>
      <c r="H143" s="22" t="inlineStr">
        <is>
          <t>https://en.wikipedia.org/wiki/Chalk_n_Duster</t>
        </is>
      </c>
      <c r="I143" s="16" t="n">
        <v>46290</v>
      </c>
      <c r="J143" s="5" t="inlineStr">
        <is>
          <t>Infobox: release date, language, runtime, director, producers, production banner, writers, song composer.</t>
        </is>
      </c>
      <c r="K143" s="5" t="inlineStr">
        <is>
          <t>Reference encyclopedia</t>
        </is>
      </c>
      <c r="L143" s="5" t="inlineStr">
        <is>
          <t>C</t>
        </is>
      </c>
      <c r="M143" s="5" t="inlineStr">
        <is>
          <t>Film article; downloaded as raw wikitext.</t>
        </is>
      </c>
    </row>
    <row r="144" ht="64" customHeight="1">
      <c r="A144" s="15" t="inlineStr">
        <is>
          <t>SOURCE-143</t>
        </is>
      </c>
      <c r="B144" s="5" t="inlineStr">
        <is>
          <t>FILM-151</t>
        </is>
      </c>
      <c r="C144" s="5" t="n"/>
      <c r="D144" s="5" t="inlineStr">
        <is>
          <t>Sanam Re</t>
        </is>
      </c>
      <c r="E144" s="5" t="inlineStr">
        <is>
          <t>Wikipedia</t>
        </is>
      </c>
      <c r="F144" s="5" t="n"/>
      <c r="G144" s="5" t="n"/>
      <c r="H144" s="22" t="inlineStr">
        <is>
          <t>https://en.wikipedia.org/wiki/Sanam_Re</t>
        </is>
      </c>
      <c r="I144" s="16" t="n">
        <v>46290</v>
      </c>
      <c r="J144" s="5" t="inlineStr">
        <is>
          <t>Infobox: release date, language, runtime, director, producers, production banner, writers, song composer, background score composer, lyricist, billing position.</t>
        </is>
      </c>
      <c r="K144" s="5" t="inlineStr">
        <is>
          <t>Reference encyclopedia</t>
        </is>
      </c>
      <c r="L144" s="5" t="inlineStr">
        <is>
          <t>C</t>
        </is>
      </c>
      <c r="M144" s="5" t="inlineStr">
        <is>
          <t>Film article; downloaded as raw wikitext.</t>
        </is>
      </c>
    </row>
    <row r="145" ht="64" customHeight="1">
      <c r="A145" s="15" t="inlineStr">
        <is>
          <t>SOURCE-144</t>
        </is>
      </c>
      <c r="B145" s="5" t="inlineStr">
        <is>
          <t>FILM-152</t>
        </is>
      </c>
      <c r="C145" s="5" t="n"/>
      <c r="D145" s="5" t="inlineStr">
        <is>
          <t>Kapoor &amp; Sons</t>
        </is>
      </c>
      <c r="E145" s="5" t="inlineStr">
        <is>
          <t>Wikipedia</t>
        </is>
      </c>
      <c r="F145" s="5" t="n"/>
      <c r="G145" s="5" t="n"/>
      <c r="H145" s="22" t="inlineStr">
        <is>
          <t>https://en.wikipedia.org/wiki/Kapoor_&amp;_Sons</t>
        </is>
      </c>
      <c r="I145" s="16" t="n">
        <v>46290</v>
      </c>
      <c r="J145" s="5" t="inlineStr">
        <is>
          <t>Infobox: release date, language, runtime, director, producers, production banner, writers, song composer, background score composer, billing position, budget, currency.</t>
        </is>
      </c>
      <c r="K145" s="5" t="inlineStr">
        <is>
          <t>Reference encyclopedia</t>
        </is>
      </c>
      <c r="L145" s="5" t="inlineStr">
        <is>
          <t>C</t>
        </is>
      </c>
      <c r="M145" s="5" t="inlineStr">
        <is>
          <t>Film article; downloaded as raw wikitext.</t>
        </is>
      </c>
    </row>
    <row r="146" ht="49" customHeight="1">
      <c r="A146" s="15" t="inlineStr">
        <is>
          <t>SOURCE-145</t>
        </is>
      </c>
      <c r="B146" s="5" t="inlineStr">
        <is>
          <t>FILM-153</t>
        </is>
      </c>
      <c r="C146" s="5" t="n"/>
      <c r="D146" s="5" t="inlineStr">
        <is>
          <t>Patel Ki Punjabi Shaadi</t>
        </is>
      </c>
      <c r="E146" s="5" t="inlineStr">
        <is>
          <t>Wikipedia</t>
        </is>
      </c>
      <c r="F146" s="5" t="n"/>
      <c r="G146" s="5" t="n"/>
      <c r="H146" s="22" t="inlineStr">
        <is>
          <t>https://en.wikipedia.org/wiki/Patel_Ki_Punjabi_Shaadi</t>
        </is>
      </c>
      <c r="I146" s="16" t="n">
        <v>46290</v>
      </c>
      <c r="J146" s="5" t="inlineStr">
        <is>
          <t>Infobox: release date, language, runtime, director, producers, production banner, writers, song composer, billing position.</t>
        </is>
      </c>
      <c r="K146" s="5" t="inlineStr">
        <is>
          <t>Reference encyclopedia</t>
        </is>
      </c>
      <c r="L146" s="5" t="inlineStr">
        <is>
          <t>C</t>
        </is>
      </c>
      <c r="M146" s="5" t="inlineStr">
        <is>
          <t>Film article; downloaded as raw wikitext.</t>
        </is>
      </c>
    </row>
    <row r="147" ht="64" customHeight="1">
      <c r="A147" s="15" t="inlineStr">
        <is>
          <t>SOURCE-146</t>
        </is>
      </c>
      <c r="B147" s="5" t="inlineStr">
        <is>
          <t>FILM-154</t>
        </is>
      </c>
      <c r="C147" s="5" t="n"/>
      <c r="D147" s="5" t="inlineStr">
        <is>
          <t>102 Not Out</t>
        </is>
      </c>
      <c r="E147" s="5" t="inlineStr">
        <is>
          <t>Wikipedia</t>
        </is>
      </c>
      <c r="F147" s="5" t="n"/>
      <c r="G147" s="5" t="n"/>
      <c r="H147" s="22" t="inlineStr">
        <is>
          <t>https://en.wikipedia.org/wiki/102_Not_Out</t>
        </is>
      </c>
      <c r="I147" s="16" t="n">
        <v>46290</v>
      </c>
      <c r="J147" s="5" t="inlineStr">
        <is>
          <t>Infobox: release date, language, runtime, director, producers, production banner, writers, song composer, background score composer, lyricist, billing position, budget, currency.</t>
        </is>
      </c>
      <c r="K147" s="5" t="inlineStr">
        <is>
          <t>Reference encyclopedia</t>
        </is>
      </c>
      <c r="L147" s="5" t="inlineStr">
        <is>
          <t>C</t>
        </is>
      </c>
      <c r="M147" s="5" t="inlineStr">
        <is>
          <t>Film article; downloaded as raw wikitext.</t>
        </is>
      </c>
    </row>
    <row r="148" ht="49" customHeight="1">
      <c r="A148" s="15" t="inlineStr">
        <is>
          <t>SOURCE-147</t>
        </is>
      </c>
      <c r="B148" s="5" t="inlineStr">
        <is>
          <t>FILM-156</t>
        </is>
      </c>
      <c r="C148" s="5" t="n"/>
      <c r="D148" s="5" t="inlineStr">
        <is>
          <t>Manto (2018 film)</t>
        </is>
      </c>
      <c r="E148" s="5" t="inlineStr">
        <is>
          <t>Wikipedia</t>
        </is>
      </c>
      <c r="F148" s="5" t="n"/>
      <c r="G148" s="5" t="n"/>
      <c r="H148" s="22" t="inlineStr">
        <is>
          <t>https://en.wikipedia.org/wiki/Manto_(2018_film)</t>
        </is>
      </c>
      <c r="I148" s="16" t="n">
        <v>46290</v>
      </c>
      <c r="J148" s="5" t="inlineStr">
        <is>
          <t>Infobox: release date, language, runtime, director, producers, production banner, writers, song composer, lyricist.</t>
        </is>
      </c>
      <c r="K148" s="5" t="inlineStr">
        <is>
          <t>Reference encyclopedia</t>
        </is>
      </c>
      <c r="L148" s="5" t="inlineStr">
        <is>
          <t>C</t>
        </is>
      </c>
      <c r="M148" s="5" t="inlineStr">
        <is>
          <t>Film article; downloaded as raw wikitext.</t>
        </is>
      </c>
    </row>
    <row r="149" ht="64" customHeight="1">
      <c r="A149" s="15" t="inlineStr">
        <is>
          <t>SOURCE-148</t>
        </is>
      </c>
      <c r="B149" s="5" t="inlineStr">
        <is>
          <t>FILM-155</t>
        </is>
      </c>
      <c r="C149" s="5" t="n"/>
      <c r="D149" s="5" t="inlineStr">
        <is>
          <t>Mulk (film)</t>
        </is>
      </c>
      <c r="E149" s="5" t="inlineStr">
        <is>
          <t>Wikipedia</t>
        </is>
      </c>
      <c r="F149" s="5" t="n"/>
      <c r="G149" s="5" t="n"/>
      <c r="H149" s="22" t="inlineStr">
        <is>
          <t>https://en.wikipedia.org/wiki/Mulk_(film)</t>
        </is>
      </c>
      <c r="I149" s="16" t="n">
        <v>46290</v>
      </c>
      <c r="J149" s="5" t="inlineStr">
        <is>
          <t>Infobox: release date, language, runtime, director, producers, production banner, writers, song composer, background score composer, lyricist, billing position, budget, currency.</t>
        </is>
      </c>
      <c r="K149" s="5" t="inlineStr">
        <is>
          <t>Reference encyclopedia</t>
        </is>
      </c>
      <c r="L149" s="5" t="inlineStr">
        <is>
          <t>C</t>
        </is>
      </c>
      <c r="M149" s="5" t="inlineStr">
        <is>
          <t>Film article; downloaded as raw wikitext.</t>
        </is>
      </c>
    </row>
    <row r="150" ht="49" customHeight="1">
      <c r="A150" s="15" t="inlineStr">
        <is>
          <t>SOURCE-149</t>
        </is>
      </c>
      <c r="B150" s="5" t="inlineStr">
        <is>
          <t>FILM-157</t>
        </is>
      </c>
      <c r="C150" s="5" t="n"/>
      <c r="D150" s="5" t="inlineStr">
        <is>
          <t>Rajma Chawal</t>
        </is>
      </c>
      <c r="E150" s="5" t="inlineStr">
        <is>
          <t>Wikipedia</t>
        </is>
      </c>
      <c r="F150" s="5" t="n"/>
      <c r="G150" s="5" t="n"/>
      <c r="H150" s="22" t="inlineStr">
        <is>
          <t>https://en.wikipedia.org/wiki/Rajma_Chawal</t>
        </is>
      </c>
      <c r="I150" s="16" t="n">
        <v>46290</v>
      </c>
      <c r="J150" s="5" t="inlineStr">
        <is>
          <t>Infobox: release date, language, runtime, director, producers, production banner, writers, song composer, lyricist, billing position.</t>
        </is>
      </c>
      <c r="K150" s="5" t="inlineStr">
        <is>
          <t>Reference encyclopedia</t>
        </is>
      </c>
      <c r="L150" s="5" t="inlineStr">
        <is>
          <t>C</t>
        </is>
      </c>
      <c r="M150" s="5" t="inlineStr">
        <is>
          <t>Film article; downloaded as raw wikitext.</t>
        </is>
      </c>
    </row>
    <row r="151" ht="64" customHeight="1">
      <c r="A151" s="15" t="inlineStr">
        <is>
          <t>SOURCE-150</t>
        </is>
      </c>
      <c r="B151" s="5" t="inlineStr">
        <is>
          <t>FILM-158</t>
        </is>
      </c>
      <c r="C151" s="5" t="n"/>
      <c r="D151" s="5" t="inlineStr">
        <is>
          <t>Jhootha Kahin Ka</t>
        </is>
      </c>
      <c r="E151" s="5" t="inlineStr">
        <is>
          <t>Wikipedia</t>
        </is>
      </c>
      <c r="F151" s="5" t="n"/>
      <c r="G151" s="5" t="n"/>
      <c r="H151" s="22" t="inlineStr">
        <is>
          <t>https://en.wikipedia.org/wiki/Jhootha_Kahin_Ka</t>
        </is>
      </c>
      <c r="I151" s="16" t="n">
        <v>46290</v>
      </c>
      <c r="J151" s="5" t="inlineStr">
        <is>
          <t>Infobox: release date, language, runtime, director, producers, production banner, writers, source material, song composer, lyricist, billing position.</t>
        </is>
      </c>
      <c r="K151" s="5" t="inlineStr">
        <is>
          <t>Reference encyclopedia</t>
        </is>
      </c>
      <c r="L151" s="5" t="inlineStr">
        <is>
          <t>C</t>
        </is>
      </c>
      <c r="M151" s="5" t="inlineStr">
        <is>
          <t>Film article; downloaded as raw wikitext.</t>
        </is>
      </c>
    </row>
    <row r="152" ht="64" customHeight="1">
      <c r="A152" s="15" t="inlineStr">
        <is>
          <t>SOURCE-151</t>
        </is>
      </c>
      <c r="B152" s="5" t="inlineStr">
        <is>
          <t>FILM-159</t>
        </is>
      </c>
      <c r="C152" s="5" t="n"/>
      <c r="D152" s="5" t="inlineStr">
        <is>
          <t>The Body (2019 film)</t>
        </is>
      </c>
      <c r="E152" s="5" t="inlineStr">
        <is>
          <t>Wikipedia</t>
        </is>
      </c>
      <c r="F152" s="5" t="n"/>
      <c r="G152" s="5" t="n"/>
      <c r="H152" s="22" t="inlineStr">
        <is>
          <t>https://en.wikipedia.org/wiki/The_Body_(2019_film)</t>
        </is>
      </c>
      <c r="I152" s="16" t="n">
        <v>46290</v>
      </c>
      <c r="J152" s="5" t="inlineStr">
        <is>
          <t>Infobox: release date, language, runtime, director, producers, production banner, writers, source material, song composer, background score composer, lyricist, billing position.</t>
        </is>
      </c>
      <c r="K152" s="5" t="inlineStr">
        <is>
          <t>Reference encyclopedia</t>
        </is>
      </c>
      <c r="L152" s="5" t="inlineStr">
        <is>
          <t>C</t>
        </is>
      </c>
      <c r="M152" s="5" t="inlineStr">
        <is>
          <t>Film article; downloaded as raw wikitext.</t>
        </is>
      </c>
    </row>
    <row r="153" ht="49" customHeight="1">
      <c r="A153" s="15" t="inlineStr">
        <is>
          <t>SOURCE-152</t>
        </is>
      </c>
      <c r="B153" s="5" t="inlineStr">
        <is>
          <t>FILM-160</t>
        </is>
      </c>
      <c r="C153" s="5" t="inlineStr">
        <is>
          <t>PAIR-090</t>
        </is>
      </c>
      <c r="D153" s="5" t="inlineStr">
        <is>
          <t>Sharmaji Namkeen</t>
        </is>
      </c>
      <c r="E153" s="5" t="inlineStr">
        <is>
          <t>Wikipedia</t>
        </is>
      </c>
      <c r="F153" s="5" t="n"/>
      <c r="G153" s="5" t="n"/>
      <c r="H153" s="22" t="inlineStr">
        <is>
          <t>https://en.wikipedia.org/wiki/Sharmaji_Namkeen</t>
        </is>
      </c>
      <c r="I153" s="16" t="n">
        <v>46290</v>
      </c>
      <c r="J153" s="5" t="inlineStr">
        <is>
          <t>Infobox: release date, language, runtime, director, producers, production banner, writers, song composer, lyricist, billing position.</t>
        </is>
      </c>
      <c r="K153" s="5" t="inlineStr">
        <is>
          <t>Reference encyclopedia</t>
        </is>
      </c>
      <c r="L153" s="5" t="inlineStr">
        <is>
          <t>C</t>
        </is>
      </c>
      <c r="M153" s="5" t="inlineStr">
        <is>
          <t>Film article; downloaded as raw wikitext.</t>
        </is>
      </c>
    </row>
    <row r="154" ht="64" customHeight="1">
      <c r="A154" s="15" t="inlineStr">
        <is>
          <t>SOURCE-153</t>
        </is>
      </c>
      <c r="B154" s="5" t="n"/>
      <c r="C154" s="5" t="n"/>
      <c r="D154" s="5" t="inlineStr">
        <is>
          <t>Laxmikant–Pyarelal</t>
        </is>
      </c>
      <c r="E154" s="5" t="inlineStr">
        <is>
          <t>Wikipedia</t>
        </is>
      </c>
      <c r="F154" s="5" t="n"/>
      <c r="G154" s="5" t="n"/>
      <c r="H154" s="22" t="inlineStr">
        <is>
          <t>https://en.wikipedia.org/wiki/Laxmikant%E2%80%93Pyarelal</t>
        </is>
      </c>
      <c r="I154" s="16" t="n">
        <v>46297</v>
      </c>
      <c r="J154" s="5" t="inlineStr">
        <is>
          <t>Members and dates of the composing duo, career span, output of about 750 films, Filmfare Best Music Director win for Jeene Ki Raah, nominations, Padma Bhushan.</t>
        </is>
      </c>
      <c r="K154" s="5" t="inlineStr">
        <is>
          <t>Reference encyclopedia</t>
        </is>
      </c>
      <c r="L154" s="5" t="inlineStr">
        <is>
          <t>C</t>
        </is>
      </c>
      <c r="M154" s="5" t="inlineStr">
        <is>
          <t>Collaborator article; downloaded as raw wikitext.</t>
        </is>
      </c>
    </row>
    <row r="155" ht="64" customHeight="1">
      <c r="A155" s="15" t="inlineStr">
        <is>
          <t>SOURCE-154</t>
        </is>
      </c>
      <c r="B155" s="5" t="n"/>
      <c r="C155" s="5" t="n"/>
      <c r="D155" s="5" t="inlineStr">
        <is>
          <t>R. D. Burman</t>
        </is>
      </c>
      <c r="E155" s="5" t="inlineStr">
        <is>
          <t>Wikipedia</t>
        </is>
      </c>
      <c r="F155" s="5" t="n"/>
      <c r="G155" s="5" t="n"/>
      <c r="H155" s="22" t="inlineStr">
        <is>
          <t>https://en.wikipedia.org/wiki/R._D._Burman</t>
        </is>
      </c>
      <c r="I155" s="16" t="n">
        <v>46297</v>
      </c>
      <c r="J155" s="5" t="inlineStr">
        <is>
          <t>Life dates, parentage, 331 film credits, Teesri Manzil breakthrough, three Filmfare Best Music Director awards including the posthumous one, Saagar nomination.</t>
        </is>
      </c>
      <c r="K155" s="5" t="inlineStr">
        <is>
          <t>Reference encyclopedia</t>
        </is>
      </c>
      <c r="L155" s="5" t="inlineStr">
        <is>
          <t>C</t>
        </is>
      </c>
      <c r="M155" s="5" t="inlineStr">
        <is>
          <t>Collaborator article; downloaded as raw wikitext.</t>
        </is>
      </c>
    </row>
    <row r="156" ht="49" customHeight="1">
      <c r="A156" s="15" t="inlineStr">
        <is>
          <t>SOURCE-155</t>
        </is>
      </c>
      <c r="B156" s="5" t="n"/>
      <c r="C156" s="5" t="n"/>
      <c r="D156" s="5" t="inlineStr">
        <is>
          <t>Yash Raj Films</t>
        </is>
      </c>
      <c r="E156" s="5" t="inlineStr">
        <is>
          <t>Wikipedia</t>
        </is>
      </c>
      <c r="F156" s="5" t="n"/>
      <c r="G156" s="5" t="n"/>
      <c r="H156" s="22" t="inlineStr">
        <is>
          <t>https://en.wikipedia.org/wiki/Yash_Raj_Films</t>
        </is>
      </c>
      <c r="I156" s="16" t="n">
        <v>46297</v>
      </c>
      <c r="J156" s="5" t="inlineStr">
        <is>
          <t>Founding by Yash Chopra in 1970, leadership by Aditya Chopra from 2012, divisions including YRF Studios and YRF Music, 2006 Filmfare ranking.</t>
        </is>
      </c>
      <c r="K156" s="5" t="inlineStr">
        <is>
          <t>Reference encyclopedia</t>
        </is>
      </c>
      <c r="L156" s="5" t="inlineStr">
        <is>
          <t>C</t>
        </is>
      </c>
      <c r="M156" s="5" t="inlineStr">
        <is>
          <t>Collaborator article (production banner); downloaded as raw wikitext.</t>
        </is>
      </c>
    </row>
    <row r="157" ht="64" customHeight="1">
      <c r="A157" s="15" t="inlineStr">
        <is>
          <t>SOURCE-156</t>
        </is>
      </c>
      <c r="B157" s="5" t="n"/>
      <c r="C157" s="5" t="n"/>
      <c r="D157" s="5" t="inlineStr">
        <is>
          <t>Kader Khan</t>
        </is>
      </c>
      <c r="E157" s="5" t="inlineStr">
        <is>
          <t>Wikipedia</t>
        </is>
      </c>
      <c r="F157" s="5" t="n"/>
      <c r="G157" s="5" t="n"/>
      <c r="H157" s="22" t="inlineStr">
        <is>
          <t>https://en.wikipedia.org/wiki/Kader_Khan</t>
        </is>
      </c>
      <c r="I157" s="16" t="n">
        <v>46297</v>
      </c>
      <c r="J157" s="5" t="inlineStr">
        <is>
          <t>Life dates, birth in Kabul, engineering professorship, entry into films in 1971, over 300 acting roles and dialogue for about 200 films, posthumous Padma Shri.</t>
        </is>
      </c>
      <c r="K157" s="5" t="inlineStr">
        <is>
          <t>Reference encyclopedia</t>
        </is>
      </c>
      <c r="L157" s="5" t="inlineStr">
        <is>
          <t>C</t>
        </is>
      </c>
      <c r="M157" s="5" t="inlineStr">
        <is>
          <t>Collaborator article; downloaded as raw wikitext.</t>
        </is>
      </c>
    </row>
    <row r="158" ht="49" customHeight="1">
      <c r="A158" s="15" t="inlineStr">
        <is>
          <t>SOURCE-157</t>
        </is>
      </c>
      <c r="B158" s="5" t="n"/>
      <c r="C158" s="5" t="n"/>
      <c r="D158" s="5" t="inlineStr">
        <is>
          <t>Rajesh Roshan</t>
        </is>
      </c>
      <c r="E158" s="5" t="inlineStr">
        <is>
          <t>Wikipedia</t>
        </is>
      </c>
      <c r="F158" s="5" t="n"/>
      <c r="G158" s="5" t="n"/>
      <c r="H158" s="22" t="inlineStr">
        <is>
          <t>https://en.wikipedia.org/wiki/Rajesh_Roshan</t>
        </is>
      </c>
      <c r="I158" s="16" t="n">
        <v>46297</v>
      </c>
      <c r="J158" s="5" t="inlineStr">
        <is>
          <t>Birth date and family, Filmfare Best Music Director award for Julie, years active, later Filmfare recognition.</t>
        </is>
      </c>
      <c r="K158" s="5" t="inlineStr">
        <is>
          <t>Reference encyclopedia</t>
        </is>
      </c>
      <c r="L158" s="5" t="inlineStr">
        <is>
          <t>C</t>
        </is>
      </c>
      <c r="M158" s="5" t="inlineStr">
        <is>
          <t>Collaborator article; downloaded as raw wikitext.</t>
        </is>
      </c>
    </row>
    <row r="159" ht="49" customHeight="1">
      <c r="A159" s="15" t="inlineStr">
        <is>
          <t>SOURCE-158</t>
        </is>
      </c>
      <c r="B159" s="5" t="n"/>
      <c r="C159" s="5" t="n"/>
      <c r="D159" s="5" t="inlineStr">
        <is>
          <t>Sachin Bhowmick</t>
        </is>
      </c>
      <c r="E159" s="5" t="inlineStr">
        <is>
          <t>Wikipedia</t>
        </is>
      </c>
      <c r="F159" s="5" t="n"/>
      <c r="G159" s="5" t="n"/>
      <c r="H159" s="22" t="inlineStr">
        <is>
          <t>https://en.wikipedia.org/wiki/Sachin_Bhowmick</t>
        </is>
      </c>
      <c r="I159" s="16" t="n">
        <v>46297</v>
      </c>
      <c r="J159" s="5" t="inlineStr">
        <is>
          <t>Life dates, more than 94 film stories or screenplays, direction of Raja Rani (1973), years active 1958-2008.</t>
        </is>
      </c>
      <c r="K159" s="5" t="inlineStr">
        <is>
          <t>Reference encyclopedia</t>
        </is>
      </c>
      <c r="L159" s="5" t="inlineStr">
        <is>
          <t>C</t>
        </is>
      </c>
      <c r="M159" s="5" t="inlineStr">
        <is>
          <t>Collaborator article; downloaded as raw wikitext.</t>
        </is>
      </c>
    </row>
    <row r="160" ht="64" customHeight="1">
      <c r="A160" s="15" t="inlineStr">
        <is>
          <t>SOURCE-159</t>
        </is>
      </c>
      <c r="B160" s="5" t="n"/>
      <c r="C160" s="5" t="n"/>
      <c r="D160" s="5" t="inlineStr">
        <is>
          <t>Aditya Chopra</t>
        </is>
      </c>
      <c r="E160" s="5" t="inlineStr">
        <is>
          <t>Wikipedia</t>
        </is>
      </c>
      <c r="F160" s="5" t="n"/>
      <c r="G160" s="5" t="n"/>
      <c r="H160" s="22" t="inlineStr">
        <is>
          <t>https://en.wikipedia.org/wiki/Aditya_Chopra</t>
        </is>
      </c>
      <c r="I160" s="16" t="n">
        <v>46297</v>
      </c>
      <c r="J160" s="5" t="inlineStr">
        <is>
          <t>Birth date, chairmanship of Yash Raj Films, directorial debut and its National Film Award, 2004 production slate, status as highest-grossing Indian producer.</t>
        </is>
      </c>
      <c r="K160" s="5" t="inlineStr">
        <is>
          <t>Reference encyclopedia</t>
        </is>
      </c>
      <c r="L160" s="5" t="inlineStr">
        <is>
          <t>C</t>
        </is>
      </c>
      <c r="M160" s="5" t="inlineStr">
        <is>
          <t>Collaborator article; downloaded as raw wikitext.</t>
        </is>
      </c>
    </row>
    <row r="161" ht="49" customHeight="1">
      <c r="A161" s="15" t="inlineStr">
        <is>
          <t>SOURCE-160</t>
        </is>
      </c>
      <c r="B161" s="5" t="n"/>
      <c r="C161" s="5" t="n"/>
      <c r="D161" s="5" t="inlineStr">
        <is>
          <t>Anu Malik</t>
        </is>
      </c>
      <c r="E161" s="5" t="inlineStr">
        <is>
          <t>Wikipedia</t>
        </is>
      </c>
      <c r="F161" s="5" t="n"/>
      <c r="G161" s="5" t="n"/>
      <c r="H161" s="22" t="inlineStr">
        <is>
          <t>https://en.wikipedia.org/wiki/Anu_Malik</t>
        </is>
      </c>
      <c r="I161" s="16" t="n">
        <v>46297</v>
      </c>
      <c r="J161" s="5" t="inlineStr">
        <is>
          <t>Birth date and parentage, National Film Award and three Filmfare Awards, first Filmfare for Baazigar, plagiarism and harassment allegations.</t>
        </is>
      </c>
      <c r="K161" s="5" t="inlineStr">
        <is>
          <t>Reference encyclopedia</t>
        </is>
      </c>
      <c r="L161" s="5" t="inlineStr">
        <is>
          <t>C</t>
        </is>
      </c>
      <c r="M161" s="5" t="inlineStr">
        <is>
          <t>Collaborator article; downloaded as raw wikitext.</t>
        </is>
      </c>
    </row>
    <row r="162" ht="64" customHeight="1">
      <c r="A162" s="15" t="inlineStr">
        <is>
          <t>SOURCE-161</t>
        </is>
      </c>
      <c r="B162" s="5" t="n"/>
      <c r="C162" s="5" t="n"/>
      <c r="D162" s="5" t="inlineStr">
        <is>
          <t>Bappi Lahiri</t>
        </is>
      </c>
      <c r="E162" s="5" t="inlineStr">
        <is>
          <t>Wikipedia</t>
        </is>
      </c>
      <c r="F162" s="5" t="n"/>
      <c r="G162" s="5" t="n"/>
      <c r="H162" s="22" t="inlineStr">
        <is>
          <t>https://en.wikipedia.org/wiki/Bappi_Lahiri</t>
        </is>
      </c>
      <c r="I162" s="16" t="n">
        <v>46297</v>
      </c>
      <c r="J162" s="5" t="inlineStr">
        <is>
          <t>Life dates and birth name, popularisation of synthesised disco, 1986 Guinness recognition for over 180 songs in a year, Filmfare Lifetime Achievement Award.</t>
        </is>
      </c>
      <c r="K162" s="5" t="inlineStr">
        <is>
          <t>Reference encyclopedia</t>
        </is>
      </c>
      <c r="L162" s="5" t="inlineStr">
        <is>
          <t>C</t>
        </is>
      </c>
      <c r="M162" s="5" t="inlineStr">
        <is>
          <t>Collaborator article; downloaded as raw wikitext.</t>
        </is>
      </c>
    </row>
    <row r="163" ht="49" customHeight="1">
      <c r="A163" s="15" t="inlineStr">
        <is>
          <t>SOURCE-162</t>
        </is>
      </c>
      <c r="B163" s="5" t="n"/>
      <c r="C163" s="5" t="n"/>
      <c r="D163" s="5" t="inlineStr">
        <is>
          <t>Salim–Sulaiman</t>
        </is>
      </c>
      <c r="E163" s="5" t="inlineStr">
        <is>
          <t>Wikipedia</t>
        </is>
      </c>
      <c r="F163" s="5" t="n"/>
      <c r="G163" s="5" t="n"/>
      <c r="H163" s="22" t="inlineStr">
        <is>
          <t>https://en.wikipedia.org/wiki/Salim%E2%80%93Sulaiman</t>
        </is>
      </c>
      <c r="I163" s="16" t="n">
        <v>46297</v>
      </c>
      <c r="J163" s="5" t="inlineStr">
        <is>
          <t>Identity of the Merchant brothers, years active from 1993, work as music directors in Hindi cinema.</t>
        </is>
      </c>
      <c r="K163" s="5" t="inlineStr">
        <is>
          <t>Reference encyclopedia</t>
        </is>
      </c>
      <c r="L163" s="5" t="inlineStr">
        <is>
          <t>C</t>
        </is>
      </c>
      <c r="M163" s="5" t="inlineStr">
        <is>
          <t>Collaborator article; downloaded as raw wikitext.</t>
        </is>
      </c>
    </row>
    <row r="164" ht="49" customHeight="1">
      <c r="A164" s="15" t="inlineStr">
        <is>
          <t>SOURCE-163</t>
        </is>
      </c>
      <c r="B164" s="5" t="n"/>
      <c r="C164" s="5" t="n"/>
      <c r="D164" s="5" t="inlineStr">
        <is>
          <t>Jainendra Jain (screenwriter)</t>
        </is>
      </c>
      <c r="E164" s="5" t="inlineStr">
        <is>
          <t>Wikipedia</t>
        </is>
      </c>
      <c r="F164" s="5" t="n"/>
      <c r="G164" s="5" t="n"/>
      <c r="H164" s="22" t="inlineStr">
        <is>
          <t>https://en.wikipedia.org/wiki/Jainendra_Jain_(screenwriter)</t>
        </is>
      </c>
      <c r="I164" s="16" t="n">
        <v>46297</v>
      </c>
      <c r="J164" s="5" t="inlineStr">
        <is>
          <t>Life dates and birthplace, work as writer, director and producer, Bobby (1973) as his writing debut and as Rishi Kapoor's first leading role.</t>
        </is>
      </c>
      <c r="K164" s="5" t="inlineStr">
        <is>
          <t>Reference encyclopedia</t>
        </is>
      </c>
      <c r="L164" s="5" t="inlineStr">
        <is>
          <t>C</t>
        </is>
      </c>
      <c r="M164" s="5" t="inlineStr">
        <is>
          <t>Collaborator article; fetched under an explicit title because the bare name resolves to the physicist Jainendra K. Jain.</t>
        </is>
      </c>
    </row>
    <row r="165" ht="49" customHeight="1">
      <c r="A165" s="15" t="inlineStr">
        <is>
          <t>SOURCE-164</t>
        </is>
      </c>
      <c r="B165" s="5" t="n"/>
      <c r="C165" s="5" t="n"/>
      <c r="D165" s="5" t="inlineStr">
        <is>
          <t>Nadeem–Shravan</t>
        </is>
      </c>
      <c r="E165" s="5" t="inlineStr">
        <is>
          <t>Wikipedia</t>
        </is>
      </c>
      <c r="F165" s="5" t="n"/>
      <c r="G165" s="5" t="n"/>
      <c r="H165" s="22" t="inlineStr">
        <is>
          <t>https://en.wikipedia.org/wiki/Nadeem%E2%80%93Shravan</t>
        </is>
      </c>
      <c r="I165" s="16" t="n">
        <v>46297</v>
      </c>
      <c r="J165" s="5" t="inlineStr">
        <is>
          <t>Members and their dates, years active, classical instrumentation, commercial dominance of the 1990s, soundtrack sales.</t>
        </is>
      </c>
      <c r="K165" s="5" t="inlineStr">
        <is>
          <t>Reference encyclopedia</t>
        </is>
      </c>
      <c r="L165" s="5" t="inlineStr">
        <is>
          <t>C</t>
        </is>
      </c>
      <c r="M165" s="5" t="inlineStr">
        <is>
          <t>Collaborator article; downloaded as raw wikitext.</t>
        </is>
      </c>
    </row>
    <row r="166" ht="64" customHeight="1">
      <c r="A166" s="15" t="inlineStr">
        <is>
          <t>SOURCE-165</t>
        </is>
      </c>
      <c r="B166" s="5" t="n"/>
      <c r="C166" s="5" t="n"/>
      <c r="D166" s="5" t="inlineStr">
        <is>
          <t>R. K. Films</t>
        </is>
      </c>
      <c r="E166" s="5" t="inlineStr">
        <is>
          <t>Wikipedia</t>
        </is>
      </c>
      <c r="F166" s="5" t="n"/>
      <c r="G166" s="5" t="n"/>
      <c r="H166" s="22" t="inlineStr">
        <is>
          <t>https://en.wikipedia.org/wiki/R._K._Films</t>
        </is>
      </c>
      <c r="I166" s="16" t="n">
        <v>46297</v>
      </c>
      <c r="J166" s="5" t="inlineStr">
        <is>
          <t>Founding in 1948 by Raj Kapoor, base at R. K. Studio in Chembur, first release Aag, recurring social themes, later direction of company films by Randhir and Rajiv Kapoor.</t>
        </is>
      </c>
      <c r="K166" s="5" t="inlineStr">
        <is>
          <t>Reference encyclopedia</t>
        </is>
      </c>
      <c r="L166" s="5" t="inlineStr">
        <is>
          <t>C</t>
        </is>
      </c>
      <c r="M166" s="5" t="inlineStr">
        <is>
          <t>Collaborator article (production banner); downloaded as raw wikitext.</t>
        </is>
      </c>
    </row>
    <row r="167" ht="49" customHeight="1">
      <c r="A167" s="15" t="inlineStr">
        <is>
          <t>SOURCE-166</t>
        </is>
      </c>
      <c r="B167" s="5" t="n"/>
      <c r="C167" s="5" t="n"/>
      <c r="D167" s="5" t="inlineStr">
        <is>
          <t>Rahi Masoom Raza</t>
        </is>
      </c>
      <c r="E167" s="5" t="inlineStr">
        <is>
          <t>Wikipedia</t>
        </is>
      </c>
      <c r="F167" s="5" t="n"/>
      <c r="G167" s="5" t="n"/>
      <c r="H167" s="22" t="inlineStr">
        <is>
          <t>https://en.wikipedia.org/wiki/Rahi_Masoom_Raza</t>
        </is>
      </c>
      <c r="I167" s="16" t="n">
        <v>46297</v>
      </c>
      <c r="J167" s="5" t="inlineStr">
        <is>
          <t>Life dates and birthplace, work as Urdu poet and novelist, three Filmfare Awards for Best Dialogue, Mahabharat television scripts.</t>
        </is>
      </c>
      <c r="K167" s="5" t="inlineStr">
        <is>
          <t>Reference encyclopedia</t>
        </is>
      </c>
      <c r="L167" s="5" t="inlineStr">
        <is>
          <t>C</t>
        </is>
      </c>
      <c r="M167" s="5" t="inlineStr">
        <is>
          <t>Collaborator article; the credits spell the name Rahi Masoom Reza, consolidated here to the article's spelling.</t>
        </is>
      </c>
    </row>
    <row r="168" ht="64" customHeight="1">
      <c r="A168" s="15" t="inlineStr">
        <is>
          <t>SOURCE-167</t>
        </is>
      </c>
      <c r="B168" s="5" t="n"/>
      <c r="C168" s="5" t="n"/>
      <c r="D168" s="5" t="inlineStr">
        <is>
          <t>Daisy Irani (actress)</t>
        </is>
      </c>
      <c r="E168" s="5" t="inlineStr">
        <is>
          <t>Wikipedia</t>
        </is>
      </c>
      <c r="F168" s="5" t="n"/>
      <c r="G168" s="5" t="n"/>
      <c r="H168" s="22" t="inlineStr">
        <is>
          <t>https://en.wikipedia.org/wiki/Daisy_Irani_(actress)</t>
        </is>
      </c>
      <c r="I168" s="16" t="n">
        <v>46297</v>
      </c>
      <c r="J168" s="5" t="inlineStr">
        <is>
          <t>Marriage of the actress Daisy Irani to the screenwriter K. K. Shukla on 21 January 1971 and his death in 1993; corroborated by the Honey Irani article naming her sister as his widow.</t>
        </is>
      </c>
      <c r="K168" s="5" t="inlineStr">
        <is>
          <t>Reference encyclopedia</t>
        </is>
      </c>
      <c r="L168" s="5" t="inlineStr">
        <is>
          <t>C</t>
        </is>
      </c>
      <c r="M168" s="5" t="inlineStr">
        <is>
          <t>Cited for the only documented biographical facts about K. K. Shukla (PERSON-012), who has no article of his own.</t>
        </is>
      </c>
    </row>
    <row r="169" ht="79" customHeight="1">
      <c r="A169" s="15" t="inlineStr">
        <is>
          <t>SOURCE-168</t>
        </is>
      </c>
      <c r="B169" s="5" t="inlineStr">
        <is>
          <t>FILM-027</t>
        </is>
      </c>
      <c r="C169" s="5" t="n"/>
      <c r="D169" s="5" t="inlineStr">
        <is>
          <t>Rahul Rawail</t>
        </is>
      </c>
      <c r="E169" s="5" t="inlineStr">
        <is>
          <t>Wikipedia</t>
        </is>
      </c>
      <c r="F169" s="5" t="n"/>
      <c r="G169" s="5" t="n"/>
      <c r="H169" s="22" t="inlineStr">
        <is>
          <t>https://en.wikipedia.org/wiki/Rahul_Rawail</t>
        </is>
      </c>
      <c r="I169" s="16" t="n">
        <v>46297</v>
      </c>
      <c r="J169" s="5" t="inlineStr">
        <is>
          <t>Rawail's directorial debut was Gunehgaar (1980), starring Parveen Babi, Rishi Kapoor, Rajendra Kumar and Asha Parekh; his apprenticeship under Raj Kapoor, his later films, and his parentage by H. S. Rawail.</t>
        </is>
      </c>
      <c r="K169" s="5" t="inlineStr">
        <is>
          <t>Reference encyclopedia</t>
        </is>
      </c>
      <c r="L169" s="5" t="inlineStr">
        <is>
          <t>C</t>
        </is>
      </c>
      <c r="M169" s="5" t="inlineStr">
        <is>
          <t>Collaborator article, also cited on Films for the director credit of Gunahgaar (FILM-027), which has no Wikipedia article of its own and whose title the article spells Gunehgaar.</t>
        </is>
      </c>
    </row>
    <row r="170" ht="94" customHeight="1">
      <c r="A170" s="15" t="inlineStr">
        <is>
          <t>SOURCE-169</t>
        </is>
      </c>
      <c r="B170" s="5" t="inlineStr">
        <is>
          <t>FILM-091</t>
        </is>
      </c>
      <c r="C170" s="5" t="n"/>
      <c r="D170" s="5" t="inlineStr">
        <is>
          <t>K. Ravi Shankar</t>
        </is>
      </c>
      <c r="E170" s="5" t="inlineStr">
        <is>
          <t>Wikipedia</t>
        </is>
      </c>
      <c r="F170" s="5" t="n"/>
      <c r="G170" s="5" t="n"/>
      <c r="H170" s="22" t="inlineStr">
        <is>
          <t>https://en.wikipedia.org/wiki/K._Ravi_Shankar</t>
        </is>
      </c>
      <c r="I170" s="16" t="n">
        <v>46297</v>
      </c>
      <c r="J170" s="5" t="inlineStr">
        <is>
          <t>Shankar is described as an Indian film director known for Bollywood films of the late 1980s and early 1990s, with Swarag Se Sunder and Gharana named separately as films he produced; his filmography list includes Sadhna (1993), which is the basis for that film's director credit here.</t>
        </is>
      </c>
      <c r="K170" s="5" t="inlineStr">
        <is>
          <t>Reference encyclopedia</t>
        </is>
      </c>
      <c r="L170" s="5" t="inlineStr">
        <is>
          <t>C</t>
        </is>
      </c>
      <c r="M170" s="5" t="inlineStr">
        <is>
          <t>Collaborator article, also cited on Films for the director credit of Sadhna (FILM-091), which has no article of its own. The article's filmography list does not label roles, so the credit is recorded at Medium confidence.</t>
        </is>
      </c>
    </row>
    <row r="171" ht="79" customHeight="1">
      <c r="A171" s="15" t="inlineStr">
        <is>
          <t>SOURCE-170</t>
        </is>
      </c>
      <c r="B171" s="5" t="inlineStr">
        <is>
          <t>FILM-098</t>
        </is>
      </c>
      <c r="C171" s="5" t="n"/>
      <c r="D171" s="5" t="inlineStr">
        <is>
          <t>K. C. Bokadia</t>
        </is>
      </c>
      <c r="E171" s="5" t="inlineStr">
        <is>
          <t>Wikipedia</t>
        </is>
      </c>
      <c r="F171" s="5" t="n"/>
      <c r="G171" s="5" t="n"/>
      <c r="H171" s="22" t="inlineStr">
        <is>
          <t>https://en.wikipedia.org/wiki/K._C._Bokadia</t>
        </is>
      </c>
      <c r="I171" s="16" t="n">
        <v>46297</v>
      </c>
      <c r="J171" s="5" t="inlineStr">
        <is>
          <t>Bokadia's filmography table, whose columns are Year, Title, Director, Producer and Notes, marks him as director of Mohabbat Ki Arzoo (1994) and as producer of Naseeb Apna Apna (1986).</t>
        </is>
      </c>
      <c r="K171" s="5" t="inlineStr">
        <is>
          <t>Reference encyclopedia</t>
        </is>
      </c>
      <c r="L171" s="5" t="inlineStr">
        <is>
          <t>C</t>
        </is>
      </c>
      <c r="M171" s="5" t="inlineStr">
        <is>
          <t>Collaborator article, also cited on Films for the director credit of Mohabbat Ki Arzoo (FILM-098), which has no article of its own; the role is read from the labelled Director column of the article's table.</t>
        </is>
      </c>
    </row>
    <row r="172" ht="64" customHeight="1">
      <c r="A172" s="15" t="inlineStr">
        <is>
          <t>SOURCE-171</t>
        </is>
      </c>
      <c r="B172" s="5" t="n"/>
      <c r="C172" s="5" t="n"/>
      <c r="D172" s="5" t="inlineStr">
        <is>
          <t>Anand–Milind</t>
        </is>
      </c>
      <c r="E172" s="5" t="inlineStr">
        <is>
          <t>Wikipedia</t>
        </is>
      </c>
      <c r="F172" s="5" t="n"/>
      <c r="G172" s="5" t="n"/>
      <c r="H172" s="22" t="inlineStr">
        <is>
          <t>https://en.wikipedia.org/wiki/Anand%E2%80%93Milind</t>
        </is>
      </c>
      <c r="I172" s="16" t="n">
        <v>46297</v>
      </c>
      <c r="J172" s="5" t="inlineStr">
        <is>
          <t>Identity of the Srivastava brothers and their father Chitragupt, output of over 200 films, debut Ab Ayega Mazaa, Filmfare Award for Qayamat Se Qayamat Tak.</t>
        </is>
      </c>
      <c r="K172" s="5" t="inlineStr">
        <is>
          <t>Reference encyclopedia</t>
        </is>
      </c>
      <c r="L172" s="5" t="inlineStr">
        <is>
          <t>C</t>
        </is>
      </c>
      <c r="M172" s="5" t="inlineStr">
        <is>
          <t>Collaborator article; downloaded as raw wikitext.</t>
        </is>
      </c>
    </row>
    <row r="173" ht="49" customHeight="1">
      <c r="A173" s="15" t="inlineStr">
        <is>
          <t>SOURCE-172</t>
        </is>
      </c>
      <c r="B173" s="5" t="n"/>
      <c r="C173" s="5" t="n"/>
      <c r="D173" s="5" t="inlineStr">
        <is>
          <t>David Dhawan</t>
        </is>
      </c>
      <c r="E173" s="5" t="inlineStr">
        <is>
          <t>Wikipedia</t>
        </is>
      </c>
      <c r="F173" s="5" t="n"/>
      <c r="G173" s="5" t="n"/>
      <c r="H173" s="22" t="inlineStr">
        <is>
          <t>https://en.wikipedia.org/wiki/David_Dhawan</t>
        </is>
      </c>
      <c r="I173" s="16" t="n">
        <v>46297</v>
      </c>
      <c r="J173" s="5" t="inlineStr">
        <is>
          <t>Birth name and date, 46 films directed, Filmfare Best Director nominations for Aankhen and Biwi No.1, list of notable comedies, Dhawan family.</t>
        </is>
      </c>
      <c r="K173" s="5" t="inlineStr">
        <is>
          <t>Reference encyclopedia</t>
        </is>
      </c>
      <c r="L173" s="5" t="inlineStr">
        <is>
          <t>C</t>
        </is>
      </c>
      <c r="M173" s="5" t="inlineStr">
        <is>
          <t>Collaborator article; downloaded as raw wikitext.</t>
        </is>
      </c>
    </row>
    <row r="174" ht="64" customHeight="1">
      <c r="A174" s="15" t="inlineStr">
        <is>
          <t>SOURCE-173</t>
        </is>
      </c>
      <c r="B174" s="5" t="n"/>
      <c r="C174" s="5" t="n"/>
      <c r="D174" s="5" t="inlineStr">
        <is>
          <t>Harmesh Malhotra</t>
        </is>
      </c>
      <c r="E174" s="5" t="inlineStr">
        <is>
          <t>Wikipedia</t>
        </is>
      </c>
      <c r="F174" s="5" t="n"/>
      <c r="G174" s="5" t="n"/>
      <c r="H174" s="22" t="inlineStr">
        <is>
          <t>https://en.wikipedia.org/wiki/Harmesh_Malhotra</t>
        </is>
      </c>
      <c r="I174" s="16" t="n">
        <v>46297</v>
      </c>
      <c r="J174" s="5" t="inlineStr">
        <is>
          <t>Life dates, work as director, producer and screenplay writer, years active, Nagina (1986) as his best-known film starring Rishi Kapoor and Sridevi, and Nigahen as its sequel.</t>
        </is>
      </c>
      <c r="K174" s="5" t="inlineStr">
        <is>
          <t>Reference encyclopedia</t>
        </is>
      </c>
      <c r="L174" s="5" t="inlineStr">
        <is>
          <t>C</t>
        </is>
      </c>
      <c r="M174" s="5" t="inlineStr">
        <is>
          <t>Collaborator article; downloaded as raw wikitext.</t>
        </is>
      </c>
    </row>
    <row r="175" ht="64" customHeight="1">
      <c r="A175" s="15" t="inlineStr">
        <is>
          <t>SOURCE-174</t>
        </is>
      </c>
      <c r="B175" s="5" t="n"/>
      <c r="C175" s="5" t="n"/>
      <c r="D175" s="5" t="inlineStr">
        <is>
          <t>Kalyanji–Anandji</t>
        </is>
      </c>
      <c r="E175" s="5" t="inlineStr">
        <is>
          <t>Wikipedia</t>
        </is>
      </c>
      <c r="F175" s="5" t="n"/>
      <c r="G175" s="5" t="n"/>
      <c r="H175" s="22" t="inlineStr">
        <is>
          <t>https://en.wikipedia.org/wiki/Kalyanji%E2%80%93Anandji</t>
        </is>
      </c>
      <c r="I175" s="16" t="n">
        <v>46297</v>
      </c>
      <c r="J175" s="5" t="inlineStr">
        <is>
          <t>Identity and dates of the Shah brothers, about 250 films over forty years, National Film Award for Saraswatichandra, Filmfare Award for Kora Kagaz, Qurbani album sales.</t>
        </is>
      </c>
      <c r="K175" s="5" t="inlineStr">
        <is>
          <t>Reference encyclopedia</t>
        </is>
      </c>
      <c r="L175" s="5" t="inlineStr">
        <is>
          <t>C</t>
        </is>
      </c>
      <c r="M175" s="5" t="inlineStr">
        <is>
          <t>Collaborator article; downloaded as raw wikitext.</t>
        </is>
      </c>
    </row>
    <row r="176" ht="79" customHeight="1">
      <c r="A176" s="15" t="inlineStr">
        <is>
          <t>SOURCE-175</t>
        </is>
      </c>
      <c r="B176" s="5" t="n"/>
      <c r="C176" s="5" t="n"/>
      <c r="D176" s="5" t="inlineStr">
        <is>
          <t>Raj Kapoor</t>
        </is>
      </c>
      <c r="E176" s="5" t="inlineStr">
        <is>
          <t>Wikipedia</t>
        </is>
      </c>
      <c r="F176" s="5" t="n"/>
      <c r="G176" s="5" t="n"/>
      <c r="H176" s="22" t="inlineStr">
        <is>
          <t>https://en.wikipedia.org/wiki/Raj_Kapoor</t>
        </is>
      </c>
      <c r="I176" s="16" t="n">
        <v>46297</v>
      </c>
      <c r="J176" s="5" t="inlineStr">
        <is>
          <t>Life dates, birth in Peshawar as Prithviraj Kapoor's son, three National Film Awards and eleven Filmfare Awards, Padma Bhushan 1971, Chaplinesque tramp roles, and the family relationship to Rishi Kapoor.</t>
        </is>
      </c>
      <c r="K176" s="5" t="inlineStr">
        <is>
          <t>Reference encyclopedia</t>
        </is>
      </c>
      <c r="L176" s="5" t="inlineStr">
        <is>
          <t>C</t>
        </is>
      </c>
      <c r="M176" s="5" t="inlineStr">
        <is>
          <t>Collaborator article; downloaded as raw wikitext.</t>
        </is>
      </c>
    </row>
    <row r="177" ht="64" customHeight="1">
      <c r="A177" s="15" t="inlineStr">
        <is>
          <t>SOURCE-176</t>
        </is>
      </c>
      <c r="B177" s="5" t="n"/>
      <c r="C177" s="5" t="n"/>
      <c r="D177" s="5" t="inlineStr">
        <is>
          <t>Ranbir Pushp</t>
        </is>
      </c>
      <c r="E177" s="5" t="inlineStr">
        <is>
          <t>Wikipedia</t>
        </is>
      </c>
      <c r="F177" s="5" t="n"/>
      <c r="G177" s="5" t="n"/>
      <c r="H177" s="22" t="inlineStr">
        <is>
          <t>https://en.wikipedia.org/wiki/Ranbir_Pushp</t>
        </is>
      </c>
      <c r="I177" s="16" t="n">
        <v>46297</v>
      </c>
      <c r="J177" s="5" t="inlineStr">
        <is>
          <t>Origin in Patiala, work on more than fifty films and six serials, Filmfare nominations for Agni Sakshi, direction of Yaarana, and Hawalaat among his credits.</t>
        </is>
      </c>
      <c r="K177" s="5" t="inlineStr">
        <is>
          <t>Reference encyclopedia</t>
        </is>
      </c>
      <c r="L177" s="5" t="inlineStr">
        <is>
          <t>C</t>
        </is>
      </c>
      <c r="M177" s="5" t="inlineStr">
        <is>
          <t>Collaborator article; downloaded as raw wikitext.</t>
        </is>
      </c>
    </row>
    <row r="178" ht="64" customHeight="1">
      <c r="A178" s="15" t="inlineStr">
        <is>
          <t>SOURCE-177</t>
        </is>
      </c>
      <c r="B178" s="5" t="n"/>
      <c r="C178" s="5" t="n"/>
      <c r="D178" s="5" t="inlineStr">
        <is>
          <t>Rumi Jaffery</t>
        </is>
      </c>
      <c r="E178" s="5" t="inlineStr">
        <is>
          <t>Wikipedia</t>
        </is>
      </c>
      <c r="F178" s="5" t="n"/>
      <c r="G178" s="5" t="n"/>
      <c r="H178" s="22" t="inlineStr">
        <is>
          <t>https://en.wikipedia.org/wiki/Rumi_Jaffery</t>
        </is>
      </c>
      <c r="I178" s="16" t="n">
        <v>46297</v>
      </c>
      <c r="J178" s="5" t="inlineStr">
        <is>
          <t>Origin in Bhopal, about fifty screenplays including the David Dhawan comedies, directorial debut God Tussi Great Ho and later films including Chehre.</t>
        </is>
      </c>
      <c r="K178" s="5" t="inlineStr">
        <is>
          <t>Reference encyclopedia</t>
        </is>
      </c>
      <c r="L178" s="5" t="inlineStr">
        <is>
          <t>C</t>
        </is>
      </c>
      <c r="M178" s="5" t="inlineStr">
        <is>
          <t>Collaborator article; downloaded as raw wikitext.</t>
        </is>
      </c>
    </row>
    <row r="179" ht="94" customHeight="1">
      <c r="A179" s="15" t="inlineStr">
        <is>
          <t>SOURCE-178</t>
        </is>
      </c>
      <c r="B179" s="5" t="n"/>
      <c r="C179" s="5" t="n"/>
      <c r="D179" s="5" t="inlineStr">
        <is>
          <t>Yash Chopra</t>
        </is>
      </c>
      <c r="E179" s="5" t="inlineStr">
        <is>
          <t>Wikipedia</t>
        </is>
      </c>
      <c r="F179" s="5" t="n"/>
      <c r="G179" s="5" t="n"/>
      <c r="H179" s="22" t="inlineStr">
        <is>
          <t>https://en.wikipedia.org/wiki/Yash_Chopra</t>
        </is>
      </c>
      <c r="I179" s="16" t="n">
        <v>46297</v>
      </c>
      <c r="J179" s="5" t="inlineStr">
        <is>
          <t>Life dates, birth in Lahore, founding of Yash Raj Films, six National Film Awards and eight Filmfare Awards, BAFTA lifetime membership in 2006, debut Dhool Ka Phool and breakthrough Waqt, and his death during the production of Jab Tak Hai Jaan.</t>
        </is>
      </c>
      <c r="K179" s="5" t="inlineStr">
        <is>
          <t>Reference encyclopedia</t>
        </is>
      </c>
      <c r="L179" s="5" t="inlineStr">
        <is>
          <t>C</t>
        </is>
      </c>
      <c r="M179" s="5" t="inlineStr">
        <is>
          <t>Collaborator article; downloaded as raw wikitext.</t>
        </is>
      </c>
    </row>
    <row r="180" ht="64" customHeight="1">
      <c r="A180" s="15" t="inlineStr">
        <is>
          <t>SOURCE-179</t>
        </is>
      </c>
      <c r="B180" s="5" t="n"/>
      <c r="C180" s="5" t="n"/>
      <c r="D180" s="5" t="inlineStr">
        <is>
          <t>Dharma Productions</t>
        </is>
      </c>
      <c r="E180" s="5" t="inlineStr">
        <is>
          <t>Wikipedia</t>
        </is>
      </c>
      <c r="F180" s="5" t="n"/>
      <c r="G180" s="5" t="n"/>
      <c r="H180" s="22" t="inlineStr">
        <is>
          <t>https://en.wikipedia.org/wiki/Dharma_Productions</t>
        </is>
      </c>
      <c r="I180" s="16" t="n">
        <v>46297</v>
      </c>
      <c r="J180" s="5" t="inlineStr">
        <is>
          <t>Establishment by Yash Johar in 1976, takeover by Karan Johar in 2004, Dharma 2.0 and Dharmatic Entertainment, and the commercial failure of Duniya (1984) and Muqaddar Ka Faisla.</t>
        </is>
      </c>
      <c r="K180" s="5" t="inlineStr">
        <is>
          <t>Reference encyclopedia</t>
        </is>
      </c>
      <c r="L180" s="5" t="inlineStr">
        <is>
          <t>C</t>
        </is>
      </c>
      <c r="M180" s="5" t="inlineStr">
        <is>
          <t>Collaborator article; downloaded as raw wikitext.</t>
        </is>
      </c>
    </row>
    <row r="181" ht="64" customHeight="1">
      <c r="A181" s="15" t="inlineStr">
        <is>
          <t>SOURCE-180</t>
        </is>
      </c>
      <c r="B181" s="5" t="n"/>
      <c r="C181" s="5" t="n"/>
      <c r="D181" s="5" t="inlineStr">
        <is>
          <t>Jatin–Lalit</t>
        </is>
      </c>
      <c r="E181" s="5" t="inlineStr">
        <is>
          <t>Wikipedia</t>
        </is>
      </c>
      <c r="F181" s="5" t="n"/>
      <c r="G181" s="5" t="n"/>
      <c r="H181" s="22" t="inlineStr">
        <is>
          <t>https://en.wikipedia.org/wiki/Jatin%E2%80%93Lalit</t>
        </is>
      </c>
      <c r="I181" s="16" t="n">
        <v>46297</v>
      </c>
      <c r="J181" s="5" t="inlineStr">
        <is>
          <t>Identity of the Pandit brothers, partnership from 1991 to 2006, Filmfare nominations, and their best-known 1990s soundtracks including Fanaa as their final collaboration.</t>
        </is>
      </c>
      <c r="K181" s="5" t="inlineStr">
        <is>
          <t>Reference encyclopedia</t>
        </is>
      </c>
      <c r="L181" s="5" t="inlineStr">
        <is>
          <t>C</t>
        </is>
      </c>
      <c r="M181" s="5" t="inlineStr">
        <is>
          <t>Collaborator article; downloaded as raw wikitext.</t>
        </is>
      </c>
    </row>
    <row r="182" ht="79" customHeight="1">
      <c r="A182" s="15" t="inlineStr">
        <is>
          <t>SOURCE-181</t>
        </is>
      </c>
      <c r="B182" s="5" t="n"/>
      <c r="C182" s="5" t="n"/>
      <c r="D182" s="5" t="inlineStr">
        <is>
          <t>Javed Akhtar</t>
        </is>
      </c>
      <c r="E182" s="5" t="inlineStr">
        <is>
          <t>Wikipedia</t>
        </is>
      </c>
      <c r="F182" s="5" t="n"/>
      <c r="G182" s="5" t="n"/>
      <c r="H182" s="22" t="inlineStr">
        <is>
          <t>https://en.wikipedia.org/wiki/Javed_Akhtar</t>
        </is>
      </c>
      <c r="I182" s="16" t="n">
        <v>46297</v>
      </c>
      <c r="J182" s="5" t="inlineStr">
        <is>
          <t>Birth date and place, the Salim-Javed partnership and its landmark films, the split in the early 1980s, five National Film Awards and sixteen Filmfare Awards, Padma Shri and Padma Bhushan, and Rajya Sabha nomination.</t>
        </is>
      </c>
      <c r="K182" s="5" t="inlineStr">
        <is>
          <t>Reference encyclopedia</t>
        </is>
      </c>
      <c r="L182" s="5" t="inlineStr">
        <is>
          <t>C</t>
        </is>
      </c>
      <c r="M182" s="5" t="inlineStr">
        <is>
          <t>Collaborator article; downloaded as raw wikitext.</t>
        </is>
      </c>
    </row>
    <row r="183" ht="79" customHeight="1">
      <c r="A183" s="15" t="inlineStr">
        <is>
          <t>SOURCE-182</t>
        </is>
      </c>
      <c r="B183" s="5" t="n"/>
      <c r="C183" s="5" t="n"/>
      <c r="D183" s="5" t="inlineStr">
        <is>
          <t>Ketan Desai (director)</t>
        </is>
      </c>
      <c r="E183" s="5" t="inlineStr">
        <is>
          <t>Wikipedia</t>
        </is>
      </c>
      <c r="F183" s="5" t="n"/>
      <c r="G183" s="5" t="n"/>
      <c r="H183" s="22" t="inlineStr">
        <is>
          <t>https://en.wikipedia.org/wiki/Ketan_Desai_(director)</t>
        </is>
      </c>
      <c r="I183" s="16" t="n">
        <v>46297</v>
      </c>
      <c r="J183" s="5" t="inlineStr">
        <is>
          <t>Birth date, work as producer of five films and director of three masala films, production of Coolie (1983), marriage to Kanchan Kapoor and relation to Shammi Kapoor, and parentage by Manmohan Desai.</t>
        </is>
      </c>
      <c r="K183" s="5" t="inlineStr">
        <is>
          <t>Reference encyclopedia</t>
        </is>
      </c>
      <c r="L183" s="5" t="inlineStr">
        <is>
          <t>C</t>
        </is>
      </c>
      <c r="M183" s="5" t="inlineStr">
        <is>
          <t>Collaborator article; fetched under an explicit title because the bare name resolves to a medical administrator.</t>
        </is>
      </c>
    </row>
    <row r="184" ht="79" customHeight="1">
      <c r="A184" s="15" t="inlineStr">
        <is>
          <t>SOURCE-183</t>
        </is>
      </c>
      <c r="B184" s="5" t="n"/>
      <c r="C184" s="5" t="n"/>
      <c r="D184" s="5" t="inlineStr">
        <is>
          <t>Khwaja Ahmad Abbas</t>
        </is>
      </c>
      <c r="E184" s="5" t="inlineStr">
        <is>
          <t>Wikipedia</t>
        </is>
      </c>
      <c r="F184" s="5" t="n"/>
      <c r="G184" s="5" t="n"/>
      <c r="H184" s="22" t="inlineStr">
        <is>
          <t>https://en.wikipedia.org/wiki/Khwaja_Ahmad_Abbas</t>
        </is>
      </c>
      <c r="I184" s="16" t="n">
        <v>46297</v>
      </c>
      <c r="J184" s="5" t="inlineStr">
        <is>
          <t>Life dates, work as director, screenwriter, novelist and journalist, four National Film Awards, Cannes Grand Prize and Karlovy Vary Crystal Globe, and his scripts for Raj Kapoor including Awaara, Shree 420, Mera Naam Joker, Bobby and Henna.</t>
        </is>
      </c>
      <c r="K184" s="5" t="inlineStr">
        <is>
          <t>Reference encyclopedia</t>
        </is>
      </c>
      <c r="L184" s="5" t="inlineStr">
        <is>
          <t>C</t>
        </is>
      </c>
      <c r="M184" s="5" t="inlineStr">
        <is>
          <t>Collaborator article; downloaded as raw wikitext.</t>
        </is>
      </c>
    </row>
    <row r="185" ht="79" customHeight="1">
      <c r="A185" s="15" t="inlineStr">
        <is>
          <t>SOURCE-184</t>
        </is>
      </c>
      <c r="B185" s="5" t="n"/>
      <c r="C185" s="5" t="n"/>
      <c r="D185" s="5" t="inlineStr">
        <is>
          <t>Manmohan Desai</t>
        </is>
      </c>
      <c r="E185" s="5" t="inlineStr">
        <is>
          <t>Wikipedia</t>
        </is>
      </c>
      <c r="F185" s="5" t="n"/>
      <c r="G185" s="5" t="n"/>
      <c r="H185" s="22" t="inlineStr">
        <is>
          <t>https://en.wikipedia.org/wiki/Manmohan_Desai</t>
        </is>
      </c>
      <c r="I185" s="16" t="n">
        <v>46297</v>
      </c>
      <c r="J185" s="5" t="inlineStr">
        <is>
          <t>Life dates, work as producer and director, status as pioneer of the masala film, marriage to Jeevanprabha Gandhi, son Ketan Desai, and his most successful films including Amar Akbar Anthony, Naseeb and Coolie.</t>
        </is>
      </c>
      <c r="K185" s="5" t="inlineStr">
        <is>
          <t>Reference encyclopedia</t>
        </is>
      </c>
      <c r="L185" s="5" t="inlineStr">
        <is>
          <t>C</t>
        </is>
      </c>
      <c r="M185" s="5" t="inlineStr">
        <is>
          <t>Collaborator article; downloaded as raw wikitext.</t>
        </is>
      </c>
    </row>
    <row r="186" ht="109" customHeight="1">
      <c r="A186" s="15" t="inlineStr">
        <is>
          <t>SOURCE-185</t>
        </is>
      </c>
      <c r="B186" s="5" t="n"/>
      <c r="C186" s="5" t="n"/>
      <c r="D186" s="5" t="inlineStr">
        <is>
          <t>Rakesh Roshan</t>
        </is>
      </c>
      <c r="E186" s="5" t="inlineStr">
        <is>
          <t>Wikipedia</t>
        </is>
      </c>
      <c r="F186" s="5" t="n"/>
      <c r="G186" s="5" t="n"/>
      <c r="H186" s="22" t="inlineStr">
        <is>
          <t>https://en.wikipedia.org/wiki/Rakesh_Roshan</t>
        </is>
      </c>
      <c r="I186" s="16" t="n">
        <v>46297</v>
      </c>
      <c r="J186" s="5" t="inlineStr">
        <is>
          <t>Birth date, 84 acting roles, founding of Filmkraft in 1980 and the failure of Aap Ke Deewane, the K-titled directorial run from Khudgarz, Filmfare Awards for Kaho Naa... Pyaar Hai and Koi... Mil Gaya, his supporting role in Khel Khel Mein, and his relation to Rajesh Roshan and Hrithik Roshan.</t>
        </is>
      </c>
      <c r="K186" s="5" t="inlineStr">
        <is>
          <t>Reference encyclopedia</t>
        </is>
      </c>
      <c r="L186" s="5" t="inlineStr">
        <is>
          <t>C</t>
        </is>
      </c>
      <c r="M186" s="5" t="inlineStr">
        <is>
          <t>Collaborator article; downloaded as raw wikitext.</t>
        </is>
      </c>
    </row>
    <row r="187" ht="109" customHeight="1">
      <c r="A187" s="15" t="inlineStr">
        <is>
          <t>SOURCE-186</t>
        </is>
      </c>
      <c r="B187" s="5" t="n"/>
      <c r="C187" s="5" t="n"/>
      <c r="D187" s="5" t="inlineStr">
        <is>
          <t>Ramesh Talwar</t>
        </is>
      </c>
      <c r="E187" s="5" t="inlineStr">
        <is>
          <t>Wikipedia</t>
        </is>
      </c>
      <c r="F187" s="5" t="n"/>
      <c r="G187" s="5" t="n"/>
      <c r="H187" s="22" t="inlineStr">
        <is>
          <t>https://en.wikipedia.org/wiki/Ramesh_Talwar</t>
        </is>
      </c>
      <c r="I187" s="16" t="n">
        <v>46297</v>
      </c>
      <c r="J187" s="5" t="inlineStr">
        <is>
          <t>Work as film, theatre and television director, relation to Sagar Sarhadi, child-artist roles, assistantship to Yash Chopra 1969-1979, debut Doosra Aadmi (1977) with its cast including Rishi Kapoor and Neetu Singh, Filmfare nomination for Baseraa, and the commercial record of his seven films.</t>
        </is>
      </c>
      <c r="K187" s="5" t="inlineStr">
        <is>
          <t>Reference encyclopedia</t>
        </is>
      </c>
      <c r="L187" s="5" t="inlineStr">
        <is>
          <t>C</t>
        </is>
      </c>
      <c r="M187" s="5" t="inlineStr">
        <is>
          <t>Collaborator article; downloaded as raw wikitext.</t>
        </is>
      </c>
    </row>
    <row r="188" ht="64" customHeight="1">
      <c r="A188" s="15" t="inlineStr">
        <is>
          <t>SOURCE-187</t>
        </is>
      </c>
      <c r="B188" s="5" t="n"/>
      <c r="C188" s="5" t="n"/>
      <c r="D188" s="5" t="inlineStr">
        <is>
          <t>Ravi Tandon</t>
        </is>
      </c>
      <c r="E188" s="5" t="inlineStr">
        <is>
          <t>Wikipedia</t>
        </is>
      </c>
      <c r="F188" s="5" t="n"/>
      <c r="G188" s="5" t="n"/>
      <c r="H188" s="22" t="inlineStr">
        <is>
          <t>https://en.wikipedia.org/wiki/Ravi_Tandon</t>
        </is>
      </c>
      <c r="I188" s="16" t="n">
        <v>46297</v>
      </c>
      <c r="J188" s="5" t="inlineStr">
        <is>
          <t>Life dates, birth in Agra, work as director and producer, paternity of Raveena Tandon, his best-known films including Khel Khel Mein, and his death from respiratory failure in 2022.</t>
        </is>
      </c>
      <c r="K188" s="5" t="inlineStr">
        <is>
          <t>Reference encyclopedia</t>
        </is>
      </c>
      <c r="L188" s="5" t="inlineStr">
        <is>
          <t>C</t>
        </is>
      </c>
      <c r="M188" s="5" t="inlineStr">
        <is>
          <t>Collaborator article; downloaded as raw wikitext.</t>
        </is>
      </c>
    </row>
    <row r="189" ht="79" customHeight="1">
      <c r="A189" s="15" t="inlineStr">
        <is>
          <t>SOURCE-188</t>
        </is>
      </c>
      <c r="B189" s="5" t="n"/>
      <c r="C189" s="5" t="n"/>
      <c r="D189" s="5" t="inlineStr">
        <is>
          <t>Sagar Sarhadi</t>
        </is>
      </c>
      <c r="E189" s="5" t="inlineStr">
        <is>
          <t>Wikipedia</t>
        </is>
      </c>
      <c r="F189" s="5" t="n"/>
      <c r="G189" s="5" t="n"/>
      <c r="H189" s="22" t="inlineStr">
        <is>
          <t>https://en.wikipedia.org/wiki/Sagar_Sarhadi</t>
        </is>
      </c>
      <c r="I189" s="16" t="n">
        <v>46297</v>
      </c>
      <c r="J189" s="5" t="inlineStr">
        <is>
          <t>Life dates and birthplace, work as Urdu short-story writer and playwright, entry into films with Kabhi Kabhie, credits including Noorie, Silsila, Chandni and Bazaar, relation to Ramesh Talwar, and the 2019 lifetime achievement award.</t>
        </is>
      </c>
      <c r="K189" s="5" t="inlineStr">
        <is>
          <t>Reference encyclopedia</t>
        </is>
      </c>
      <c r="L189" s="5" t="inlineStr">
        <is>
          <t>C</t>
        </is>
      </c>
      <c r="M189" s="5" t="inlineStr">
        <is>
          <t>Collaborator article; downloaded as raw wikitext.</t>
        </is>
      </c>
    </row>
    <row r="190" ht="64" customHeight="1">
      <c r="A190" s="15" t="inlineStr">
        <is>
          <t>SOURCE-189</t>
        </is>
      </c>
      <c r="B190" s="5" t="n"/>
      <c r="C190" s="5" t="n"/>
      <c r="D190" s="5" t="inlineStr">
        <is>
          <t>Shankar–Ehsaan–Loy</t>
        </is>
      </c>
      <c r="E190" s="5" t="inlineStr">
        <is>
          <t>Wikipedia</t>
        </is>
      </c>
      <c r="F190" s="5" t="n"/>
      <c r="G190" s="5" t="n"/>
      <c r="H190" s="22" t="inlineStr">
        <is>
          <t>https://en.wikipedia.org/wiki/Shankar%E2%80%93Ehsaan%E2%80%93Loy</t>
        </is>
      </c>
      <c r="I190" s="16" t="n">
        <v>46297</v>
      </c>
      <c r="J190" s="5" t="inlineStr">
        <is>
          <t>Members of the trio, more than fifty soundtracks in six languages, National Film Awards, Filmfare and IIFA awards, Padma Shri for Shankar Mahadevan, and their best-known soundtracks.</t>
        </is>
      </c>
      <c r="K190" s="5" t="inlineStr">
        <is>
          <t>Reference encyclopedia</t>
        </is>
      </c>
      <c r="L190" s="5" t="inlineStr">
        <is>
          <t>C</t>
        </is>
      </c>
      <c r="M190" s="5" t="inlineStr">
        <is>
          <t>Collaborator article; downloaded as raw wikitext.</t>
        </is>
      </c>
    </row>
    <row r="191" ht="79" customHeight="1">
      <c r="A191" s="15" t="inlineStr">
        <is>
          <t>SOURCE-190</t>
        </is>
      </c>
      <c r="B191" s="5" t="n"/>
      <c r="C191" s="5" t="n"/>
      <c r="D191" s="5" t="inlineStr">
        <is>
          <t>A. R. Rahman</t>
        </is>
      </c>
      <c r="E191" s="5" t="inlineStr">
        <is>
          <t>Wikipedia</t>
        </is>
      </c>
      <c r="F191" s="5" t="n"/>
      <c r="G191" s="5" t="n"/>
      <c r="H191" s="22" t="inlineStr">
        <is>
          <t>https://en.wikipedia.org/wiki/A._R._Rahman</t>
        </is>
      </c>
      <c r="I191" s="16" t="n">
        <v>46297</v>
      </c>
      <c r="J191" s="5" t="inlineStr">
        <is>
          <t>Birth name, the start of his film career with Roja, Panchathan Record Inn, two Academy Awards for Slumdog Millionaire, two 2010 Grammy Awards, the BMI Award, the Padma Bhushan in 2010 and the Berklee honorary doctorate.</t>
        </is>
      </c>
      <c r="K191" s="5" t="inlineStr">
        <is>
          <t>Reference encyclopedia</t>
        </is>
      </c>
      <c r="L191" s="5" t="inlineStr">
        <is>
          <t>C</t>
        </is>
      </c>
      <c r="M191" s="5" t="inlineStr">
        <is>
          <t>Collaborator article; downloaded as raw wikitext.</t>
        </is>
      </c>
    </row>
    <row r="192" ht="64" customHeight="1">
      <c r="A192" s="15" t="inlineStr">
        <is>
          <t>SOURCE-191</t>
        </is>
      </c>
      <c r="B192" s="5" t="n"/>
      <c r="C192" s="5" t="n"/>
      <c r="D192" s="5" t="inlineStr">
        <is>
          <t>Amaal Mallik</t>
        </is>
      </c>
      <c r="E192" s="5" t="inlineStr">
        <is>
          <t>Wikipedia</t>
        </is>
      </c>
      <c r="F192" s="5" t="n"/>
      <c r="G192" s="5" t="n"/>
      <c r="H192" s="22" t="inlineStr">
        <is>
          <t>https://en.wikipedia.org/wiki/Amaal_Mallik</t>
        </is>
      </c>
      <c r="I192" s="16" t="n">
        <v>46297</v>
      </c>
      <c r="J192" s="5" t="inlineStr">
        <is>
          <t>Birth date, family relation to Sardar Malik, Anu Malik and Armaan Malik, debut with Jai Ho (2014), recognition for 'Sooraj Dooba Hain', and his awards and Filmfare nomination.</t>
        </is>
      </c>
      <c r="K192" s="5" t="inlineStr">
        <is>
          <t>Reference encyclopedia</t>
        </is>
      </c>
      <c r="L192" s="5" t="inlineStr">
        <is>
          <t>C</t>
        </is>
      </c>
      <c r="M192" s="5" t="inlineStr">
        <is>
          <t>Collaborator article; downloaded as raw wikitext.</t>
        </is>
      </c>
    </row>
    <row r="193" ht="64" customHeight="1">
      <c r="A193" s="15" t="inlineStr">
        <is>
          <t>SOURCE-192</t>
        </is>
      </c>
      <c r="B193" s="5" t="n"/>
      <c r="C193" s="5" t="n"/>
      <c r="D193" s="5" t="inlineStr">
        <is>
          <t>Bhushan Kumar</t>
        </is>
      </c>
      <c r="E193" s="5" t="inlineStr">
        <is>
          <t>Wikipedia</t>
        </is>
      </c>
      <c r="F193" s="5" t="n"/>
      <c r="G193" s="5" t="n"/>
      <c r="H193" s="22" t="inlineStr">
        <is>
          <t>https://en.wikipedia.org/wiki/Bhushan_Kumar</t>
        </is>
      </c>
      <c r="I193" s="16" t="n">
        <v>46297</v>
      </c>
      <c r="J193" s="5" t="inlineStr">
        <is>
          <t>Birth date, chairmanship and managing directorship of Super Cassettes Industries (T-Series), relation to Gulshan Kumar, and his standing as a film and music producer.</t>
        </is>
      </c>
      <c r="K193" s="5" t="inlineStr">
        <is>
          <t>Reference encyclopedia</t>
        </is>
      </c>
      <c r="L193" s="5" t="inlineStr">
        <is>
          <t>C</t>
        </is>
      </c>
      <c r="M193" s="5" t="inlineStr">
        <is>
          <t>Collaborator article; downloaded as raw wikitext.</t>
        </is>
      </c>
    </row>
    <row r="194" ht="79" customHeight="1">
      <c r="A194" s="15" t="inlineStr">
        <is>
          <t>SOURCE-193</t>
        </is>
      </c>
      <c r="B194" s="5" t="n"/>
      <c r="C194" s="5" t="n"/>
      <c r="D194" s="5" t="inlineStr">
        <is>
          <t>Himesh Reshammiya</t>
        </is>
      </c>
      <c r="E194" s="5" t="inlineStr">
        <is>
          <t>Wikipedia</t>
        </is>
      </c>
      <c r="F194" s="5" t="n"/>
      <c r="G194" s="5" t="n"/>
      <c r="H194" s="22" t="inlineStr">
        <is>
          <t>https://en.wikipedia.org/wiki/Himesh_Reshammiya</t>
        </is>
      </c>
      <c r="I194" s="16" t="n">
        <v>46297</v>
      </c>
      <c r="J194" s="5" t="inlineStr">
        <is>
          <t>Birth date, over 1,300 credited songs, composing debut with Pyaar Kiya To Darna Kya and acting debut with Aap Kaa Surroor, and the Filmfare Award for Best Male Playback Singer for 'Aashiq Banaya Aapne'.</t>
        </is>
      </c>
      <c r="K194" s="5" t="inlineStr">
        <is>
          <t>Reference encyclopedia</t>
        </is>
      </c>
      <c r="L194" s="5" t="inlineStr">
        <is>
          <t>C</t>
        </is>
      </c>
      <c r="M194" s="5" t="inlineStr">
        <is>
          <t>Collaborator article; downloaded as raw wikitext.</t>
        </is>
      </c>
    </row>
    <row r="195" ht="64" customHeight="1">
      <c r="A195" s="15" t="inlineStr">
        <is>
          <t>SOURCE-194</t>
        </is>
      </c>
      <c r="B195" s="5" t="n"/>
      <c r="C195" s="5" t="n"/>
      <c r="D195" s="5" t="inlineStr">
        <is>
          <t>Yash Johar</t>
        </is>
      </c>
      <c r="E195" s="5" t="inlineStr">
        <is>
          <t>Wikipedia</t>
        </is>
      </c>
      <c r="F195" s="5" t="n"/>
      <c r="G195" s="5" t="n"/>
      <c r="H195" s="22" t="inlineStr">
        <is>
          <t>https://en.wikipedia.org/wiki/Yash_Johar</t>
        </is>
      </c>
      <c r="I195" s="16" t="n">
        <v>46297</v>
      </c>
      <c r="J195" s="5" t="inlineStr">
        <is>
          <t>Yash Johar's marriage to Hiroo Johar in 1971, her being a sister of the filmmaker Yash Chopra, the birth of their son Karan Johar in 1972, and Johar's founding of Dharma Productions.</t>
        </is>
      </c>
      <c r="K195" s="5" t="inlineStr">
        <is>
          <t>Reference encyclopedia</t>
        </is>
      </c>
      <c r="L195" s="5" t="inlineStr">
        <is>
          <t>C</t>
        </is>
      </c>
      <c r="M195" s="5" t="inlineStr">
        <is>
          <t>Cited for the only documented facts about Hiroo Yash Johar (PERSON-044), who has no article of her own.</t>
        </is>
      </c>
    </row>
    <row r="196" ht="109" customHeight="1">
      <c r="A196" s="15" t="inlineStr">
        <is>
          <t>SOURCE-195</t>
        </is>
      </c>
      <c r="B196" s="5" t="n"/>
      <c r="C196" s="5" t="n"/>
      <c r="D196" s="5" t="inlineStr">
        <is>
          <t>Honey Irani</t>
        </is>
      </c>
      <c r="E196" s="5" t="inlineStr">
        <is>
          <t>Wikipedia</t>
        </is>
      </c>
      <c r="F196" s="5" t="n"/>
      <c r="G196" s="5" t="n"/>
      <c r="H196" s="22" t="inlineStr">
        <is>
          <t>https://en.wikipedia.org/wiki/Honey_Irani</t>
        </is>
      </c>
      <c r="I196" s="16" t="n">
        <v>46297</v>
      </c>
      <c r="J196" s="5" t="inlineStr">
        <is>
          <t>Her child-acting career and screenwriting, Filmfare Award for Best Story and for Kya Kehna, the Best Screenplay award shared with Ravi Kapoor for Kaho Naa... Pyaar Hai, her marriage to Javed Akhtar, her children Farhan and Zoya Akhtar, and her sister Daisy Irani being the widow of the screenwriter K. K. Shukla.</t>
        </is>
      </c>
      <c r="K196" s="5" t="inlineStr">
        <is>
          <t>Reference encyclopedia</t>
        </is>
      </c>
      <c r="L196" s="5" t="inlineStr">
        <is>
          <t>C</t>
        </is>
      </c>
      <c r="M196" s="5" t="inlineStr">
        <is>
          <t>Collaborator article; downloaded as raw wikitext.</t>
        </is>
      </c>
    </row>
    <row r="197" ht="79" customHeight="1">
      <c r="A197" s="15" t="inlineStr">
        <is>
          <t>SOURCE-196</t>
        </is>
      </c>
      <c r="B197" s="5" t="n"/>
      <c r="C197" s="5" t="n"/>
      <c r="D197" s="5" t="inlineStr">
        <is>
          <t>Javed Siddiqui</t>
        </is>
      </c>
      <c r="E197" s="5" t="inlineStr">
        <is>
          <t>Wikipedia</t>
        </is>
      </c>
      <c r="F197" s="5" t="n"/>
      <c r="G197" s="5" t="n"/>
      <c r="H197" s="22" t="inlineStr">
        <is>
          <t>https://en.wikipedia.org/wiki/Javed_Siddiqui</t>
        </is>
      </c>
      <c r="I197" s="16" t="n">
        <v>46297</v>
      </c>
      <c r="J197" s="5" t="inlineStr">
        <is>
          <t>Birth date, more than fifty screenplays and dialogue scripts, collaborations from Satyajit Ray and Shyam Benegal to Yash Chopra and Subhash Ghai, two Filmfare Awards, two Star Screen Awards and a BFJA Award, and his Urdu theatre work.</t>
        </is>
      </c>
      <c r="K197" s="5" t="inlineStr">
        <is>
          <t>Reference encyclopedia</t>
        </is>
      </c>
      <c r="L197" s="5" t="inlineStr">
        <is>
          <t>C</t>
        </is>
      </c>
      <c r="M197" s="5" t="inlineStr">
        <is>
          <t>Collaborator article; downloaded as raw wikitext.</t>
        </is>
      </c>
    </row>
    <row r="198" ht="94" customHeight="1">
      <c r="A198" s="15" t="inlineStr">
        <is>
          <t>SOURCE-197</t>
        </is>
      </c>
      <c r="B198" s="5" t="n"/>
      <c r="C198" s="5" t="n"/>
      <c r="D198" s="5" t="inlineStr">
        <is>
          <t>Karan Johar</t>
        </is>
      </c>
      <c r="E198" s="5" t="inlineStr">
        <is>
          <t>Wikipedia</t>
        </is>
      </c>
      <c r="F198" s="5" t="n"/>
      <c r="G198" s="5" t="n"/>
      <c r="H198" s="22" t="inlineStr">
        <is>
          <t>https://en.wikipedia.org/wiki/Karan_Johar</t>
        </is>
      </c>
      <c r="I198" s="16" t="n">
        <v>46297</v>
      </c>
      <c r="J198" s="5" t="inlineStr">
        <is>
          <t>Birth name and date, parentage by Yash Johar, control of Dharma Productions, directorial debut Kuch Kuch Hota Hai and its awards, four National Film Awards and eight Filmfare Awards, the Padma Shri in 2020, and the casting of three debutants in Student of the Year.</t>
        </is>
      </c>
      <c r="K198" s="5" t="inlineStr">
        <is>
          <t>Reference encyclopedia</t>
        </is>
      </c>
      <c r="L198" s="5" t="inlineStr">
        <is>
          <t>C</t>
        </is>
      </c>
      <c r="M198" s="5" t="inlineStr">
        <is>
          <t>Collaborator article; downloaded as raw wikitext.</t>
        </is>
      </c>
    </row>
    <row r="199" ht="64" customHeight="1">
      <c r="A199" s="15" t="inlineStr">
        <is>
          <t>SOURCE-198</t>
        </is>
      </c>
      <c r="B199" s="5" t="n"/>
      <c r="C199" s="5" t="n"/>
      <c r="D199" s="5" t="inlineStr">
        <is>
          <t>Krishan Kumar (actor)</t>
        </is>
      </c>
      <c r="E199" s="5" t="inlineStr">
        <is>
          <t>Wikipedia</t>
        </is>
      </c>
      <c r="F199" s="5" t="n"/>
      <c r="G199" s="5" t="n"/>
      <c r="H199" s="22" t="inlineStr">
        <is>
          <t>https://en.wikipedia.org/wiki/Krishan_Kumar_(actor)</t>
        </is>
      </c>
      <c r="I199" s="16" t="n">
        <v>46297</v>
      </c>
      <c r="J199" s="5" t="inlineStr">
        <is>
          <t>Identity as Krishan Kumar Dua, actor and producer, ownership role in T-Series, relation to Gulshan Kumar and Bhushan Kumar, and Bewafa Sanam as his best-known film.</t>
        </is>
      </c>
      <c r="K199" s="5" t="inlineStr">
        <is>
          <t>Reference encyclopedia</t>
        </is>
      </c>
      <c r="L199" s="5" t="inlineStr">
        <is>
          <t>C</t>
        </is>
      </c>
      <c r="M199" s="5" t="inlineStr">
        <is>
          <t>Collaborator article; fetched under an explicit title because the bare name is a disambiguation page.</t>
        </is>
      </c>
    </row>
    <row r="200" ht="94" customHeight="1">
      <c r="A200" s="15" t="inlineStr">
        <is>
          <t>SOURCE-199</t>
        </is>
      </c>
      <c r="B200" s="5" t="n"/>
      <c r="C200" s="5" t="n"/>
      <c r="D200" s="5" t="inlineStr">
        <is>
          <t>Kunal Kohli</t>
        </is>
      </c>
      <c r="E200" s="5" t="inlineStr">
        <is>
          <t>Wikipedia</t>
        </is>
      </c>
      <c r="F200" s="5" t="n"/>
      <c r="G200" s="5" t="n"/>
      <c r="H200" s="22" t="inlineStr">
        <is>
          <t>https://en.wikipedia.org/wiki/Kunal_Kohli</t>
        </is>
      </c>
      <c r="I200" s="16" t="n">
        <v>46297</v>
      </c>
      <c r="J200" s="5" t="inlineStr">
        <is>
          <t>Work as director, producer, writer and actor, the Filmfare Award for Best Director for Hum Tum won against Yash Chopra, direction of Fanaa, ownership of Kunal Kohli Productions and its film Thoda Pyaar Thoda Magic, and his relation to David Dhawan.</t>
        </is>
      </c>
      <c r="K200" s="5" t="inlineStr">
        <is>
          <t>Reference encyclopedia</t>
        </is>
      </c>
      <c r="L200" s="5" t="inlineStr">
        <is>
          <t>C</t>
        </is>
      </c>
      <c r="M200" s="5" t="inlineStr">
        <is>
          <t>Collaborator article; downloaded as raw wikitext.</t>
        </is>
      </c>
    </row>
    <row r="201" ht="79" customHeight="1">
      <c r="A201" s="15" t="inlineStr">
        <is>
          <t>SOURCE-200</t>
        </is>
      </c>
      <c r="B201" s="5" t="n"/>
      <c r="C201" s="5" t="n"/>
      <c r="D201" s="5" t="inlineStr">
        <is>
          <t>Sajid–Wajid</t>
        </is>
      </c>
      <c r="E201" s="5" t="inlineStr">
        <is>
          <t>Wikipedia</t>
        </is>
      </c>
      <c r="F201" s="5" t="n"/>
      <c r="G201" s="5" t="n"/>
      <c r="H201" s="22" t="inlineStr">
        <is>
          <t>https://en.wikipedia.org/wiki/Sajid%E2%80%93Wajid</t>
        </is>
      </c>
      <c r="I201" s="16" t="n">
        <v>46297</v>
      </c>
      <c r="J201" s="5" t="inlineStr">
        <is>
          <t>Identity of the Khan brothers, their father Sharafat Ali Khan and the Padma Shri awardee Ustad Faiyyaz Ahmed Khan, origin in Saharanpur, years active from 1998, and Wajid Khan's death on 1 June 2020.</t>
        </is>
      </c>
      <c r="K201" s="5" t="inlineStr">
        <is>
          <t>Reference encyclopedia</t>
        </is>
      </c>
      <c r="L201" s="5" t="inlineStr">
        <is>
          <t>C</t>
        </is>
      </c>
      <c r="M201" s="5" t="inlineStr">
        <is>
          <t>Collaborator article; downloaded as raw wikitext.</t>
        </is>
      </c>
    </row>
    <row r="202" ht="64" customHeight="1">
      <c r="A202" s="15" t="inlineStr">
        <is>
          <t>SOURCE-201</t>
        </is>
      </c>
      <c r="B202" s="5" t="n"/>
      <c r="C202" s="5" t="n"/>
      <c r="D202" s="5" t="inlineStr">
        <is>
          <t>Sandeep Chowta</t>
        </is>
      </c>
      <c r="E202" s="5" t="inlineStr">
        <is>
          <t>Wikipedia</t>
        </is>
      </c>
      <c r="F202" s="5" t="n"/>
      <c r="G202" s="5" t="n"/>
      <c r="H202" s="22" t="inlineStr">
        <is>
          <t>https://en.wikipedia.org/wiki/Sandeep_Chowta</t>
        </is>
      </c>
      <c r="I202" s="16" t="n">
        <v>46297</v>
      </c>
      <c r="J202" s="5" t="inlineStr">
        <is>
          <t>Birth year and birthplace, work as a music director in Hindi and Telugu cinema, leadership of Columbia Records in India, the documentary Dead End, and membership of AO Music.</t>
        </is>
      </c>
      <c r="K202" s="5" t="inlineStr">
        <is>
          <t>Reference encyclopedia</t>
        </is>
      </c>
      <c r="L202" s="5" t="inlineStr">
        <is>
          <t>C</t>
        </is>
      </c>
      <c r="M202" s="5" t="inlineStr">
        <is>
          <t>Collaborator article; downloaded as raw wikitext.</t>
        </is>
      </c>
    </row>
    <row r="203" ht="64" customHeight="1">
      <c r="A203" s="15" t="inlineStr">
        <is>
          <t>SOURCE-202</t>
        </is>
      </c>
      <c r="B203" s="5" t="n"/>
      <c r="C203" s="5" t="n"/>
      <c r="D203" s="5" t="inlineStr">
        <is>
          <t>Shiv–Hari</t>
        </is>
      </c>
      <c r="E203" s="5" t="inlineStr">
        <is>
          <t>Wikipedia</t>
        </is>
      </c>
      <c r="F203" s="5" t="n"/>
      <c r="G203" s="5" t="n"/>
      <c r="H203" s="22" t="inlineStr">
        <is>
          <t>https://en.wikipedia.org/wiki/Shiv%E2%80%93Hari</t>
        </is>
      </c>
      <c r="I203" s="16" t="n">
        <v>46297</v>
      </c>
      <c r="J203" s="5" t="inlineStr">
        <is>
          <t>Identity of the duo as the santoor player Shivkumar Sharma and the flautist Hariprasad Chaurasia, their classical and film work, years active, and that they worked mainly for Yash Chopra.</t>
        </is>
      </c>
      <c r="K203" s="5" t="inlineStr">
        <is>
          <t>Reference encyclopedia</t>
        </is>
      </c>
      <c r="L203" s="5" t="inlineStr">
        <is>
          <t>C</t>
        </is>
      </c>
      <c r="M203" s="5" t="inlineStr">
        <is>
          <t>Collaborator article; downloaded as raw wikitext.</t>
        </is>
      </c>
    </row>
    <row r="204" ht="79" customHeight="1">
      <c r="A204" s="15" t="inlineStr">
        <is>
          <t>SOURCE-203</t>
        </is>
      </c>
      <c r="B204" s="5" t="n"/>
      <c r="C204" s="5" t="n"/>
      <c r="D204" s="5" t="inlineStr">
        <is>
          <t>Umesh Shukla</t>
        </is>
      </c>
      <c r="E204" s="5" t="inlineStr">
        <is>
          <t>Wikipedia</t>
        </is>
      </c>
      <c r="F204" s="5" t="n"/>
      <c r="G204" s="5" t="n"/>
      <c r="H204" s="22" t="inlineStr">
        <is>
          <t>https://en.wikipedia.org/wiki/Umesh_Shukla</t>
        </is>
      </c>
      <c r="I204" s="16" t="n">
        <v>46297</v>
      </c>
      <c r="J204" s="5" t="inlineStr">
        <is>
          <t>Work as actor, director and writer in Hindi cinema and Gujarati theatre, his villain role in Yaar Gaddar, directorial debut Dhoondte Reh Jaaoge, Oh My God as his best-known film, and his Gujarati play Kanjee Viruddha Kanjee.</t>
        </is>
      </c>
      <c r="K204" s="5" t="inlineStr">
        <is>
          <t>Reference encyclopedia</t>
        </is>
      </c>
      <c r="L204" s="5" t="inlineStr">
        <is>
          <t>C</t>
        </is>
      </c>
      <c r="M204" s="5" t="inlineStr">
        <is>
          <t>Collaborator article; downloaded as raw wikitext.</t>
        </is>
      </c>
    </row>
    <row r="205" ht="79" customHeight="1">
      <c r="A205" s="15" t="inlineStr">
        <is>
          <t>SOURCE-204</t>
        </is>
      </c>
      <c r="B205" s="5" t="n"/>
      <c r="C205" s="5" t="n"/>
      <c r="D205" s="5" t="inlineStr">
        <is>
          <t>Viacom18 Studios</t>
        </is>
      </c>
      <c r="E205" s="5" t="inlineStr">
        <is>
          <t>Wikipedia</t>
        </is>
      </c>
      <c r="F205" s="5" t="n"/>
      <c r="G205" s="5" t="n"/>
      <c r="H205" s="22" t="inlineStr">
        <is>
          <t>https://en.wikipedia.org/wiki/Viacom18_Studios</t>
        </is>
      </c>
      <c r="I205" s="16" t="n">
        <v>46297</v>
      </c>
      <c r="J205" s="5" t="inlineStr">
        <is>
          <t>The company's identity as an Indian film production and distribution studio in Mumbai, its integrated studio model, its distribution of Paramount Pictures films in India from 2011, and its merger into Star Studio18.</t>
        </is>
      </c>
      <c r="K205" s="5" t="inlineStr">
        <is>
          <t>Reference encyclopedia</t>
        </is>
      </c>
      <c r="L205" s="5" t="inlineStr">
        <is>
          <t>C</t>
        </is>
      </c>
      <c r="M205" s="5" t="inlineStr">
        <is>
          <t>Collaborator article; the credits name the company Viacom18 Motion Pictures, which redirects to Viacom18 Studios.</t>
        </is>
      </c>
    </row>
    <row r="206" ht="64" customHeight="1">
      <c r="A206" s="15" t="inlineStr">
        <is>
          <t>SOURCE-205</t>
        </is>
      </c>
      <c r="B206" s="5" t="n"/>
      <c r="C206" s="5" t="n"/>
      <c r="D206" s="5" t="inlineStr">
        <is>
          <t>Aadesh Shrivastava</t>
        </is>
      </c>
      <c r="E206" s="5" t="inlineStr">
        <is>
          <t>Wikipedia</t>
        </is>
      </c>
      <c r="F206" s="5" t="n"/>
      <c r="G206" s="5" t="n"/>
      <c r="H206" s="22" t="inlineStr">
        <is>
          <t>https://en.wikipedia.org/wiki/Aadesh_Shrivastava</t>
        </is>
      </c>
      <c r="I206" s="16" t="n">
        <v>46297</v>
      </c>
      <c r="J206" s="5" t="inlineStr">
        <is>
          <t>Life dates and birthplace, work as a drummer for R. D. Burman and Rajesh Roshan, more than 100 film scores, marriage to Vijayta Pandit, and his death from cancer a day after his 51st birthday.</t>
        </is>
      </c>
      <c r="K206" s="5" t="inlineStr">
        <is>
          <t>Reference encyclopedia</t>
        </is>
      </c>
      <c r="L206" s="5" t="inlineStr">
        <is>
          <t>C</t>
        </is>
      </c>
      <c r="M206" s="5" t="inlineStr">
        <is>
          <t>Collaborator article; downloaded as raw wikitext.</t>
        </is>
      </c>
    </row>
    <row r="207" ht="94" customHeight="1">
      <c r="A207" s="15" t="inlineStr">
        <is>
          <t>SOURCE-206</t>
        </is>
      </c>
      <c r="B207" s="5" t="n"/>
      <c r="C207" s="5" t="n"/>
      <c r="D207" s="5" t="inlineStr">
        <is>
          <t>Abrar Alvi</t>
        </is>
      </c>
      <c r="E207" s="5" t="inlineStr">
        <is>
          <t>Wikipedia</t>
        </is>
      </c>
      <c r="F207" s="5" t="n"/>
      <c r="G207" s="5" t="n"/>
      <c r="H207" s="22" t="inlineStr">
        <is>
          <t>https://en.wikipedia.org/wiki/Abrar_Alvi</t>
        </is>
      </c>
      <c r="I207" s="16" t="n">
        <v>46297</v>
      </c>
      <c r="J207" s="5" t="inlineStr">
        <is>
          <t>Life dates, work as writer, director and actor, the Guru Dutt collaboration including Pyaasa, Kaagaz Ke Phool and Sahib Bibi Aur Ghulam, the Filmfare Award for Best Director and the dispute over it, and Pyaasa's inclusion in Time's All-Time 100 Movies.</t>
        </is>
      </c>
      <c r="K207" s="5" t="inlineStr">
        <is>
          <t>Reference encyclopedia</t>
        </is>
      </c>
      <c r="L207" s="5" t="inlineStr">
        <is>
          <t>C</t>
        </is>
      </c>
      <c r="M207" s="5" t="inlineStr">
        <is>
          <t>Collaborator article; downloaded as raw wikitext.</t>
        </is>
      </c>
    </row>
    <row r="208" ht="79" customHeight="1">
      <c r="A208" s="15" t="inlineStr">
        <is>
          <t>SOURCE-207</t>
        </is>
      </c>
      <c r="B208" s="5" t="n"/>
      <c r="C208" s="5" t="n"/>
      <c r="D208" s="5" t="inlineStr">
        <is>
          <t>Aditya Raj Kapoor</t>
        </is>
      </c>
      <c r="E208" s="5" t="inlineStr">
        <is>
          <t>Wikipedia</t>
        </is>
      </c>
      <c r="F208" s="5" t="n"/>
      <c r="G208" s="5" t="n"/>
      <c r="H208" s="22" t="inlineStr">
        <is>
          <t>https://en.wikipedia.org/wiki/Aditya_Raj_Kapoor</t>
        </is>
      </c>
      <c r="I208" s="16" t="n">
        <v>46297</v>
      </c>
      <c r="J208" s="5" t="inlineStr">
        <is>
          <t>Birth date, parentage by Shammi Kapoor and Geeta Bali, membership of the Kapoor family, his business career, and his return as writer-director of Don't Stop Dreaming and Sambar Salsa (both 2007).</t>
        </is>
      </c>
      <c r="K208" s="5" t="inlineStr">
        <is>
          <t>Reference encyclopedia</t>
        </is>
      </c>
      <c r="L208" s="5" t="inlineStr">
        <is>
          <t>C</t>
        </is>
      </c>
      <c r="M208" s="5" t="inlineStr">
        <is>
          <t>Collaborator article; downloaded as raw wikitext.</t>
        </is>
      </c>
    </row>
    <row r="209" ht="79" customHeight="1">
      <c r="A209" s="15" t="inlineStr">
        <is>
          <t>SOURCE-208</t>
        </is>
      </c>
      <c r="B209" s="5" t="n"/>
      <c r="C209" s="5" t="n"/>
      <c r="D209" s="5" t="inlineStr">
        <is>
          <t>Adnan Sami</t>
        </is>
      </c>
      <c r="E209" s="5" t="inlineStr">
        <is>
          <t>Wikipedia</t>
        </is>
      </c>
      <c r="F209" s="5" t="n"/>
      <c r="G209" s="5" t="n"/>
      <c r="H209" s="22" t="inlineStr">
        <is>
          <t>https://en.wikipedia.org/wiki/Adnan_Sami</t>
        </is>
      </c>
      <c r="I209" s="16" t="n">
        <v>46297</v>
      </c>
      <c r="J209" s="5" t="inlineStr">
        <is>
          <t>Birth date and place, Pakistani origin and Indian citizenship, the languages he performs in, the claim that he plays 32 instruments and was first to play santoor and Indian classical music on the piano, and the Padma Shri in January 2020.</t>
        </is>
      </c>
      <c r="K209" s="5" t="inlineStr">
        <is>
          <t>Reference encyclopedia</t>
        </is>
      </c>
      <c r="L209" s="5" t="inlineStr">
        <is>
          <t>C</t>
        </is>
      </c>
      <c r="M209" s="5" t="inlineStr">
        <is>
          <t>Collaborator article; downloaded as raw wikitext.</t>
        </is>
      </c>
    </row>
    <row r="210" ht="64" customHeight="1">
      <c r="A210" s="15" t="inlineStr">
        <is>
          <t>SOURCE-209</t>
        </is>
      </c>
      <c r="B210" s="5" t="n"/>
      <c r="C210" s="5" t="n"/>
      <c r="D210" s="5" t="inlineStr">
        <is>
          <t>Anand Raj Anand</t>
        </is>
      </c>
      <c r="E210" s="5" t="inlineStr">
        <is>
          <t>Wikipedia</t>
        </is>
      </c>
      <c r="F210" s="5" t="n"/>
      <c r="G210" s="5" t="n"/>
      <c r="H210" s="22" t="inlineStr">
        <is>
          <t>https://en.wikipedia.org/wiki/Anand_Raj_Anand</t>
        </is>
      </c>
      <c r="I210" s="16" t="n">
        <v>46297</v>
      </c>
      <c r="J210" s="5" t="inlineStr">
        <is>
          <t>Birth date and place, work as composer, lyricist and playback singer, his films including Kaante, Musafir and Welcome, and the Filmfare nomination for Best Music Director for Kaante.</t>
        </is>
      </c>
      <c r="K210" s="5" t="inlineStr">
        <is>
          <t>Reference encyclopedia</t>
        </is>
      </c>
      <c r="L210" s="5" t="inlineStr">
        <is>
          <t>C</t>
        </is>
      </c>
      <c r="M210" s="5" t="inlineStr">
        <is>
          <t>Collaborator article; downloaded as raw wikitext.</t>
        </is>
      </c>
    </row>
    <row r="211" ht="79" customHeight="1">
      <c r="A211" s="15" t="inlineStr">
        <is>
          <t>SOURCE-210</t>
        </is>
      </c>
      <c r="B211" s="5" t="n"/>
      <c r="C211" s="5" t="n"/>
      <c r="D211" s="5" t="inlineStr">
        <is>
          <t>Anees Bazmee</t>
        </is>
      </c>
      <c r="E211" s="5" t="inlineStr">
        <is>
          <t>Wikipedia</t>
        </is>
      </c>
      <c r="F211" s="5" t="n"/>
      <c r="G211" s="5" t="n"/>
      <c r="H211" s="22" t="inlineStr">
        <is>
          <t>https://en.wikipedia.org/wiki/Anees_Bazmee</t>
        </is>
      </c>
      <c r="I211" s="16" t="n">
        <v>46297</v>
      </c>
      <c r="J211" s="5" t="inlineStr">
        <is>
          <t>Birthplace, work as director, screenwriter and producer in Hindi cinema, years active from 1982, and his best-known films as director including No Entry, Welcome, Singh is Kinng and the Bhool Bhulaiyaa sequels.</t>
        </is>
      </c>
      <c r="K211" s="5" t="inlineStr">
        <is>
          <t>Reference encyclopedia</t>
        </is>
      </c>
      <c r="L211" s="5" t="inlineStr">
        <is>
          <t>C</t>
        </is>
      </c>
      <c r="M211" s="5" t="inlineStr">
        <is>
          <t>Collaborator article; downloaded as raw wikitext.</t>
        </is>
      </c>
    </row>
    <row r="212" ht="79" customHeight="1">
      <c r="A212" s="15" t="inlineStr">
        <is>
          <t>SOURCE-211</t>
        </is>
      </c>
      <c r="B212" s="5" t="n"/>
      <c r="C212" s="5" t="n"/>
      <c r="D212" s="5" t="inlineStr">
        <is>
          <t>Arko Pravo Mukherjee</t>
        </is>
      </c>
      <c r="E212" s="5" t="inlineStr">
        <is>
          <t>Wikipedia</t>
        </is>
      </c>
      <c r="F212" s="5" t="n"/>
      <c r="G212" s="5" t="n"/>
      <c r="H212" s="22" t="inlineStr">
        <is>
          <t>https://en.wikipedia.org/wiki/Arko_Pravo_Mukherjee</t>
        </is>
      </c>
      <c r="I212" s="16" t="n">
        <v>46297</v>
      </c>
      <c r="J212" s="5" t="inlineStr">
        <is>
          <t>Identity as the composer known as Arko, origin in Kolkata, qualification as a doctor, years active from 2012, and his songs including 'Teri Mitti', 'Nazm Nazm', 'Tere Sang Yaara' and 'Saathi Rey' from Kapoor &amp; Sons.</t>
        </is>
      </c>
      <c r="K212" s="5" t="inlineStr">
        <is>
          <t>Reference encyclopedia</t>
        </is>
      </c>
      <c r="L212" s="5" t="inlineStr">
        <is>
          <t>C</t>
        </is>
      </c>
      <c r="M212" s="5" t="inlineStr">
        <is>
          <t>Collaborator article; fetched under an explicit title because the bare credit 'Arko' is a disambiguation page.</t>
        </is>
      </c>
    </row>
    <row r="213" ht="94" customHeight="1">
      <c r="A213" s="15" t="inlineStr">
        <is>
          <t>SOURCE-212</t>
        </is>
      </c>
      <c r="B213" s="5" t="n"/>
      <c r="C213" s="5" t="n"/>
      <c r="D213" s="5" t="inlineStr">
        <is>
          <t>Asrani</t>
        </is>
      </c>
      <c r="E213" s="5" t="inlineStr">
        <is>
          <t>Wikipedia</t>
        </is>
      </c>
      <c r="F213" s="5" t="n"/>
      <c r="G213" s="5" t="n"/>
      <c r="H213" s="22" t="inlineStr">
        <is>
          <t>https://en.wikipedia.org/wiki/Asrani</t>
        </is>
      </c>
      <c r="I213" s="16" t="n">
        <v>46297</v>
      </c>
      <c r="J213" s="5" t="inlineStr">
        <is>
          <t>Full name and life dates, origin in Jaipur, more than 350 films across five decades, the Sholay jailor role, 25 films with Rajesh Khanna, two Filmfare Awards for Best Comedian, and that he wrote, directed and played the lead in Chala Murari Hero Banne and took the lead in Salaam Memsaab.</t>
        </is>
      </c>
      <c r="K213" s="5" t="inlineStr">
        <is>
          <t>Reference encyclopedia</t>
        </is>
      </c>
      <c r="L213" s="5" t="inlineStr">
        <is>
          <t>C</t>
        </is>
      </c>
      <c r="M213" s="5" t="inlineStr">
        <is>
          <t>Collaborator article; downloaded as raw wikitext.</t>
        </is>
      </c>
    </row>
    <row r="214" ht="79" customHeight="1">
      <c r="A214" s="15" t="inlineStr">
        <is>
          <t>SOURCE-213</t>
        </is>
      </c>
      <c r="B214" s="5" t="n"/>
      <c r="C214" s="5" t="n"/>
      <c r="D214" s="5" t="inlineStr">
        <is>
          <t>B. R. Chopra</t>
        </is>
      </c>
      <c r="E214" s="5" t="inlineStr">
        <is>
          <t>Wikipedia</t>
        </is>
      </c>
      <c r="F214" s="5" t="n"/>
      <c r="G214" s="5" t="n"/>
      <c r="H214" s="22" t="inlineStr">
        <is>
          <t>https://en.wikipedia.org/wiki/B._R._Chopra</t>
        </is>
      </c>
      <c r="I214" s="16" t="n">
        <v>46297</v>
      </c>
      <c r="J214" s="5" t="inlineStr">
        <is>
          <t>Life dates, his films as director and producer including Pati Patni Aur Woh and Nikaah, the television Mahabharat, the Dadasaheb Phalke Award for 1998, the Padma Bhushan in 2001, and his relation to Yash Chopra.</t>
        </is>
      </c>
      <c r="K214" s="5" t="inlineStr">
        <is>
          <t>Reference encyclopedia</t>
        </is>
      </c>
      <c r="L214" s="5" t="inlineStr">
        <is>
          <t>C</t>
        </is>
      </c>
      <c r="M214" s="5" t="inlineStr">
        <is>
          <t>Collaborator article; downloaded as raw wikitext.</t>
        </is>
      </c>
    </row>
    <row r="215" ht="79" customHeight="1">
      <c r="A215" s="15" t="inlineStr">
        <is>
          <t>SOURCE-214</t>
        </is>
      </c>
      <c r="B215" s="5" t="n"/>
      <c r="C215" s="5" t="n"/>
      <c r="D215" s="5" t="inlineStr">
        <is>
          <t>Deepak Mukut</t>
        </is>
      </c>
      <c r="E215" s="5" t="inlineStr">
        <is>
          <t>Wikipedia</t>
        </is>
      </c>
      <c r="F215" s="5" t="n"/>
      <c r="G215" s="5" t="n"/>
      <c r="H215" s="22" t="inlineStr">
        <is>
          <t>https://en.wikipedia.org/wiki/Deepak_Mukut</t>
        </is>
      </c>
      <c r="I215" s="16" t="n">
        <v>46297</v>
      </c>
      <c r="J215" s="5" t="inlineStr">
        <is>
          <t>Origin in Jaipur, work as producer and distributor, founding of Soham Rockstar Entertainment and Jhoom Jhoom Media, and productions including Dhaakad, Forensic, Thank God, Sanam Teri Kasam and Mulk.</t>
        </is>
      </c>
      <c r="K215" s="5" t="inlineStr">
        <is>
          <t>Reference encyclopedia</t>
        </is>
      </c>
      <c r="L215" s="5" t="inlineStr">
        <is>
          <t>C</t>
        </is>
      </c>
      <c r="M215" s="5" t="inlineStr">
        <is>
          <t>Collaborator article; downloaded as raw wikitext.</t>
        </is>
      </c>
    </row>
    <row r="216" ht="79" customHeight="1">
      <c r="A216" s="15" t="inlineStr">
        <is>
          <t>SOURCE-215</t>
        </is>
      </c>
      <c r="B216" s="5" t="n"/>
      <c r="C216" s="5" t="n"/>
      <c r="D216" s="5" t="inlineStr">
        <is>
          <t>Excel Entertainment</t>
        </is>
      </c>
      <c r="E216" s="5" t="inlineStr">
        <is>
          <t>Wikipedia</t>
        </is>
      </c>
      <c r="F216" s="5" t="n"/>
      <c r="G216" s="5" t="n"/>
      <c r="H216" s="22" t="inlineStr">
        <is>
          <t>https://en.wikipedia.org/wiki/Excel_Entertainment</t>
        </is>
      </c>
      <c r="I216" s="16" t="n">
        <v>46297</v>
      </c>
      <c r="J216" s="5" t="inlineStr">
        <is>
          <t>Founding in Mumbai in 1999 by Ritesh Sidhwani and Farhan Akhtar, the debut production Dil Chahta Hai, National Film Awards for Dil Chahta Hai and Rock On!!, and its slate including Gully Boy as India's entry to the 92nd Academy Awards.</t>
        </is>
      </c>
      <c r="K216" s="5" t="inlineStr">
        <is>
          <t>Reference encyclopedia</t>
        </is>
      </c>
      <c r="L216" s="5" t="inlineStr">
        <is>
          <t>C</t>
        </is>
      </c>
      <c r="M216" s="5" t="inlineStr">
        <is>
          <t>Collaborator article; downloaded as raw wikitext.</t>
        </is>
      </c>
    </row>
    <row r="217" ht="79" customHeight="1">
      <c r="A217" s="15" t="inlineStr">
        <is>
          <t>SOURCE-216</t>
        </is>
      </c>
      <c r="B217" s="5" t="n"/>
      <c r="C217" s="5" t="n"/>
      <c r="D217" s="5" t="inlineStr">
        <is>
          <t>Farhan Akhtar</t>
        </is>
      </c>
      <c r="E217" s="5" t="inlineStr">
        <is>
          <t>Wikipedia</t>
        </is>
      </c>
      <c r="F217" s="5" t="n"/>
      <c r="G217" s="5" t="n"/>
      <c r="H217" s="22" t="inlineStr">
        <is>
          <t>https://en.wikipedia.org/wiki/Farhan_Akhtar</t>
        </is>
      </c>
      <c r="I217" s="16" t="n">
        <v>46297</v>
      </c>
      <c r="J217" s="5" t="inlineStr">
        <is>
          <t>Birth date, parentage by Javed Akhtar and Honey Irani, co-founding of Excel Entertainment in 1999, directorial debut Dil Chahta Hai and its National Film Award and Filmfare Awards, and his later films and acting awards.</t>
        </is>
      </c>
      <c r="K217" s="5" t="inlineStr">
        <is>
          <t>Reference encyclopedia</t>
        </is>
      </c>
      <c r="L217" s="5" t="inlineStr">
        <is>
          <t>C</t>
        </is>
      </c>
      <c r="M217" s="5" t="inlineStr">
        <is>
          <t>Collaborator article; downloaded as raw wikitext.</t>
        </is>
      </c>
    </row>
    <row r="218" ht="79" customHeight="1">
      <c r="A218" s="15" t="inlineStr">
        <is>
          <t>SOURCE-217</t>
        </is>
      </c>
      <c r="B218" s="5" t="n"/>
      <c r="C218" s="5" t="n"/>
      <c r="D218" s="5" t="inlineStr">
        <is>
          <t>Gauri Khan</t>
        </is>
      </c>
      <c r="E218" s="5" t="inlineStr">
        <is>
          <t>Wikipedia</t>
        </is>
      </c>
      <c r="F218" s="5" t="n"/>
      <c r="G218" s="5" t="n"/>
      <c r="H218" s="22" t="inlineStr">
        <is>
          <t>https://en.wikipedia.org/wiki/Gauri_Khan</t>
        </is>
      </c>
      <c r="I218" s="16" t="n">
        <v>46297</v>
      </c>
      <c r="J218" s="5" t="inlineStr">
        <is>
          <t>Birth date, work as film producer and interior designer, co-founding of Red Chillies Entertainment with Shah Rukh Khan in 2001, the films she has produced including Om Shanti Om, and the launch of Gauri Khan Designs in 2013.</t>
        </is>
      </c>
      <c r="K218" s="5" t="inlineStr">
        <is>
          <t>Reference encyclopedia</t>
        </is>
      </c>
      <c r="L218" s="5" t="inlineStr">
        <is>
          <t>C</t>
        </is>
      </c>
      <c r="M218" s="5" t="inlineStr">
        <is>
          <t>Collaborator article; downloaded as raw wikitext.</t>
        </is>
      </c>
    </row>
    <row r="219" ht="94" customHeight="1">
      <c r="A219" s="15" t="inlineStr">
        <is>
          <t>SOURCE-218</t>
        </is>
      </c>
      <c r="B219" s="5" t="n"/>
      <c r="C219" s="5" t="n"/>
      <c r="D219" s="5" t="inlineStr">
        <is>
          <t>Gulshan Nanda</t>
        </is>
      </c>
      <c r="E219" s="5" t="inlineStr">
        <is>
          <t>Wikipedia</t>
        </is>
      </c>
      <c r="F219" s="5" t="n"/>
      <c r="G219" s="5" t="n"/>
      <c r="H219" s="22" t="inlineStr">
        <is>
          <t>https://en.wikipedia.org/wiki/Gulshan_Nanda</t>
        </is>
      </c>
      <c r="I219" s="16" t="n">
        <v>46297</v>
      </c>
      <c r="J219" s="5" t="inlineStr">
        <is>
          <t>Life dates and birth in Rawalpindi, work as novelist and screenwriter, the adaptation of his novels into 1960s and 1970s hits including Kaajal, Khilona, Sharmeelee and Daag, his collaborations with Rajesh Khanna, and six Filmfare Best Story nominations.</t>
        </is>
      </c>
      <c r="K219" s="5" t="inlineStr">
        <is>
          <t>Reference encyclopedia</t>
        </is>
      </c>
      <c r="L219" s="5" t="inlineStr">
        <is>
          <t>C</t>
        </is>
      </c>
      <c r="M219" s="5" t="inlineStr">
        <is>
          <t>Collaborator article; downloaded as raw wikitext.</t>
        </is>
      </c>
    </row>
    <row r="220" ht="79" customHeight="1">
      <c r="A220" s="15" t="inlineStr">
        <is>
          <t>SOURCE-219</t>
        </is>
      </c>
      <c r="B220" s="5" t="n"/>
      <c r="C220" s="5" t="n"/>
      <c r="D220" s="5" t="inlineStr">
        <is>
          <t>H. S. Rawail</t>
        </is>
      </c>
      <c r="E220" s="5" t="inlineStr">
        <is>
          <t>Wikipedia</t>
        </is>
      </c>
      <c r="F220" s="5" t="n"/>
      <c r="G220" s="5" t="n"/>
      <c r="H220" s="22" t="inlineStr">
        <is>
          <t>https://en.wikipedia.org/wiki/H._S._Rawail</t>
        </is>
      </c>
      <c r="I220" s="16" t="n">
        <v>46297</v>
      </c>
      <c r="J220" s="5" t="inlineStr">
        <is>
          <t>Life dates and birthplace, debut with Dorangia Daku (1940), his best-known romantic films, the success of Laila Majnu (1976) starring Rishi Kapoor and Ranjeeta Kaur, and his son Rahul Rawail and grandson Rajat Rawail being directors.</t>
        </is>
      </c>
      <c r="K220" s="5" t="inlineStr">
        <is>
          <t>Reference encyclopedia</t>
        </is>
      </c>
      <c r="L220" s="5" t="inlineStr">
        <is>
          <t>C</t>
        </is>
      </c>
      <c r="M220" s="5" t="inlineStr">
        <is>
          <t>Collaborator article; downloaded as raw wikitext.</t>
        </is>
      </c>
    </row>
    <row r="221" ht="79" customHeight="1">
      <c r="A221" s="15" t="inlineStr">
        <is>
          <t>SOURCE-220</t>
        </is>
      </c>
      <c r="B221" s="5" t="n"/>
      <c r="C221" s="5" t="n"/>
      <c r="D221" s="5" t="inlineStr">
        <is>
          <t>Habib Faisal</t>
        </is>
      </c>
      <c r="E221" s="5" t="inlineStr">
        <is>
          <t>Wikipedia</t>
        </is>
      </c>
      <c r="F221" s="5" t="n"/>
      <c r="G221" s="5" t="n"/>
      <c r="H221" s="22" t="inlineStr">
        <is>
          <t>https://en.wikipedia.org/wiki/Habib_Faisal</t>
        </is>
      </c>
      <c r="I221" s="16" t="n">
        <v>46297</v>
      </c>
      <c r="J221" s="5" t="inlineStr">
        <is>
          <t>Origin in Bhopal, work as filmmaker and lyricist, the films he wrote including Salaam Namaste, Band Baaja Baaraat, Ishaqzaade and Fan, and his directorial debut Do Dooni Chaar with the Filmfare Award for Best Dialogue.</t>
        </is>
      </c>
      <c r="K221" s="5" t="inlineStr">
        <is>
          <t>Reference encyclopedia</t>
        </is>
      </c>
      <c r="L221" s="5" t="inlineStr">
        <is>
          <t>C</t>
        </is>
      </c>
      <c r="M221" s="5" t="inlineStr">
        <is>
          <t>Collaborator article; downloaded as raw wikitext.</t>
        </is>
      </c>
    </row>
    <row r="222" ht="64" customHeight="1">
      <c r="A222" s="15" t="inlineStr">
        <is>
          <t>SOURCE-221</t>
        </is>
      </c>
      <c r="B222" s="5" t="n"/>
      <c r="C222" s="5" t="n"/>
      <c r="D222" s="5" t="inlineStr">
        <is>
          <t>Harish Shah</t>
        </is>
      </c>
      <c r="E222" s="5" t="inlineStr">
        <is>
          <t>Wikipedia</t>
        </is>
      </c>
      <c r="F222" s="5" t="n"/>
      <c r="G222" s="5" t="n"/>
      <c r="H222" s="22" t="inlineStr">
        <is>
          <t>https://en.wikipedia.org/wiki/Harish_Shah</t>
        </is>
      </c>
      <c r="I222" s="16" t="n">
        <v>46297</v>
      </c>
      <c r="J222" s="5" t="inlineStr">
        <is>
          <t>Life dates, work as producer, director and writer, his films including Mere Jeevan Saathi, Kaala Sona, Ram Tere Kitne Naam, Zalzala and Jaal: The Trap, and his death from throat cancer.</t>
        </is>
      </c>
      <c r="K222" s="5" t="inlineStr">
        <is>
          <t>Reference encyclopedia</t>
        </is>
      </c>
      <c r="L222" s="5" t="inlineStr">
        <is>
          <t>C</t>
        </is>
      </c>
      <c r="M222" s="5" t="inlineStr">
        <is>
          <t>Collaborator article; downloaded as raw wikitext.</t>
        </is>
      </c>
    </row>
    <row r="223" ht="94" customHeight="1">
      <c r="A223" s="15" t="inlineStr">
        <is>
          <t>SOURCE-222</t>
        </is>
      </c>
      <c r="B223" s="5" t="n"/>
      <c r="C223" s="5" t="n"/>
      <c r="D223" s="5" t="inlineStr">
        <is>
          <t>Inder Raj Anand</t>
        </is>
      </c>
      <c r="E223" s="5" t="inlineStr">
        <is>
          <t>Wikipedia</t>
        </is>
      </c>
      <c r="F223" s="5" t="n"/>
      <c r="G223" s="5" t="n"/>
      <c r="H223" s="22" t="inlineStr">
        <is>
          <t>https://en.wikipedia.org/wiki/Inder_Raj_Anand</t>
        </is>
      </c>
      <c r="I223" s="16" t="n">
        <v>46297</v>
      </c>
      <c r="J223" s="5" t="inlineStr">
        <is>
          <t>Date of death, birth in Sargodha, work as dialogue and screenwriter on many Raj Kapoor films from Aag (1948), that he wrote in Urdu, and that he was the father of Tinnu Anand and Bittu Anand, grandfather of Siddharth Anand and uncle of Mukul Anand.</t>
        </is>
      </c>
      <c r="K223" s="5" t="inlineStr">
        <is>
          <t>Reference encyclopedia</t>
        </is>
      </c>
      <c r="L223" s="5" t="inlineStr">
        <is>
          <t>C</t>
        </is>
      </c>
      <c r="M223" s="5" t="inlineStr">
        <is>
          <t>Collaborator article; downloaded as raw wikitext.</t>
        </is>
      </c>
    </row>
    <row r="224" ht="34" customHeight="1">
      <c r="A224" s="15" t="inlineStr">
        <is>
          <t>SOURCE-223</t>
        </is>
      </c>
      <c r="B224" s="5" t="n"/>
      <c r="C224" s="5" t="n"/>
      <c r="D224" s="5" t="inlineStr">
        <is>
          <t>Iqbal Durrani</t>
        </is>
      </c>
      <c r="E224" s="5" t="inlineStr">
        <is>
          <t>Wikipedia</t>
        </is>
      </c>
      <c r="F224" s="5" t="n"/>
      <c r="G224" s="5" t="n"/>
      <c r="H224" s="22" t="inlineStr">
        <is>
          <t>https://en.wikipedia.org/wiki/Iqbal_Durrani</t>
        </is>
      </c>
      <c r="I224" s="16" t="n">
        <v>46297</v>
      </c>
      <c r="J224" s="5" t="inlineStr">
        <is>
          <t>Birthplace in Banka, Bihar, and his work as writer, director, actor and producer of Hindi films.</t>
        </is>
      </c>
      <c r="K224" s="5" t="inlineStr">
        <is>
          <t>Reference encyclopedia</t>
        </is>
      </c>
      <c r="L224" s="5" t="inlineStr">
        <is>
          <t>C</t>
        </is>
      </c>
      <c r="M224" s="5" t="inlineStr">
        <is>
          <t>Collaborator article; downloaded as raw wikitext.</t>
        </is>
      </c>
    </row>
    <row r="225" ht="109" customHeight="1">
      <c r="A225" s="15" t="inlineStr">
        <is>
          <t>SOURCE-224</t>
        </is>
      </c>
      <c r="B225" s="5" t="n"/>
      <c r="C225" s="5" t="n"/>
      <c r="D225" s="5" t="inlineStr">
        <is>
          <t>K. K. Singh</t>
        </is>
      </c>
      <c r="E225" s="5" t="inlineStr">
        <is>
          <t>Wikipedia</t>
        </is>
      </c>
      <c r="F225" s="5" t="n"/>
      <c r="G225" s="5" t="n"/>
      <c r="H225" s="22" t="inlineStr">
        <is>
          <t>https://en.wikipedia.org/wiki/K._K._Singh</t>
        </is>
      </c>
      <c r="I225" s="16" t="n">
        <v>46297</v>
      </c>
      <c r="J225" s="5" t="inlineStr">
        <is>
          <t>Year of death, work as screenwriter with director-producer credits for Veergati and an acting credit in Sham Ghansham, his 1982 entry into films as assistant director on Raj Kapoor's Prem Rog, Bhojpuri work, and the Filmfare Awards for Best Dialogue and Best Story for Krantiveer at the 40th Filmfare Awards.</t>
        </is>
      </c>
      <c r="K225" s="5" t="inlineStr">
        <is>
          <t>Reference encyclopedia</t>
        </is>
      </c>
      <c r="L225" s="5" t="inlineStr">
        <is>
          <t>C</t>
        </is>
      </c>
      <c r="M225" s="5" t="inlineStr">
        <is>
          <t>Collaborator article; downloaded as raw wikitext.</t>
        </is>
      </c>
    </row>
    <row r="226" ht="94" customHeight="1">
      <c r="A226" s="15" t="inlineStr">
        <is>
          <t>SOURCE-225</t>
        </is>
      </c>
      <c r="B226" s="5" t="n"/>
      <c r="C226" s="5" t="n"/>
      <c r="D226" s="5" t="inlineStr">
        <is>
          <t>Kamlesh Pandey</t>
        </is>
      </c>
      <c r="E226" s="5" t="inlineStr">
        <is>
          <t>Wikipedia</t>
        </is>
      </c>
      <c r="F226" s="5" t="n"/>
      <c r="G226" s="5" t="n"/>
      <c r="H226" s="22" t="inlineStr">
        <is>
          <t>https://en.wikipedia.org/wiki/Kamlesh_Pandey</t>
        </is>
      </c>
      <c r="I226" s="16" t="n">
        <v>46297</v>
      </c>
      <c r="J226" s="5" t="inlineStr">
        <is>
          <t>Origin in Ballia, work as screenwriter and dialogue writer, the Filmfare Award for Tezaab, Star Screen Award for Saudagar and IIFA Award for Rang De Basanti, his television work including Karamchand and the teleplay Naqab, and his 1992 move to Zee TV.</t>
        </is>
      </c>
      <c r="K226" s="5" t="inlineStr">
        <is>
          <t>Reference encyclopedia</t>
        </is>
      </c>
      <c r="L226" s="5" t="inlineStr">
        <is>
          <t>C</t>
        </is>
      </c>
      <c r="M226" s="5" t="inlineStr">
        <is>
          <t>Collaborator article; downloaded as raw wikitext.</t>
        </is>
      </c>
    </row>
    <row r="227" ht="79" customHeight="1">
      <c r="A227" s="15" t="inlineStr">
        <is>
          <t>SOURCE-226</t>
        </is>
      </c>
      <c r="B227" s="5" t="n"/>
      <c r="C227" s="5" t="n"/>
      <c r="D227" s="5" t="inlineStr">
        <is>
          <t>Kamna Chandra</t>
        </is>
      </c>
      <c r="E227" s="5" t="inlineStr">
        <is>
          <t>Wikipedia</t>
        </is>
      </c>
      <c r="F227" s="5" t="n"/>
      <c r="G227" s="5" t="n"/>
      <c r="H227" s="22" t="inlineStr">
        <is>
          <t>https://en.wikipedia.org/wiki/Kamna_Chandra</t>
        </is>
      </c>
      <c r="I227" s="16" t="n">
        <v>46297</v>
      </c>
      <c r="J227" s="5" t="inlineStr">
        <is>
          <t>Her work writing plays for All India Radio and stories and dialogue for films including Chandni, Prem Rog and 1942: A Love Story, the last directed by her son-in-law Vidhu Vinod Chopra, and the television show Kashish.</t>
        </is>
      </c>
      <c r="K227" s="5" t="inlineStr">
        <is>
          <t>Reference encyclopedia</t>
        </is>
      </c>
      <c r="L227" s="5" t="inlineStr">
        <is>
          <t>C</t>
        </is>
      </c>
      <c r="M227" s="5" t="inlineStr">
        <is>
          <t>Collaborator article; downloaded as raw wikitext.</t>
        </is>
      </c>
    </row>
    <row r="228" ht="79" customHeight="1">
      <c r="A228" s="15" t="inlineStr">
        <is>
          <t>SOURCE-227</t>
        </is>
      </c>
      <c r="B228" s="5" t="n"/>
      <c r="C228" s="5" t="n"/>
      <c r="D228" s="5" t="inlineStr">
        <is>
          <t>Meet Bros Anjjan</t>
        </is>
      </c>
      <c r="E228" s="5" t="inlineStr">
        <is>
          <t>Wikipedia</t>
        </is>
      </c>
      <c r="F228" s="5" t="n"/>
      <c r="G228" s="5" t="n"/>
      <c r="H228" s="22" t="inlineStr">
        <is>
          <t>https://en.wikipedia.org/wiki/Meet_Bros_Anjjan</t>
        </is>
      </c>
      <c r="I228" s="16" t="n">
        <v>46297</v>
      </c>
      <c r="J228" s="5" t="inlineStr">
        <is>
          <t>Identity of the Singh brothers from Gwalior, the former name Meet Bros Anjjan with Anjjan Bhattacharya, their start as actors, the breakthrough song, early scores including Do Dooni Chaar, and the Filmfare Award for Best Music Director.</t>
        </is>
      </c>
      <c r="K228" s="5" t="inlineStr">
        <is>
          <t>Reference encyclopedia</t>
        </is>
      </c>
      <c r="L228" s="5" t="inlineStr">
        <is>
          <t>C</t>
        </is>
      </c>
      <c r="M228" s="5" t="inlineStr">
        <is>
          <t>Collaborator article; the duo now records as Meet Bros, and the article covers both names.</t>
        </is>
      </c>
    </row>
    <row r="229" ht="79" customHeight="1">
      <c r="A229" s="15" t="inlineStr">
        <is>
          <t>SOURCE-228</t>
        </is>
      </c>
      <c r="B229" s="5" t="n"/>
      <c r="C229" s="5" t="n"/>
      <c r="D229" s="5" t="inlineStr">
        <is>
          <t>Mithoon</t>
        </is>
      </c>
      <c r="E229" s="5" t="inlineStr">
        <is>
          <t>Wikipedia</t>
        </is>
      </c>
      <c r="F229" s="5" t="n"/>
      <c r="G229" s="5" t="n"/>
      <c r="H229" s="22" t="inlineStr">
        <is>
          <t>https://en.wikipedia.org/wiki/Mithoon</t>
        </is>
      </c>
      <c r="I229" s="16" t="n">
        <v>46297</v>
      </c>
      <c r="J229" s="5" t="inlineStr">
        <is>
          <t>Identity as Mithun Sharma, work as composer, lyricist and playback singer, 'Tum Hi Ho' from Aashiqui 2 and the Filmfare Award for Best Music Director, the Filmfare Best Lyricist nomination, and 'Sanam Re' as Most Streamed Song of 2016.</t>
        </is>
      </c>
      <c r="K229" s="5" t="inlineStr">
        <is>
          <t>Reference encyclopedia</t>
        </is>
      </c>
      <c r="L229" s="5" t="inlineStr">
        <is>
          <t>C</t>
        </is>
      </c>
      <c r="M229" s="5" t="inlineStr">
        <is>
          <t>Collaborator article; downloaded as raw wikitext.</t>
        </is>
      </c>
    </row>
    <row r="230" ht="109" customHeight="1">
      <c r="A230" s="15" t="inlineStr">
        <is>
          <t>SOURCE-229</t>
        </is>
      </c>
      <c r="B230" s="5" t="n"/>
      <c r="C230" s="5" t="n"/>
      <c r="D230" s="5" t="inlineStr">
        <is>
          <t>Nasir Hussain</t>
        </is>
      </c>
      <c r="E230" s="5" t="inlineStr">
        <is>
          <t>Wikipedia</t>
        </is>
      </c>
      <c r="F230" s="5" t="n"/>
      <c r="G230" s="5" t="n"/>
      <c r="H230" s="22" t="inlineStr">
        <is>
          <t>https://en.wikipedia.org/wiki/Nasir_Hussain</t>
        </is>
      </c>
      <c r="I230" s="16" t="n">
        <v>46297</v>
      </c>
      <c r="J230" s="5" t="inlineStr">
        <is>
          <t>Full name and life dates, status as a trendsetter, Yaadon Ki Baraat creating the masala genre and Qayamat Se Qayamat Tak setting the 1990s romance template, his musical hits, the R. D. Burman collaborations including Hum Kisise Kum Naheen, the special Filmfare Award in 1996, and his son Mansoor Khan.</t>
        </is>
      </c>
      <c r="K230" s="5" t="inlineStr">
        <is>
          <t>Reference encyclopedia</t>
        </is>
      </c>
      <c r="L230" s="5" t="inlineStr">
        <is>
          <t>C</t>
        </is>
      </c>
      <c r="M230" s="5" t="inlineStr">
        <is>
          <t>Collaborator article; downloaded as raw wikitext.</t>
        </is>
      </c>
    </row>
    <row r="231" ht="109" customHeight="1">
      <c r="A231" s="15" t="inlineStr">
        <is>
          <t>SOURCE-230</t>
        </is>
      </c>
      <c r="B231" s="5" t="n"/>
      <c r="C231" s="5" t="n"/>
      <c r="D231" s="5" t="inlineStr">
        <is>
          <t>Nikkhil Advani</t>
        </is>
      </c>
      <c r="E231" s="5" t="inlineStr">
        <is>
          <t>Wikipedia</t>
        </is>
      </c>
      <c r="F231" s="5" t="n"/>
      <c r="G231" s="5" t="n"/>
      <c r="H231" s="22" t="inlineStr">
        <is>
          <t>https://en.wikipedia.org/wiki/Nikkhil_Advani</t>
        </is>
      </c>
      <c r="I231" s="16" t="n">
        <v>46297</v>
      </c>
      <c r="J231" s="5" t="inlineStr">
        <is>
          <t>Birth name and date, work as director, producer and screenwriter, co-founding of Emmay Entertainment with Monisha Advani and Madhu Bhojwani, that he wrote and directed Patiala House (2011) starring Rishi Kapoor, Dimple Kapadia, Akshay Kumar and Anushka Sharma, and that D-Day (2013) was the company's first project.</t>
        </is>
      </c>
      <c r="K231" s="5" t="inlineStr">
        <is>
          <t>Reference encyclopedia</t>
        </is>
      </c>
      <c r="L231" s="5" t="inlineStr">
        <is>
          <t>C</t>
        </is>
      </c>
      <c r="M231" s="5" t="inlineStr">
        <is>
          <t>Collaborator article; downloaded as raw wikitext.</t>
        </is>
      </c>
    </row>
    <row r="232" ht="79" customHeight="1">
      <c r="A232" s="15" t="inlineStr">
        <is>
          <t>SOURCE-231</t>
        </is>
      </c>
      <c r="B232" s="5" t="n"/>
      <c r="C232" s="5" t="n"/>
      <c r="D232" s="5" t="inlineStr">
        <is>
          <t>Phani Majumdar</t>
        </is>
      </c>
      <c r="E232" s="5" t="inlineStr">
        <is>
          <t>Wikipedia</t>
        </is>
      </c>
      <c r="F232" s="5" t="n"/>
      <c r="G232" s="5" t="n"/>
      <c r="H232" s="22" t="inlineStr">
        <is>
          <t>https://en.wikipedia.org/wiki/Phani_Majumdar</t>
        </is>
      </c>
      <c r="I232" s="16" t="n">
        <v>46297</v>
      </c>
      <c r="J232" s="5" t="inlineStr">
        <is>
          <t>His standing as a pioneering director in Bengali and Hindi cinema, years active 1938-1986, and Oonch Log as Feroz Khan's first hit and winner of the National Film Award for Second Best Feature Film.</t>
        </is>
      </c>
      <c r="K232" s="5" t="inlineStr">
        <is>
          <t>Reference encyclopedia</t>
        </is>
      </c>
      <c r="L232" s="5" t="inlineStr">
        <is>
          <t>C</t>
        </is>
      </c>
      <c r="M232" s="5" t="inlineStr">
        <is>
          <t>Collaborator article; downloaded as raw wikitext.</t>
        </is>
      </c>
    </row>
    <row r="233" ht="79" customHeight="1">
      <c r="A233" s="15" t="inlineStr">
        <is>
          <t>SOURCE-232</t>
        </is>
      </c>
      <c r="B233" s="5" t="n"/>
      <c r="C233" s="5" t="n"/>
      <c r="D233" s="5" t="inlineStr">
        <is>
          <t>Pritam</t>
        </is>
      </c>
      <c r="E233" s="5" t="inlineStr">
        <is>
          <t>Wikipedia</t>
        </is>
      </c>
      <c r="F233" s="5" t="n"/>
      <c r="G233" s="5" t="n"/>
      <c r="H233" s="22" t="inlineStr">
        <is>
          <t>https://en.wikipedia.org/wiki/Pritam</t>
        </is>
      </c>
      <c r="I233" s="16" t="n">
        <v>46297</v>
      </c>
      <c r="J233" s="5" t="inlineStr">
        <is>
          <t>Birth name and date, FTII training in sound engineering, jingle and television work, debut as co-composer on Tere Liye and solo on Stumped, the Dhoom breakthrough, more than 125 films, and the National Film Award at the 70th ceremony.</t>
        </is>
      </c>
      <c r="K233" s="5" t="inlineStr">
        <is>
          <t>Reference encyclopedia</t>
        </is>
      </c>
      <c r="L233" s="5" t="inlineStr">
        <is>
          <t>C</t>
        </is>
      </c>
      <c r="M233" s="5" t="inlineStr">
        <is>
          <t>Collaborator article; downloaded as raw wikitext.</t>
        </is>
      </c>
    </row>
    <row r="234" ht="64" customHeight="1">
      <c r="A234" s="15" t="inlineStr">
        <is>
          <t>SOURCE-233</t>
        </is>
      </c>
      <c r="B234" s="5" t="n"/>
      <c r="C234" s="5" t="n"/>
      <c r="D234" s="5" t="inlineStr">
        <is>
          <t>Raj Kanwar</t>
        </is>
      </c>
      <c r="E234" s="5" t="inlineStr">
        <is>
          <t>Wikipedia</t>
        </is>
      </c>
      <c r="F234" s="5" t="n"/>
      <c r="G234" s="5" t="n"/>
      <c r="H234" s="22" t="inlineStr">
        <is>
          <t>https://en.wikipedia.org/wiki/Raj_Kanwar</t>
        </is>
      </c>
      <c r="I234" s="16" t="n">
        <v>46297</v>
      </c>
      <c r="J234" s="5" t="inlineStr">
        <is>
          <t>Life dates and death in Singapore, work as director, writer and producer, Deewana (1992) as his directorial debut, his other films Jeet and Farz, and his brother K. Pappu.</t>
        </is>
      </c>
      <c r="K234" s="5" t="inlineStr">
        <is>
          <t>Reference encyclopedia</t>
        </is>
      </c>
      <c r="L234" s="5" t="inlineStr">
        <is>
          <t>C</t>
        </is>
      </c>
      <c r="M234" s="5" t="inlineStr">
        <is>
          <t>Collaborator article; downloaded as raw wikitext.</t>
        </is>
      </c>
    </row>
    <row r="235" ht="79" customHeight="1">
      <c r="A235" s="15" t="inlineStr">
        <is>
          <t>SOURCE-234</t>
        </is>
      </c>
      <c r="B235" s="5" t="n"/>
      <c r="C235" s="5" t="n"/>
      <c r="D235" s="5" t="inlineStr">
        <is>
          <t>Rajiv Kapoor</t>
        </is>
      </c>
      <c r="E235" s="5" t="inlineStr">
        <is>
          <t>Wikipedia</t>
        </is>
      </c>
      <c r="F235" s="5" t="n"/>
      <c r="G235" s="5" t="n"/>
      <c r="H235" s="22" t="inlineStr">
        <is>
          <t>https://en.wikipedia.org/wiki/Rajiv_Kapoor</t>
        </is>
      </c>
      <c r="I235" s="16" t="n">
        <v>46297</v>
      </c>
      <c r="J235" s="5" t="inlineStr">
        <is>
          <t>Life dates, parentage by Raj Kapoor and relation to Randhir and Rishi Kapoor, his lead role in Ram Teri Ganga Maili, and that he became producer of Henna in 1991 after his father's death, with Randhir directing.</t>
        </is>
      </c>
      <c r="K235" s="5" t="inlineStr">
        <is>
          <t>Reference encyclopedia</t>
        </is>
      </c>
      <c r="L235" s="5" t="inlineStr">
        <is>
          <t>C</t>
        </is>
      </c>
      <c r="M235" s="5" t="inlineStr">
        <is>
          <t>Collaborator article; downloaded as raw wikitext.</t>
        </is>
      </c>
    </row>
    <row r="236" ht="94" customHeight="1">
      <c r="A236" s="15" t="inlineStr">
        <is>
          <t>SOURCE-235</t>
        </is>
      </c>
      <c r="B236" s="5" t="n"/>
      <c r="C236" s="5" t="n"/>
      <c r="D236" s="5" t="inlineStr">
        <is>
          <t>Rajkumar Santoshi</t>
        </is>
      </c>
      <c r="E236" s="5" t="inlineStr">
        <is>
          <t>Wikipedia</t>
        </is>
      </c>
      <c r="F236" s="5" t="n"/>
      <c r="G236" s="5" t="n"/>
      <c r="H236" s="22" t="inlineStr">
        <is>
          <t>https://en.wikipedia.org/wiki/Rajkumar_Santoshi</t>
        </is>
      </c>
      <c r="I236" s="16" t="n">
        <v>46297</v>
      </c>
      <c r="J236" s="5" t="inlineStr">
        <is>
          <t>Birth date, three National Film Awards and six Filmfare Awards, debut with Ghayal and its awards, and Damini (1993) as a blockbuster starring Meenakshi Seshadri, Sunny Deol, Rishi Kapoor and Amrish Puri which earned him his second consecutive Filmfare Award for Best Director.</t>
        </is>
      </c>
      <c r="K236" s="5" t="inlineStr">
        <is>
          <t>Reference encyclopedia</t>
        </is>
      </c>
      <c r="L236" s="5" t="inlineStr">
        <is>
          <t>C</t>
        </is>
      </c>
      <c r="M236" s="5" t="inlineStr">
        <is>
          <t>Collaborator article; downloaded as raw wikitext.</t>
        </is>
      </c>
    </row>
    <row r="237" ht="94" customHeight="1">
      <c r="A237" s="15" t="inlineStr">
        <is>
          <t>SOURCE-236</t>
        </is>
      </c>
      <c r="B237" s="5" t="n"/>
      <c r="C237" s="5" t="n"/>
      <c r="D237" s="5" t="inlineStr">
        <is>
          <t>Raju Singh</t>
        </is>
      </c>
      <c r="E237" s="5" t="inlineStr">
        <is>
          <t>Wikipedia</t>
        </is>
      </c>
      <c r="F237" s="5" t="n"/>
      <c r="G237" s="5" t="n"/>
      <c r="H237" s="22" t="inlineStr">
        <is>
          <t>https://en.wikipedia.org/wiki/Raju_Singh</t>
        </is>
      </c>
      <c r="I237" s="16" t="n">
        <v>46297</v>
      </c>
      <c r="J237" s="5" t="inlineStr">
        <is>
          <t>Full name Rajinder Singh Panesar, work as film score composer, session musician, singer and guitarist, early collaborations with Malkit Singh and Aadesh Shrivastava, television themes including Dekh Bhai Dekh, Aahat and CID, and the Mirchi Music Award for Raaz: The Mystery Continues.</t>
        </is>
      </c>
      <c r="K237" s="5" t="inlineStr">
        <is>
          <t>Reference encyclopedia</t>
        </is>
      </c>
      <c r="L237" s="5" t="inlineStr">
        <is>
          <t>C</t>
        </is>
      </c>
      <c r="M237" s="5" t="inlineStr">
        <is>
          <t>Collaborator article; downloaded as raw wikitext.</t>
        </is>
      </c>
    </row>
    <row r="238" ht="94" customHeight="1">
      <c r="A238" s="15" t="inlineStr">
        <is>
          <t>SOURCE-237</t>
        </is>
      </c>
      <c r="B238" s="5" t="n"/>
      <c r="C238" s="5" t="n"/>
      <c r="D238" s="5" t="inlineStr">
        <is>
          <t>Randhir Kapoor</t>
        </is>
      </c>
      <c r="E238" s="5" t="inlineStr">
        <is>
          <t>Wikipedia</t>
        </is>
      </c>
      <c r="F238" s="5" t="n"/>
      <c r="G238" s="5" t="n"/>
      <c r="H238" s="22" t="inlineStr">
        <is>
          <t>https://en.wikipedia.org/wiki/Randhir_Kapoor</t>
        </is>
      </c>
      <c r="I238" s="16" t="n">
        <v>46297</v>
      </c>
      <c r="J238" s="5" t="inlineStr">
        <is>
          <t>Birth date, place in the Kapoor family as Raj Kapoor's son and brother of Rishi and Rajiv Kapoor, his child role in Shree 420 (1955), his acting and directing career, the Filmfare Best Director nomination for Henna, and his daughters Karisma and Kareena Kapoor.</t>
        </is>
      </c>
      <c r="K238" s="5" t="inlineStr">
        <is>
          <t>Reference encyclopedia</t>
        </is>
      </c>
      <c r="L238" s="5" t="inlineStr">
        <is>
          <t>C</t>
        </is>
      </c>
      <c r="M238" s="5" t="inlineStr">
        <is>
          <t>Collaborator article; downloaded as raw wikitext.</t>
        </is>
      </c>
    </row>
    <row r="239" ht="79" customHeight="1">
      <c r="A239" s="15" t="inlineStr">
        <is>
          <t>SOURCE-238</t>
        </is>
      </c>
      <c r="B239" s="5" t="n"/>
      <c r="C239" s="5" t="n"/>
      <c r="D239" s="5" t="inlineStr">
        <is>
          <t>Ravindra Jain</t>
        </is>
      </c>
      <c r="E239" s="5" t="inlineStr">
        <is>
          <t>Wikipedia</t>
        </is>
      </c>
      <c r="F239" s="5" t="n"/>
      <c r="G239" s="5" t="n"/>
      <c r="H239" s="22" t="inlineStr">
        <is>
          <t>https://en.wikipedia.org/wiki/Ravindra_Jain</t>
        </is>
      </c>
      <c r="I239" s="16" t="n">
        <v>46297</v>
      </c>
      <c r="J239" s="5" t="inlineStr">
        <is>
          <t>Life dates, his career despite blindness, notable films including Chitchor, Nadiya Ke Paar and Ram Teri Ganga Maili, the Ramayan television score, the Filmfare Award for Ram Teri Ganga Maili and the Padma Shri in 2015.</t>
        </is>
      </c>
      <c r="K239" s="5" t="inlineStr">
        <is>
          <t>Reference encyclopedia</t>
        </is>
      </c>
      <c r="L239" s="5" t="inlineStr">
        <is>
          <t>C</t>
        </is>
      </c>
      <c r="M239" s="5" t="inlineStr">
        <is>
          <t>Collaborator article; downloaded as raw wikitext.</t>
        </is>
      </c>
    </row>
    <row r="240" ht="79" customHeight="1">
      <c r="A240" s="15" t="inlineStr">
        <is>
          <t>SOURCE-239</t>
        </is>
      </c>
      <c r="B240" s="5" t="n"/>
      <c r="C240" s="5" t="n"/>
      <c r="D240" s="5" t="inlineStr">
        <is>
          <t>Red Chillies Entertainment</t>
        </is>
      </c>
      <c r="E240" s="5" t="inlineStr">
        <is>
          <t>Wikipedia</t>
        </is>
      </c>
      <c r="F240" s="5" t="n"/>
      <c r="G240" s="5" t="n"/>
      <c r="H240" s="22" t="inlineStr">
        <is>
          <t>https://en.wikipedia.org/wiki/Red_Chillies_Entertainment</t>
        </is>
      </c>
      <c r="I240" s="16" t="n">
        <v>46297</v>
      </c>
      <c r="J240" s="5" t="inlineStr">
        <is>
          <t>Establishment by Shah Rukh Khan and Gauri Khan, its evolution from Dreamz Unlimited, the 2002 founding date given in this article, its business lines including Red Chillies VFX, and Om Shanti Om as its third production.</t>
        </is>
      </c>
      <c r="K240" s="5" t="inlineStr">
        <is>
          <t>Reference encyclopedia</t>
        </is>
      </c>
      <c r="L240" s="5" t="inlineStr">
        <is>
          <t>C</t>
        </is>
      </c>
      <c r="M240" s="5" t="inlineStr">
        <is>
          <t>Collaborator article (production banner). Note the discrepancy with Gauri Khan's article, which gives the founding year as 2001.</t>
        </is>
      </c>
    </row>
    <row r="241" ht="109" customHeight="1">
      <c r="A241" s="15" t="inlineStr">
        <is>
          <t>SOURCE-240</t>
        </is>
      </c>
      <c r="B241" s="5" t="inlineStr">
        <is>
          <t>FILM-002; FILM-003; FILM-037; FILM-050; FILM-074; FILM-131; FILM-134; FILM-137; FILM-152</t>
        </is>
      </c>
      <c r="C241" s="5" t="n"/>
      <c r="D241" s="5" t="inlineStr">
        <is>
          <t>Rishi Kapoor</t>
        </is>
      </c>
      <c r="E241" s="5" t="inlineStr">
        <is>
          <t>Wikipedia</t>
        </is>
      </c>
      <c r="F241" s="5" t="n"/>
      <c r="G241" s="5" t="n"/>
      <c r="H241" s="22" t="inlineStr">
        <is>
          <t>https://en.wikipedia.org/wiki/Rishi_Kapoor</t>
        </is>
      </c>
      <c r="I241" s="16" t="n">
        <v>46297</v>
      </c>
      <c r="J241" s="5" t="inlineStr">
        <is>
          <t>Life dates, a National Film Award and four Filmfare Awards, the National Film Award for Best Child Artist for Mera Naam Joker, Filmfare Award for Best Actor for Bobby, 92 films as romantic lead between 1973 and 2000, and the Filmfare Critics and Best Supporting Actor awards for Do Dooni Chaar and Kapoor &amp; Sons.</t>
        </is>
      </c>
      <c r="K241" s="5" t="inlineStr">
        <is>
          <t>Reference encyclopedia</t>
        </is>
      </c>
      <c r="L241" s="5" t="inlineStr">
        <is>
          <t>C</t>
        </is>
      </c>
      <c r="M241" s="5" t="inlineStr">
        <is>
          <t>The selected actor's own article, cited here for the producer-credit row in Collaborators.</t>
        </is>
      </c>
    </row>
    <row r="242" ht="79" customHeight="1">
      <c r="A242" s="15" t="inlineStr">
        <is>
          <t>SOURCE-241</t>
        </is>
      </c>
      <c r="B242" s="5" t="n"/>
      <c r="C242" s="5" t="n"/>
      <c r="D242" s="5" t="inlineStr">
        <is>
          <t>Ritesh Sidhwani</t>
        </is>
      </c>
      <c r="E242" s="5" t="inlineStr">
        <is>
          <t>Wikipedia</t>
        </is>
      </c>
      <c r="F242" s="5" t="n"/>
      <c r="G242" s="5" t="n"/>
      <c r="H242" s="22" t="inlineStr">
        <is>
          <t>https://en.wikipedia.org/wiki/Ritesh_Sidhwani</t>
        </is>
      </c>
      <c r="I242" s="16" t="n">
        <v>46297</v>
      </c>
      <c r="J242" s="5" t="inlineStr">
        <is>
          <t>Birth year, co-founding of Excel Entertainment with Farhan Akhtar, Dil Chahta Hai as his first production and its National Awards, and the company's streaming work including Inside Edge's International Emmy nomination.</t>
        </is>
      </c>
      <c r="K242" s="5" t="inlineStr">
        <is>
          <t>Reference encyclopedia</t>
        </is>
      </c>
      <c r="L242" s="5" t="inlineStr">
        <is>
          <t>C</t>
        </is>
      </c>
      <c r="M242" s="5" t="inlineStr">
        <is>
          <t>Collaborator article; downloaded as raw wikitext.</t>
        </is>
      </c>
    </row>
    <row r="243" ht="94" customHeight="1">
      <c r="A243" s="15" t="inlineStr">
        <is>
          <t>SOURCE-242</t>
        </is>
      </c>
      <c r="B243" s="5" t="n"/>
      <c r="C243" s="5" t="n"/>
      <c r="D243" s="5" t="inlineStr">
        <is>
          <t>Sandeep Shirodkar</t>
        </is>
      </c>
      <c r="E243" s="5" t="inlineStr">
        <is>
          <t>Wikipedia</t>
        </is>
      </c>
      <c r="F243" s="5" t="n"/>
      <c r="G243" s="5" t="n"/>
      <c r="H243" s="22" t="inlineStr">
        <is>
          <t>https://en.wikipedia.org/wiki/Sandeep_Shirodkar</t>
        </is>
      </c>
      <c r="I243" s="16" t="n">
        <v>46297</v>
      </c>
      <c r="J243" s="5" t="inlineStr">
        <is>
          <t>His work as film score composer, music director, record producer and arranger, the background scores for Dabangg, Bodyguard, Once Upon A Time in Mumbaai and Prince, and his later original song composition including Judwaa 2 remakes with Anu Malik.</t>
        </is>
      </c>
      <c r="K243" s="5" t="inlineStr">
        <is>
          <t>Reference encyclopedia</t>
        </is>
      </c>
      <c r="L243" s="5" t="inlineStr">
        <is>
          <t>C</t>
        </is>
      </c>
      <c r="M243" s="5" t="inlineStr">
        <is>
          <t>Collaborator article; downloaded as raw wikitext.</t>
        </is>
      </c>
    </row>
    <row r="244" ht="94" customHeight="1">
      <c r="A244" s="15" t="inlineStr">
        <is>
          <t>SOURCE-243</t>
        </is>
      </c>
      <c r="B244" s="5" t="n"/>
      <c r="C244" s="5" t="n"/>
      <c r="D244" s="5" t="inlineStr">
        <is>
          <t>Shankar–Jaikishan</t>
        </is>
      </c>
      <c r="E244" s="5" t="inlineStr">
        <is>
          <t>Wikipedia</t>
        </is>
      </c>
      <c r="F244" s="5" t="n"/>
      <c r="G244" s="5" t="n"/>
      <c r="H244" s="22" t="inlineStr">
        <is>
          <t>https://en.wikipedia.org/wiki/Shankar%E2%80%93Jaikishan</t>
        </is>
      </c>
      <c r="I244" s="16" t="n">
        <v>46297</v>
      </c>
      <c r="J244" s="5" t="inlineStr">
        <is>
          <t>Identity and life dates of both composers, the partnership from 1949 to 1971, 136 films, their orchestral innovation, the Filmfare Awards for Chori Chori, Brahmachari and Be-Imaan, the nomination for Mera Naam Joker, and their 1955 breakthrough with Shree 420 and Seema.</t>
        </is>
      </c>
      <c r="K244" s="5" t="inlineStr">
        <is>
          <t>Reference encyclopedia</t>
        </is>
      </c>
      <c r="L244" s="5" t="inlineStr">
        <is>
          <t>C</t>
        </is>
      </c>
      <c r="M244" s="5" t="inlineStr">
        <is>
          <t>Collaborator article; downloaded as raw wikitext.</t>
        </is>
      </c>
    </row>
    <row r="245" ht="49" customHeight="1">
      <c r="A245" s="15" t="inlineStr">
        <is>
          <t>SOURCE-244</t>
        </is>
      </c>
      <c r="B245" s="5" t="n"/>
      <c r="C245" s="5" t="n"/>
      <c r="D245" s="5" t="inlineStr">
        <is>
          <t>Sikandar Khanna</t>
        </is>
      </c>
      <c r="E245" s="5" t="inlineStr">
        <is>
          <t>Wikipedia</t>
        </is>
      </c>
      <c r="F245" s="5" t="n"/>
      <c r="G245" s="5" t="n"/>
      <c r="H245" s="22" t="inlineStr">
        <is>
          <t>https://en.wikipedia.org/wiki/Sikandar_Khanna</t>
        </is>
      </c>
      <c r="I245" s="16" t="n">
        <v>46297</v>
      </c>
      <c r="J245" s="5" t="inlineStr">
        <is>
          <t>His work as an Indian Bollywood film director and his death during the making of Phool Khile Hain Gulshan Gulshan.</t>
        </is>
      </c>
      <c r="K245" s="5" t="inlineStr">
        <is>
          <t>Reference encyclopedia</t>
        </is>
      </c>
      <c r="L245" s="5" t="inlineStr">
        <is>
          <t>C</t>
        </is>
      </c>
      <c r="M245" s="5" t="inlineStr">
        <is>
          <t>Collaborator article; a stub carrying little beyond the fact of his death during production.</t>
        </is>
      </c>
    </row>
    <row r="246" ht="79" customHeight="1">
      <c r="A246" s="15" t="inlineStr">
        <is>
          <t>SOURCE-245</t>
        </is>
      </c>
      <c r="B246" s="5" t="n"/>
      <c r="C246" s="5" t="n"/>
      <c r="D246" s="5" t="inlineStr">
        <is>
          <t>Sneha Khanwalkar</t>
        </is>
      </c>
      <c r="E246" s="5" t="inlineStr">
        <is>
          <t>Wikipedia</t>
        </is>
      </c>
      <c r="F246" s="5" t="n"/>
      <c r="G246" s="5" t="n"/>
      <c r="H246" s="22" t="inlineStr">
        <is>
          <t>https://en.wikipedia.org/wiki/Sneha_Khanwalkar</t>
        </is>
      </c>
      <c r="I246" s="16" t="n">
        <v>46297</v>
      </c>
      <c r="J246" s="5" t="inlineStr">
        <is>
          <t>Birth date and birthplace, work as a music director in Hindi films, the Filmfare nomination for Gangs of Wasseypur at the 58th awards as only the second woman in that category after Usha Khanna, and the television series Sound Trippin.</t>
        </is>
      </c>
      <c r="K246" s="5" t="inlineStr">
        <is>
          <t>Reference encyclopedia</t>
        </is>
      </c>
      <c r="L246" s="5" t="inlineStr">
        <is>
          <t>C</t>
        </is>
      </c>
      <c r="M246" s="5" t="inlineStr">
        <is>
          <t>Collaborator article; downloaded as raw wikitext.</t>
        </is>
      </c>
    </row>
    <row r="247" ht="94" customHeight="1">
      <c r="A247" s="15" t="inlineStr">
        <is>
          <t>SOURCE-246</t>
        </is>
      </c>
      <c r="B247" s="5" t="n"/>
      <c r="C247" s="5" t="n"/>
      <c r="D247" s="5" t="inlineStr">
        <is>
          <t>Subhash Ghai</t>
        </is>
      </c>
      <c r="E247" s="5" t="inlineStr">
        <is>
          <t>Wikipedia</t>
        </is>
      </c>
      <c r="F247" s="5" t="n"/>
      <c r="G247" s="5" t="n"/>
      <c r="H247" s="22" t="inlineStr">
        <is>
          <t>https://en.wikipedia.org/wiki/Subhash_Ghai</t>
        </is>
      </c>
      <c r="I247" s="16" t="n">
        <v>46297</v>
      </c>
      <c r="J247" s="5" t="inlineStr">
        <is>
          <t>Birth date and place, his range of roles in film, his prominence in the 1980s and 1990s, his notable films including Karz (1980), the founding of Mukta Arts in 1982 and its 2000 listing, the collaboration with Dilip Kumar, and the National Film Award for producing Iqbal.</t>
        </is>
      </c>
      <c r="K247" s="5" t="inlineStr">
        <is>
          <t>Reference encyclopedia</t>
        </is>
      </c>
      <c r="L247" s="5" t="inlineStr">
        <is>
          <t>C</t>
        </is>
      </c>
      <c r="M247" s="5" t="inlineStr">
        <is>
          <t>Collaborator article; downloaded as raw wikitext.</t>
        </is>
      </c>
    </row>
    <row r="248" ht="109" customHeight="1">
      <c r="A248" s="15" t="inlineStr">
        <is>
          <t>SOURCE-247</t>
        </is>
      </c>
      <c r="B248" s="5" t="n"/>
      <c r="C248" s="5" t="n"/>
      <c r="D248" s="5" t="inlineStr">
        <is>
          <t>Sukhwinder Singh</t>
        </is>
      </c>
      <c r="E248" s="5" t="inlineStr">
        <is>
          <t>Wikipedia</t>
        </is>
      </c>
      <c r="F248" s="5" t="n"/>
      <c r="G248" s="5" t="n"/>
      <c r="H248" s="22" t="inlineStr">
        <is>
          <t>https://en.wikipedia.org/wiki/Sukhwinder_Singh</t>
        </is>
      </c>
      <c r="I248" s="16" t="n">
        <v>46297</v>
      </c>
      <c r="J248" s="5" t="inlineStr">
        <is>
          <t>Birth date and birthplace, work as playback singer, composer, lyricist and producer across many languages, his early notice by Laxmikant–Pyarelal and work as their arranger, the National Film Award for 'Bismil' from Haider, and two Filmfare Awards for Best Male Playback Singer including 'Chaiyya Chaiyya'.</t>
        </is>
      </c>
      <c r="K248" s="5" t="inlineStr">
        <is>
          <t>Reference encyclopedia</t>
        </is>
      </c>
      <c r="L248" s="5" t="inlineStr">
        <is>
          <t>C</t>
        </is>
      </c>
      <c r="M248" s="5" t="inlineStr">
        <is>
          <t>Collaborator article; downloaded as raw wikitext.</t>
        </is>
      </c>
    </row>
    <row r="249" ht="94" customHeight="1">
      <c r="A249" s="15" t="inlineStr">
        <is>
          <t>SOURCE-248</t>
        </is>
      </c>
      <c r="B249" s="5" t="n"/>
      <c r="C249" s="5" t="n"/>
      <c r="D249" s="5" t="inlineStr">
        <is>
          <t>T-Series (company)</t>
        </is>
      </c>
      <c r="E249" s="5" t="inlineStr">
        <is>
          <t>Wikipedia</t>
        </is>
      </c>
      <c r="F249" s="5" t="n"/>
      <c r="G249" s="5" t="n"/>
      <c r="H249" s="22" t="inlineStr">
        <is>
          <t>https://en.wikipedia.org/wiki/T-Series_(company)</t>
        </is>
      </c>
      <c r="I249" s="16" t="n">
        <v>46297</v>
      </c>
      <c r="J249" s="5" t="inlineStr">
        <is>
          <t>The company's legal name Super Cassettes Industries, its founding by Gulshan Kumar on 11 July 1983, its position as India's largest music label with up to 35 per cent market share, its YouTube channel, and its film production of more than a hundred films.</t>
        </is>
      </c>
      <c r="K249" s="5" t="inlineStr">
        <is>
          <t>Reference encyclopedia</t>
        </is>
      </c>
      <c r="L249" s="5" t="inlineStr">
        <is>
          <t>C</t>
        </is>
      </c>
      <c r="M249" s="5" t="inlineStr">
        <is>
          <t>Collaborator article (production banner); the credits read T-Series Films.</t>
        </is>
      </c>
    </row>
    <row r="250" ht="49" customHeight="1">
      <c r="A250" s="15" t="inlineStr">
        <is>
          <t>SOURCE-249</t>
        </is>
      </c>
      <c r="B250" s="5" t="n"/>
      <c r="C250" s="5" t="n"/>
      <c r="D250" s="5" t="inlineStr">
        <is>
          <t>T. Rama Rao</t>
        </is>
      </c>
      <c r="E250" s="5" t="inlineStr">
        <is>
          <t>Wikipedia</t>
        </is>
      </c>
      <c r="F250" s="5" t="n"/>
      <c r="G250" s="5" t="n"/>
      <c r="H250" s="22" t="inlineStr">
        <is>
          <t>https://en.wikipedia.org/wiki/T._Rama_Rao</t>
        </is>
      </c>
      <c r="I250" s="16" t="n">
        <v>46297</v>
      </c>
      <c r="J250" s="5" t="inlineStr">
        <is>
          <t>Life dates, birthplace, and that he directed 75 Hindi and Telugu feature films between 1966 and 2000.</t>
        </is>
      </c>
      <c r="K250" s="5" t="inlineStr">
        <is>
          <t>Reference encyclopedia</t>
        </is>
      </c>
      <c r="L250" s="5" t="inlineStr">
        <is>
          <t>C</t>
        </is>
      </c>
      <c r="M250" s="5" t="inlineStr">
        <is>
          <t>Collaborator article; downloaded as raw wikitext.</t>
        </is>
      </c>
    </row>
    <row r="251" ht="79" customHeight="1">
      <c r="A251" s="15" t="inlineStr">
        <is>
          <t>SOURCE-250</t>
        </is>
      </c>
      <c r="B251" s="5" t="n"/>
      <c r="C251" s="5" t="n"/>
      <c r="D251" s="5" t="inlineStr">
        <is>
          <t>Tanishk Bagchi</t>
        </is>
      </c>
      <c r="E251" s="5" t="inlineStr">
        <is>
          <t>Wikipedia</t>
        </is>
      </c>
      <c r="F251" s="5" t="n"/>
      <c r="G251" s="5" t="n"/>
      <c r="H251" s="22" t="inlineStr">
        <is>
          <t>https://en.wikipedia.org/wiki/Tanishk_Bagchi</t>
        </is>
      </c>
      <c r="I251" s="16" t="n">
        <v>46297</v>
      </c>
      <c r="J251" s="5" t="inlineStr">
        <is>
          <t>Birth date and birthplace, work as music producer, composer, singer and lyricist in Hindi films, the Tanishk-Vayu credit, and the Filmfare nomination for Best Lyricist for 'Ve Maahi' from Kesari.</t>
        </is>
      </c>
      <c r="K251" s="5" t="inlineStr">
        <is>
          <t>Reference encyclopedia</t>
        </is>
      </c>
      <c r="L251" s="5" t="inlineStr">
        <is>
          <t>C</t>
        </is>
      </c>
      <c r="M251" s="5" t="inlineStr">
        <is>
          <t>Collaborator article; downloaded as raw wikitext.</t>
        </is>
      </c>
    </row>
    <row r="252" ht="109" customHeight="1">
      <c r="A252" s="15" t="inlineStr">
        <is>
          <t>SOURCE-251</t>
        </is>
      </c>
      <c r="B252" s="5" t="n"/>
      <c r="C252" s="5" t="n"/>
      <c r="D252" s="5" t="inlineStr">
        <is>
          <t>Tarsame Singh Saini</t>
        </is>
      </c>
      <c r="E252" s="5" t="inlineStr">
        <is>
          <t>Wikipedia</t>
        </is>
      </c>
      <c r="F252" s="5" t="n"/>
      <c r="G252" s="5" t="n"/>
      <c r="H252" s="22" t="inlineStr">
        <is>
          <t>https://en.wikipedia.org/wiki/Tarsame_Singh_Saini</t>
        </is>
      </c>
      <c r="I252" s="16" t="n">
        <v>46297</v>
      </c>
      <c r="J252" s="5" t="inlineStr">
        <is>
          <t>Life dates and birth in Coventry, the names Taz, Taz Stereo Nation and Johnny Zee, leadership of Stereo Nation from 1996, his standing as a pioneer of Asian fusion music, and his film debut in Don't Stop Dreaming where he composed the soundtrack, sang playback and co-starred with Rishi Kapoor, Sunil Shetty and Richard Blackwood.</t>
        </is>
      </c>
      <c r="K252" s="5" t="inlineStr">
        <is>
          <t>Reference encyclopedia</t>
        </is>
      </c>
      <c r="L252" s="5" t="inlineStr">
        <is>
          <t>C</t>
        </is>
      </c>
      <c r="M252" s="5" t="inlineStr">
        <is>
          <t>Collaborator article; the credits read Taz, and the article is titled with his full name.</t>
        </is>
      </c>
    </row>
    <row r="253" ht="79" customHeight="1">
      <c r="A253" s="15" t="inlineStr">
        <is>
          <t>SOURCE-252</t>
        </is>
      </c>
      <c r="B253" s="5" t="n"/>
      <c r="C253" s="5" t="n"/>
      <c r="D253" s="5" t="inlineStr">
        <is>
          <t>Tinnu Anand</t>
        </is>
      </c>
      <c r="E253" s="5" t="inlineStr">
        <is>
          <t>Wikipedia</t>
        </is>
      </c>
      <c r="F253" s="5" t="n"/>
      <c r="G253" s="5" t="n"/>
      <c r="H253" s="22" t="inlineStr">
        <is>
          <t>https://en.wikipedia.org/wiki/Tinnu_Anand</t>
        </is>
      </c>
      <c r="I253" s="16" t="n">
        <v>46297</v>
      </c>
      <c r="J253" s="5" t="inlineStr">
        <is>
          <t>Birth name, date and place, work as actor, director, writer and producer, his notable films including Shahenshah, Kaalia and Kaalapani, and his family relationships to Inder Raj Anand, Siddharth Anand and Mukul Anand.</t>
        </is>
      </c>
      <c r="K253" s="5" t="inlineStr">
        <is>
          <t>Reference encyclopedia</t>
        </is>
      </c>
      <c r="L253" s="5" t="inlineStr">
        <is>
          <t>C</t>
        </is>
      </c>
      <c r="M253" s="5" t="inlineStr">
        <is>
          <t>Collaborator article; downloaded as raw wikitext.</t>
        </is>
      </c>
    </row>
    <row r="254" ht="79" customHeight="1">
      <c r="A254" s="15" t="inlineStr">
        <is>
          <t>SOURCE-253</t>
        </is>
      </c>
      <c r="B254" s="5" t="n"/>
      <c r="C254" s="5" t="n"/>
      <c r="D254" s="5" t="inlineStr">
        <is>
          <t>Vanraj Bhatia</t>
        </is>
      </c>
      <c r="E254" s="5" t="inlineStr">
        <is>
          <t>Wikipedia</t>
        </is>
      </c>
      <c r="F254" s="5" t="n"/>
      <c r="G254" s="5" t="n"/>
      <c r="H254" s="22" t="inlineStr">
        <is>
          <t>https://en.wikipedia.org/wiki/Vanraj_Bhatia</t>
        </is>
      </c>
      <c r="I254" s="16" t="n">
        <v>46297</v>
      </c>
      <c r="J254" s="5" t="inlineStr">
        <is>
          <t>Life dates, his standing in Indian New Wave cinema and in Western classical music in India, the National Film Award for Tamas (1988), the Sangeet Natak Akademi Award (1989) and the Padma Shri (2012).</t>
        </is>
      </c>
      <c r="K254" s="5" t="inlineStr">
        <is>
          <t>Reference encyclopedia</t>
        </is>
      </c>
      <c r="L254" s="5" t="inlineStr">
        <is>
          <t>C</t>
        </is>
      </c>
      <c r="M254" s="5" t="inlineStr">
        <is>
          <t>Collaborator article; downloaded as raw wikitext.</t>
        </is>
      </c>
    </row>
    <row r="255" ht="94" customHeight="1">
      <c r="A255" s="15" t="inlineStr">
        <is>
          <t>SOURCE-254</t>
        </is>
      </c>
      <c r="B255" s="5" t="n"/>
      <c r="C255" s="5" t="n"/>
      <c r="D255" s="5" t="inlineStr">
        <is>
          <t>Vishal–Shekhar</t>
        </is>
      </c>
      <c r="E255" s="5" t="inlineStr">
        <is>
          <t>Wikipedia</t>
        </is>
      </c>
      <c r="F255" s="5" t="n"/>
      <c r="G255" s="5" t="n"/>
      <c r="H255" s="22" t="inlineStr">
        <is>
          <t>https://en.wikipedia.org/wiki/Vishal%E2%80%93Shekhar</t>
        </is>
      </c>
      <c r="I255" s="16" t="n">
        <v>46297</v>
      </c>
      <c r="J255" s="5" t="inlineStr">
        <is>
          <t>Identity of Vishal Dadlani and Shekhar Ravjiani, more than 350 soundtracks and 72 number-one singles, international collaborations, the Filmfare RD Burman Award for Jhankaar Beats, the Filmfare nomination and Asian Film Award Best Composer for Om Shanti Om.</t>
        </is>
      </c>
      <c r="K255" s="5" t="inlineStr">
        <is>
          <t>Reference encyclopedia</t>
        </is>
      </c>
      <c r="L255" s="5" t="inlineStr">
        <is>
          <t>C</t>
        </is>
      </c>
      <c r="M255" s="5" t="inlineStr">
        <is>
          <t>Collaborator article; downloaded as raw wikitext.</t>
        </is>
      </c>
    </row>
    <row r="256" ht="79" customHeight="1">
      <c r="A256" s="15" t="inlineStr">
        <is>
          <t>SOURCE-255</t>
        </is>
      </c>
      <c r="B256" s="5" t="n"/>
      <c r="C256" s="5" t="n"/>
      <c r="D256" s="5" t="inlineStr">
        <is>
          <t>AA Films</t>
        </is>
      </c>
      <c r="E256" s="5" t="inlineStr">
        <is>
          <t>Wikipedia</t>
        </is>
      </c>
      <c r="F256" s="5" t="n"/>
      <c r="G256" s="5" t="n"/>
      <c r="H256" s="22" t="inlineStr">
        <is>
          <t>https://en.wikipedia.org/wiki/AA_Films</t>
        </is>
      </c>
      <c r="I256" s="16" t="n">
        <v>46297</v>
      </c>
      <c r="J256" s="5" t="inlineStr">
        <is>
          <t>The company's ownership by Anil Thadani and Raveena Tandon, its business as a distributor of Hindi and Hindi-dubbed films, and the 1993 founding date, which postdates the 1990 film it is credited on here.</t>
        </is>
      </c>
      <c r="K256" s="5" t="inlineStr">
        <is>
          <t>Reference encyclopedia</t>
        </is>
      </c>
      <c r="L256" s="5" t="inlineStr">
        <is>
          <t>C</t>
        </is>
      </c>
      <c r="M256" s="5" t="inlineStr">
        <is>
          <t>Collaborator article; downloaded as raw wikitext.</t>
        </is>
      </c>
    </row>
    <row r="257" ht="64" customHeight="1">
      <c r="A257" s="15" t="inlineStr">
        <is>
          <t>SOURCE-256</t>
        </is>
      </c>
      <c r="B257" s="5" t="n"/>
      <c r="C257" s="5" t="n"/>
      <c r="D257" s="5" t="inlineStr">
        <is>
          <t>Abbas–Mustan</t>
        </is>
      </c>
      <c r="E257" s="5" t="inlineStr">
        <is>
          <t>Wikipedia</t>
        </is>
      </c>
      <c r="F257" s="5" t="n"/>
      <c r="G257" s="5" t="n"/>
      <c r="H257" s="22" t="inlineStr">
        <is>
          <t>https://en.wikipedia.org/wiki/Abbas%E2%80%93Mustan</t>
        </is>
      </c>
      <c r="I257" s="16" t="n">
        <v>46297</v>
      </c>
      <c r="J257" s="5" t="inlineStr">
        <is>
          <t>Identity of the Burmawalla brothers, their birth year and city, their work as directors and producers from 1985, and their reputation for stylish suspense, action and romantic thrillers.</t>
        </is>
      </c>
      <c r="K257" s="5" t="inlineStr">
        <is>
          <t>Reference encyclopedia</t>
        </is>
      </c>
      <c r="L257" s="5" t="inlineStr">
        <is>
          <t>C</t>
        </is>
      </c>
      <c r="M257" s="5" t="inlineStr">
        <is>
          <t>Collaborator article; downloaded as raw wikitext.</t>
        </is>
      </c>
    </row>
    <row r="258" ht="79" customHeight="1">
      <c r="A258" s="15" t="inlineStr">
        <is>
          <t>SOURCE-257</t>
        </is>
      </c>
      <c r="B258" s="5" t="n"/>
      <c r="C258" s="5" t="n"/>
      <c r="D258" s="5" t="inlineStr">
        <is>
          <t>Abhinav Kashyap</t>
        </is>
      </c>
      <c r="E258" s="5" t="inlineStr">
        <is>
          <t>Wikipedia</t>
        </is>
      </c>
      <c r="F258" s="5" t="n"/>
      <c r="G258" s="5" t="n"/>
      <c r="H258" s="22" t="inlineStr">
        <is>
          <t>https://en.wikipedia.org/wiki/Abhinav_Kashyap</t>
        </is>
      </c>
      <c r="I258" s="16" t="n">
        <v>46297</v>
      </c>
      <c r="J258" s="5" t="inlineStr">
        <is>
          <t>Birth name, date and place, work as actor, director and screenwriter, that he directed and co-wrote Dabangg (2010), that Besharam was his second film released on 2 October 2013, and that Anurag Kashyap is his brother.</t>
        </is>
      </c>
      <c r="K258" s="5" t="inlineStr">
        <is>
          <t>Reference encyclopedia</t>
        </is>
      </c>
      <c r="L258" s="5" t="inlineStr">
        <is>
          <t>C</t>
        </is>
      </c>
      <c r="M258" s="5" t="inlineStr">
        <is>
          <t>Collaborator article; downloaded as raw wikitext.</t>
        </is>
      </c>
    </row>
    <row r="259" ht="64" customHeight="1">
      <c r="A259" s="15" t="inlineStr">
        <is>
          <t>SOURCE-258</t>
        </is>
      </c>
      <c r="B259" s="5" t="n"/>
      <c r="C259" s="5" t="n"/>
      <c r="D259" s="5" t="inlineStr">
        <is>
          <t>Abhishek Chaubey</t>
        </is>
      </c>
      <c r="E259" s="5" t="inlineStr">
        <is>
          <t>Wikipedia</t>
        </is>
      </c>
      <c r="F259" s="5" t="n"/>
      <c r="G259" s="5" t="n"/>
      <c r="H259" s="22" t="inlineStr">
        <is>
          <t>https://en.wikipedia.org/wiki/Abhishek_Chaubey</t>
        </is>
      </c>
      <c r="I259" s="16" t="n">
        <v>46297</v>
      </c>
      <c r="J259" s="5" t="inlineStr">
        <is>
          <t>Origin in Ayodhya and education at Hindu College, his work as director, screenwriter and producer in Hindi cinema, and the Critics Award for Best Film at the 65th Filmfare Awards.</t>
        </is>
      </c>
      <c r="K259" s="5" t="inlineStr">
        <is>
          <t>Reference encyclopedia</t>
        </is>
      </c>
      <c r="L259" s="5" t="inlineStr">
        <is>
          <t>C</t>
        </is>
      </c>
      <c r="M259" s="5" t="inlineStr">
        <is>
          <t>Collaborator article; downloaded as raw wikitext.</t>
        </is>
      </c>
    </row>
    <row r="260" ht="79" customHeight="1">
      <c r="A260" s="15" t="inlineStr">
        <is>
          <t>SOURCE-259</t>
        </is>
      </c>
      <c r="B260" s="5" t="n"/>
      <c r="C260" s="5" t="n"/>
      <c r="D260" s="5" t="inlineStr">
        <is>
          <t>Ajay Devgn</t>
        </is>
      </c>
      <c r="E260" s="5" t="inlineStr">
        <is>
          <t>Wikipedia</t>
        </is>
      </c>
      <c r="F260" s="5" t="n"/>
      <c r="G260" s="5" t="n"/>
      <c r="H260" s="22" t="inlineStr">
        <is>
          <t>https://en.wikipedia.org/wiki/Ajay_Devgn</t>
        </is>
      </c>
      <c r="I260" s="16" t="n">
        <v>46297</v>
      </c>
      <c r="J260" s="5" t="inlineStr">
        <is>
          <t>Birth name and date, over 100 films, four National Film Awards and four Filmfare Awards, the Padma Shri in 2016, debut with Phool Aur Kaante (1991), and that Raju Chacha (2000) was produced by him and was his company's first release.</t>
        </is>
      </c>
      <c r="K260" s="5" t="inlineStr">
        <is>
          <t>Reference encyclopedia</t>
        </is>
      </c>
      <c r="L260" s="5" t="inlineStr">
        <is>
          <t>C</t>
        </is>
      </c>
      <c r="M260" s="5" t="inlineStr">
        <is>
          <t>Collaborator article; downloaded as raw wikitext.</t>
        </is>
      </c>
    </row>
    <row r="261" ht="94" customHeight="1">
      <c r="A261" s="15" t="inlineStr">
        <is>
          <t>SOURCE-260</t>
        </is>
      </c>
      <c r="B261" s="5" t="n"/>
      <c r="C261" s="5" t="n"/>
      <c r="D261" s="5" t="inlineStr">
        <is>
          <t>Ajay-Atul</t>
        </is>
      </c>
      <c r="E261" s="5" t="inlineStr">
        <is>
          <t>Wikipedia</t>
        </is>
      </c>
      <c r="F261" s="5" t="n"/>
      <c r="G261" s="5" t="n"/>
      <c r="H261" s="22" t="inlineStr">
        <is>
          <t>https://en.wikipedia.org/wiki/Ajay-Atul</t>
        </is>
      </c>
      <c r="I261" s="16" t="n">
        <v>46297</v>
      </c>
      <c r="J261" s="5" t="inlineStr">
        <is>
          <t>Identity of the Gogavale brothers and their origin in Pune, their work in Marathi and Hindi films, their National Film Award, Filmfare Marathi and other awards, the Forbes India listing, and their practice of recording with live instruments with Agneepath among the most notable examples.</t>
        </is>
      </c>
      <c r="K261" s="5" t="inlineStr">
        <is>
          <t>Reference encyclopedia</t>
        </is>
      </c>
      <c r="L261" s="5" t="inlineStr">
        <is>
          <t>C</t>
        </is>
      </c>
      <c r="M261" s="5" t="inlineStr">
        <is>
          <t>Collaborator article; downloaded as raw wikitext.</t>
        </is>
      </c>
    </row>
    <row r="262" ht="49" customHeight="1">
      <c r="A262" s="15" t="inlineStr">
        <is>
          <t>SOURCE-261</t>
        </is>
      </c>
      <c r="B262" s="5" t="n"/>
      <c r="C262" s="5" t="n"/>
      <c r="D262" s="5" t="inlineStr">
        <is>
          <t>Ajit Andhare</t>
        </is>
      </c>
      <c r="E262" s="5" t="inlineStr">
        <is>
          <t>Wikipedia</t>
        </is>
      </c>
      <c r="F262" s="5" t="n"/>
      <c r="G262" s="5" t="n"/>
      <c r="H262" s="22" t="inlineStr">
        <is>
          <t>https://en.wikipedia.org/wiki/Ajit_Andhare</t>
        </is>
      </c>
      <c r="I262" s="16" t="n">
        <v>46297</v>
      </c>
      <c r="J262" s="5" t="inlineStr">
        <is>
          <t>Birth date, his role as chief operating officer of Viacom18 Studios, and his education at NIT Rourkela and the Indian School of Business.</t>
        </is>
      </c>
      <c r="K262" s="5" t="inlineStr">
        <is>
          <t>Reference encyclopedia</t>
        </is>
      </c>
      <c r="L262" s="5" t="inlineStr">
        <is>
          <t>C</t>
        </is>
      </c>
      <c r="M262" s="5" t="inlineStr">
        <is>
          <t>Collaborator article; downloaded as raw wikitext.</t>
        </is>
      </c>
    </row>
    <row r="263" ht="94" customHeight="1">
      <c r="A263" s="15" t="inlineStr">
        <is>
          <t>SOURCE-262</t>
        </is>
      </c>
      <c r="B263" s="5" t="n"/>
      <c r="C263" s="5" t="n"/>
      <c r="D263" s="5" t="inlineStr">
        <is>
          <t>Akhtar ul Iman</t>
        </is>
      </c>
      <c r="E263" s="5" t="inlineStr">
        <is>
          <t>Wikipedia</t>
        </is>
      </c>
      <c r="F263" s="5" t="n"/>
      <c r="G263" s="5" t="n"/>
      <c r="H263" s="22" t="inlineStr">
        <is>
          <t>https://en.wikipedia.org/wiki/Akhtar_ul_Iman</t>
        </is>
      </c>
      <c r="I263" s="16" t="n">
        <v>46297</v>
      </c>
      <c r="J263" s="5" t="inlineStr">
        <is>
          <t>Life dates, his standing as an Urdu poet and influence on modern Urdu nazm, his education, his work as a freelance and B. R. Films cine writer from 1960 to 1980, the Filmfare Awards for Best Dialogue for Dharmputra and Waqt, and the 1962 Sahitya Akademi Award for Yadein.</t>
        </is>
      </c>
      <c r="K263" s="5" t="inlineStr">
        <is>
          <t>Reference encyclopedia</t>
        </is>
      </c>
      <c r="L263" s="5" t="inlineStr">
        <is>
          <t>C</t>
        </is>
      </c>
      <c r="M263" s="5" t="inlineStr">
        <is>
          <t>Collaborator article; downloaded as raw wikitext.</t>
        </is>
      </c>
    </row>
    <row r="264" ht="64" customHeight="1">
      <c r="A264" s="15" t="inlineStr">
        <is>
          <t>SOURCE-263</t>
        </is>
      </c>
      <c r="B264" s="5" t="n"/>
      <c r="C264" s="5" t="n"/>
      <c r="D264" s="5" t="inlineStr">
        <is>
          <t>Aly Morani</t>
        </is>
      </c>
      <c r="E264" s="5" t="inlineStr">
        <is>
          <t>Wikipedia</t>
        </is>
      </c>
      <c r="F264" s="5" t="n"/>
      <c r="G264" s="5" t="n"/>
      <c r="H264" s="22" t="inlineStr">
        <is>
          <t>https://en.wikipedia.org/wiki/Aly_Morani</t>
        </is>
      </c>
      <c r="I264" s="16" t="n">
        <v>46297</v>
      </c>
      <c r="J264" s="5" t="inlineStr">
        <is>
          <t>His work as an Indian film producer, his credits including Dum, Raja Hindustani, Damini, Arjun and Dushmani, and his co-ownership of Cineyug with his brother Karim Morani.</t>
        </is>
      </c>
      <c r="K264" s="5" t="inlineStr">
        <is>
          <t>Reference encyclopedia</t>
        </is>
      </c>
      <c r="L264" s="5" t="inlineStr">
        <is>
          <t>C</t>
        </is>
      </c>
      <c r="M264" s="5" t="inlineStr">
        <is>
          <t>Collaborator article; downloaded as raw wikitext.</t>
        </is>
      </c>
    </row>
    <row r="265" ht="64" customHeight="1">
      <c r="A265" s="15" t="inlineStr">
        <is>
          <t>SOURCE-264</t>
        </is>
      </c>
      <c r="B265" s="5" t="n"/>
      <c r="C265" s="5" t="n"/>
      <c r="D265" s="5" t="inlineStr">
        <is>
          <t>Anil Devgan</t>
        </is>
      </c>
      <c r="E265" s="5" t="inlineStr">
        <is>
          <t>Wikipedia</t>
        </is>
      </c>
      <c r="F265" s="5" t="n"/>
      <c r="G265" s="5" t="n"/>
      <c r="H265" s="22" t="inlineStr">
        <is>
          <t>https://en.wikipedia.org/wiki/Anil_Devgan</t>
        </is>
      </c>
      <c r="I265" s="16" t="n">
        <v>46297</v>
      </c>
      <c r="J265" s="5" t="inlineStr">
        <is>
          <t>Life dates, parentage by Prem Prakash Devgan, that he was Ajay Devgan's first cousin, his direction of Raju Chacha and Blackmail, and his death from cardiac arrest at 51.</t>
        </is>
      </c>
      <c r="K265" s="5" t="inlineStr">
        <is>
          <t>Reference encyclopedia</t>
        </is>
      </c>
      <c r="L265" s="5" t="inlineStr">
        <is>
          <t>C</t>
        </is>
      </c>
      <c r="M265" s="5" t="inlineStr">
        <is>
          <t>Collaborator article; downloaded as raw wikitext.</t>
        </is>
      </c>
    </row>
    <row r="266" ht="79" customHeight="1">
      <c r="A266" s="15" t="inlineStr">
        <is>
          <t>SOURCE-265</t>
        </is>
      </c>
      <c r="B266" s="5" t="n"/>
      <c r="C266" s="5" t="n"/>
      <c r="D266" s="5" t="inlineStr">
        <is>
          <t>Anil Ganguly</t>
        </is>
      </c>
      <c r="E266" s="5" t="inlineStr">
        <is>
          <t>Wikipedia</t>
        </is>
      </c>
      <c r="F266" s="5" t="n"/>
      <c r="G266" s="5" t="n"/>
      <c r="H266" s="22" t="inlineStr">
        <is>
          <t>https://en.wikipedia.org/wiki/Anil_Ganguly</t>
        </is>
      </c>
      <c r="I266" s="16" t="n">
        <v>46297</v>
      </c>
      <c r="J266" s="5" t="inlineStr">
        <is>
          <t>Life dates, his work in Hindi cinema from the 1970s to 2001, Kora Kagaz and Tapasya and their National Film Awards and Filmfare Best Actress wins, his films with Raakhee, the Parineeta adaptation Sankoch, and his daughter Rupali Ganguly.</t>
        </is>
      </c>
      <c r="K266" s="5" t="inlineStr">
        <is>
          <t>Reference encyclopedia</t>
        </is>
      </c>
      <c r="L266" s="5" t="inlineStr">
        <is>
          <t>C</t>
        </is>
      </c>
      <c r="M266" s="5" t="inlineStr">
        <is>
          <t>Collaborator article; downloaded as raw wikitext.</t>
        </is>
      </c>
    </row>
    <row r="267" ht="94" customHeight="1">
      <c r="A267" s="15" t="inlineStr">
        <is>
          <t>SOURCE-266</t>
        </is>
      </c>
      <c r="B267" s="5" t="n"/>
      <c r="C267" s="5" t="n"/>
      <c r="D267" s="5" t="inlineStr">
        <is>
          <t>Anil V Kumar</t>
        </is>
      </c>
      <c r="E267" s="5" t="inlineStr">
        <is>
          <t>Wikipedia</t>
        </is>
      </c>
      <c r="F267" s="5" t="n"/>
      <c r="G267" s="5" t="n"/>
      <c r="H267" s="22" t="inlineStr">
        <is>
          <t>https://en.wikipedia.org/wiki/Anil_V_Kumar</t>
        </is>
      </c>
      <c r="I267" s="16" t="n">
        <v>46297</v>
      </c>
      <c r="J267" s="5" t="inlineStr">
        <is>
          <t>Birth date, work as a television and film director and producer, the Star Plus serials Kahaani Ghar Ghar Kii and Kahin To Hoga, and the founding of Flying Turtle Films in 2010 with Shabbir Ahluwalia and Sakett Saawhney, which co-produced Zanjeer.</t>
        </is>
      </c>
      <c r="K267" s="5" t="inlineStr">
        <is>
          <t>Reference encyclopedia</t>
        </is>
      </c>
      <c r="L267" s="5" t="inlineStr">
        <is>
          <t>C</t>
        </is>
      </c>
      <c r="M267" s="5" t="inlineStr">
        <is>
          <t>Collaborator article; downloaded as raw wikitext.</t>
        </is>
      </c>
    </row>
    <row r="268" ht="94" customHeight="1">
      <c r="A268" s="15" t="inlineStr">
        <is>
          <t>SOURCE-267</t>
        </is>
      </c>
      <c r="B268" s="5" t="n"/>
      <c r="C268" s="5" t="n"/>
      <c r="D268" s="5" t="inlineStr">
        <is>
          <t>Ankit Tiwari</t>
        </is>
      </c>
      <c r="E268" s="5" t="inlineStr">
        <is>
          <t>Wikipedia</t>
        </is>
      </c>
      <c r="F268" s="5" t="n"/>
      <c r="G268" s="5" t="n"/>
      <c r="H268" s="22" t="inlineStr">
        <is>
          <t>https://en.wikipedia.org/wiki/Ankit_Tiwari</t>
        </is>
      </c>
      <c r="I268" s="16" t="n">
        <v>46297</v>
      </c>
      <c r="J268" s="5" t="inlineStr">
        <is>
          <t>Origin in Kanpur, his start in jingles and television music through Pradeep Sarkar, that he was offered Do Dooni Chaar (2010) and Saheb Biwi Aur Gangster (2011), and the Filmfare Award for Best Male Playback Singer for 'Galliyan' from Ek Villain.</t>
        </is>
      </c>
      <c r="K268" s="5" t="inlineStr">
        <is>
          <t>Reference encyclopedia</t>
        </is>
      </c>
      <c r="L268" s="5" t="inlineStr">
        <is>
          <t>C</t>
        </is>
      </c>
      <c r="M268" s="5" t="inlineStr">
        <is>
          <t>Collaborator article; downloaded as raw wikitext.</t>
        </is>
      </c>
    </row>
    <row r="269" ht="79" customHeight="1">
      <c r="A269" s="15" t="inlineStr">
        <is>
          <t>SOURCE-268</t>
        </is>
      </c>
      <c r="B269" s="5" t="n"/>
      <c r="C269" s="5" t="n"/>
      <c r="D269" s="5" t="inlineStr">
        <is>
          <t>Anubhav Sinha</t>
        </is>
      </c>
      <c r="E269" s="5" t="inlineStr">
        <is>
          <t>Wikipedia</t>
        </is>
      </c>
      <c r="F269" s="5" t="n"/>
      <c r="G269" s="5" t="n"/>
      <c r="H269" s="22" t="inlineStr">
        <is>
          <t>https://en.wikipedia.org/wiki/Anubhav_Sinha</t>
        </is>
      </c>
      <c r="I269" s="16" t="n">
        <v>46297</v>
      </c>
      <c r="J269" s="5" t="inlineStr">
        <is>
          <t>Birth date and place, his work as director, producer and writer, his commercial films Tum Bin, Dus and Ra.One, the socio-political run from Mulk (2018) through Bheed (2023), and the Netflix series IC 814: The Kandahar Hijack.</t>
        </is>
      </c>
      <c r="K269" s="5" t="inlineStr">
        <is>
          <t>Reference encyclopedia</t>
        </is>
      </c>
      <c r="L269" s="5" t="inlineStr">
        <is>
          <t>C</t>
        </is>
      </c>
      <c r="M269" s="5" t="inlineStr">
        <is>
          <t>Collaborator article; downloaded as raw wikitext.</t>
        </is>
      </c>
    </row>
    <row r="270" ht="94" customHeight="1">
      <c r="A270" s="15" t="inlineStr">
        <is>
          <t>SOURCE-269</t>
        </is>
      </c>
      <c r="B270" s="5" t="n"/>
      <c r="C270" s="5" t="n"/>
      <c r="D270" s="5" t="inlineStr">
        <is>
          <t>Anurag Basu</t>
        </is>
      </c>
      <c r="E270" s="5" t="inlineStr">
        <is>
          <t>Wikipedia</t>
        </is>
      </c>
      <c r="F270" s="5" t="n"/>
      <c r="G270" s="5" t="n"/>
      <c r="H270" s="22" t="inlineStr">
        <is>
          <t>https://en.wikipedia.org/wiki/Anurag_Basu</t>
        </is>
      </c>
      <c r="I270" s="16" t="n">
        <v>46297</v>
      </c>
      <c r="J270" s="5" t="inlineStr">
        <is>
          <t>Birth date and place, his roles in film, the breakthrough with Murder (2004) and later Gangster and Life in a... Metro, the Filmfare Award for Best Screenplay and three Best Director nominations, and that Kucch To Hai (2003) was his directorial debut.</t>
        </is>
      </c>
      <c r="K270" s="5" t="inlineStr">
        <is>
          <t>Reference encyclopedia</t>
        </is>
      </c>
      <c r="L270" s="5" t="inlineStr">
        <is>
          <t>C</t>
        </is>
      </c>
      <c r="M270" s="5" t="inlineStr">
        <is>
          <t>Collaborator article; downloaded as raw wikitext.</t>
        </is>
      </c>
    </row>
    <row r="271" ht="79" customHeight="1">
      <c r="A271" s="15" t="inlineStr">
        <is>
          <t>SOURCE-270</t>
        </is>
      </c>
      <c r="B271" s="5" t="n"/>
      <c r="C271" s="5" t="n"/>
      <c r="D271" s="5" t="inlineStr">
        <is>
          <t>Anurag Saikia</t>
        </is>
      </c>
      <c r="E271" s="5" t="inlineStr">
        <is>
          <t>Wikipedia</t>
        </is>
      </c>
      <c r="F271" s="5" t="n"/>
      <c r="G271" s="5" t="n"/>
      <c r="H271" s="22" t="inlineStr">
        <is>
          <t>https://en.wikipedia.org/wiki/Anurag_Saikia</t>
        </is>
      </c>
      <c r="I271" s="16" t="n">
        <v>46297</v>
      </c>
      <c r="J271" s="5" t="inlineStr">
        <is>
          <t>Birth in December 1988 in Moran, Assam, his work as score composer, music director, producer and instrumentalist, the Rajat Kamal for Best Non-Feature Film Music Direction for Yugadrashta, and his parents Dipali Saikia and Dr. Anil Saikia.</t>
        </is>
      </c>
      <c r="K271" s="5" t="inlineStr">
        <is>
          <t>Reference encyclopedia</t>
        </is>
      </c>
      <c r="L271" s="5" t="inlineStr">
        <is>
          <t>C</t>
        </is>
      </c>
      <c r="M271" s="5" t="inlineStr">
        <is>
          <t>Collaborator article; downloaded as raw wikitext.</t>
        </is>
      </c>
    </row>
    <row r="272" ht="49" customHeight="1">
      <c r="A272" s="15" t="inlineStr">
        <is>
          <t>SOURCE-271</t>
        </is>
      </c>
      <c r="B272" s="5" t="n"/>
      <c r="C272" s="5" t="n"/>
      <c r="D272" s="5" t="inlineStr">
        <is>
          <t>Anvita Dutt</t>
        </is>
      </c>
      <c r="E272" s="5" t="inlineStr">
        <is>
          <t>Wikipedia</t>
        </is>
      </c>
      <c r="F272" s="5" t="n"/>
      <c r="G272" s="5" t="n"/>
      <c r="H272" s="22" t="inlineStr">
        <is>
          <t>https://en.wikipedia.org/wiki/Anvita_Dutt</t>
        </is>
      </c>
      <c r="I272" s="16" t="n">
        <v>46297</v>
      </c>
      <c r="J272" s="5" t="inlineStr">
        <is>
          <t>Birth date and place, and her work as a dialogue, screenplay and story writer, lyricist and director of Hindi films.</t>
        </is>
      </c>
      <c r="K272" s="5" t="inlineStr">
        <is>
          <t>Reference encyclopedia</t>
        </is>
      </c>
      <c r="L272" s="5" t="inlineStr">
        <is>
          <t>C</t>
        </is>
      </c>
      <c r="M272" s="5" t="inlineStr">
        <is>
          <t>Collaborator article; the credit on Patiala House reads Anvita Dutt Guptan.</t>
        </is>
      </c>
    </row>
    <row r="273" ht="94" customHeight="1">
      <c r="A273" s="15" t="inlineStr">
        <is>
          <t>SOURCE-272</t>
        </is>
      </c>
      <c r="B273" s="5" t="n"/>
      <c r="C273" s="5" t="n"/>
      <c r="D273" s="5" t="inlineStr">
        <is>
          <t>Arindam Chaudhuri</t>
        </is>
      </c>
      <c r="E273" s="5" t="inlineStr">
        <is>
          <t>Wikipedia</t>
        </is>
      </c>
      <c r="F273" s="5" t="n"/>
      <c r="G273" s="5" t="n"/>
      <c r="H273" s="22" t="inlineStr">
        <is>
          <t>https://en.wikipedia.org/wiki/Arindam_Chaudhuri</t>
        </is>
      </c>
      <c r="I273" s="16" t="n">
        <v>46297</v>
      </c>
      <c r="J273" s="5" t="inlineStr">
        <is>
          <t>His involvement with the Indian Institute of Planning and Management and the criticism of it, his 2020 arrest for tax evasion, and the films produced by Planman Motion Pictures including Faltu and The Last Lear with their National Film Awards.</t>
        </is>
      </c>
      <c r="K273" s="5" t="inlineStr">
        <is>
          <t>Reference encyclopedia</t>
        </is>
      </c>
      <c r="L273" s="5" t="inlineStr">
        <is>
          <t>C</t>
        </is>
      </c>
      <c r="M273" s="5" t="inlineStr">
        <is>
          <t>Collaborator article; downloaded as raw wikitext.</t>
        </is>
      </c>
    </row>
    <row r="274" ht="79" customHeight="1">
      <c r="A274" s="15" t="inlineStr">
        <is>
          <t>SOURCE-273</t>
        </is>
      </c>
      <c r="B274" s="5" t="n"/>
      <c r="C274" s="5" t="n"/>
      <c r="D274" s="5" t="inlineStr">
        <is>
          <t>Arjun Hingorani</t>
        </is>
      </c>
      <c r="E274" s="5" t="inlineStr">
        <is>
          <t>Wikipedia</t>
        </is>
      </c>
      <c r="F274" s="5" t="n"/>
      <c r="G274" s="5" t="n"/>
      <c r="H274" s="22" t="inlineStr">
        <is>
          <t>https://en.wikipedia.org/wiki/Arjun_Hingorani</t>
        </is>
      </c>
      <c r="I274" s="16" t="n">
        <v>46297</v>
      </c>
      <c r="J274" s="5" t="inlineStr">
        <is>
          <t>Life dates, his work as director, producer and actor, that he launched Dharmendra and Sadhana Shivdasani, that he made the first Sindhi film Abana in 1958, and his films including Katilon Ke Kaatil.</t>
        </is>
      </c>
      <c r="K274" s="5" t="inlineStr">
        <is>
          <t>Reference encyclopedia</t>
        </is>
      </c>
      <c r="L274" s="5" t="inlineStr">
        <is>
          <t>C</t>
        </is>
      </c>
      <c r="M274" s="5" t="inlineStr">
        <is>
          <t>Collaborator article; downloaded as raw wikitext.</t>
        </is>
      </c>
    </row>
    <row r="275" ht="109" customHeight="1">
      <c r="A275" s="15" t="inlineStr">
        <is>
          <t>SOURCE-274</t>
        </is>
      </c>
      <c r="B275" s="5" t="n"/>
      <c r="C275" s="5" t="n"/>
      <c r="D275" s="5" t="inlineStr">
        <is>
          <t>Arun Kaul</t>
        </is>
      </c>
      <c r="E275" s="5" t="inlineStr">
        <is>
          <t>Wikipedia</t>
        </is>
      </c>
      <c r="F275" s="5" t="n"/>
      <c r="G275" s="5" t="n"/>
      <c r="H275" s="22" t="inlineStr">
        <is>
          <t>https://en.wikipedia.org/wiki/Arun_Kaul</t>
        </is>
      </c>
      <c r="I275" s="16" t="n">
        <v>46297</v>
      </c>
      <c r="J275" s="5" t="inlineStr">
        <is>
          <t>Life dates, his standing as a Kashmiri filmmaker and screenwriter, Diksha (1991) winning the Filmfare Critics Award for Best Movie and the Golden Lotus for Best Hindi Film, his screenplay assistance to Gulzar on Ijaazat and Lekin, and that he wrote the screenplay for Yash Chopra's Chandni (1989).</t>
        </is>
      </c>
      <c r="K275" s="5" t="inlineStr">
        <is>
          <t>Reference encyclopedia</t>
        </is>
      </c>
      <c r="L275" s="5" t="inlineStr">
        <is>
          <t>C</t>
        </is>
      </c>
      <c r="M275" s="5" t="inlineStr">
        <is>
          <t>Collaborator article; downloaded as raw wikitext.</t>
        </is>
      </c>
    </row>
    <row r="276" ht="94" customHeight="1">
      <c r="A276" s="15" t="inlineStr">
        <is>
          <t>SOURCE-275</t>
        </is>
      </c>
      <c r="B276" s="5" t="n"/>
      <c r="C276" s="5" t="n"/>
      <c r="D276" s="5" t="inlineStr">
        <is>
          <t>Badshah (rapper)</t>
        </is>
      </c>
      <c r="E276" s="5" t="inlineStr">
        <is>
          <t>Wikipedia</t>
        </is>
      </c>
      <c r="F276" s="5" t="n"/>
      <c r="G276" s="5" t="n"/>
      <c r="H276" s="22" t="inlineStr">
        <is>
          <t>https://en.wikipedia.org/wiki/Badshah_(rapper)</t>
        </is>
      </c>
      <c r="I276" s="16" t="n">
        <v>46297</v>
      </c>
      <c r="J276" s="5" t="inlineStr">
        <is>
          <t>Identity as Aditya Prateek Singh, origin in Delhi, work as rapper, singer-songwriter, composer and television judge, his influence on Indian hip-hop, the 2012 single 'Saturday Saturday' and its use in Humpty Sharma Ki Dulhania, and 'Abhi Toh Party Shuru Hui Hai' from Khoobsurat.</t>
        </is>
      </c>
      <c r="K276" s="5" t="inlineStr">
        <is>
          <t>Reference encyclopedia</t>
        </is>
      </c>
      <c r="L276" s="5" t="inlineStr">
        <is>
          <t>C</t>
        </is>
      </c>
      <c r="M276" s="5" t="inlineStr">
        <is>
          <t>Collaborator article; fetched under an explicit title because the bare credit 'Badshah' is a disambiguation page.</t>
        </is>
      </c>
    </row>
    <row r="277" ht="64" customHeight="1">
      <c r="A277" s="15" t="inlineStr">
        <is>
          <t>SOURCE-276</t>
        </is>
      </c>
      <c r="B277" s="5" t="n"/>
      <c r="C277" s="5" t="n"/>
      <c r="D277" s="5" t="inlineStr">
        <is>
          <t>Benny Dayal</t>
        </is>
      </c>
      <c r="E277" s="5" t="inlineStr">
        <is>
          <t>Wikipedia</t>
        </is>
      </c>
      <c r="F277" s="5" t="n"/>
      <c r="G277" s="5" t="n"/>
      <c r="H277" s="22" t="inlineStr">
        <is>
          <t>https://en.wikipedia.org/wiki/Benny_Dayal</t>
        </is>
      </c>
      <c r="I277" s="16" t="n">
        <v>46297</v>
      </c>
      <c r="J277" s="5" t="inlineStr">
        <is>
          <t>Birth date and place, his base in the UAE, the languages he records in, membership of the band S5 and being noticed by A. R. Rahman, and his acting debut in the Malayalam film By the People.</t>
        </is>
      </c>
      <c r="K277" s="5" t="inlineStr">
        <is>
          <t>Reference encyclopedia</t>
        </is>
      </c>
      <c r="L277" s="5" t="inlineStr">
        <is>
          <t>C</t>
        </is>
      </c>
      <c r="M277" s="5" t="inlineStr">
        <is>
          <t>Collaborator article; downloaded as raw wikitext.</t>
        </is>
      </c>
    </row>
    <row r="278" ht="109" customHeight="1">
      <c r="A278" s="15" t="inlineStr">
        <is>
          <t>SOURCE-277</t>
        </is>
      </c>
      <c r="B278" s="5" t="n"/>
      <c r="C278" s="5" t="n"/>
      <c r="D278" s="5" t="inlineStr">
        <is>
          <t>Bhappi Sonie</t>
        </is>
      </c>
      <c r="E278" s="5" t="inlineStr">
        <is>
          <t>Wikipedia</t>
        </is>
      </c>
      <c r="F278" s="5" t="n"/>
      <c r="G278" s="5" t="n"/>
      <c r="H278" s="22" t="inlineStr">
        <is>
          <t>https://en.wikipedia.org/wiki/Bhappi_Sonie</t>
        </is>
      </c>
      <c r="I278" s="16" t="n">
        <v>46297</v>
      </c>
      <c r="J278" s="5" t="inlineStr">
        <is>
          <t>Life dates, his work as director and producer, his apprenticeship with Raj Khosla on Milap, C.I.D. and Solva Saal, his directorial debut Ek Phool Char Kaante with Sunil Dutt and Waheeda Rehman, the Shammi Kapoor and Dharmendra hits Janwar and Brahmachari, and the Filmfare Award for Best Film.</t>
        </is>
      </c>
      <c r="K278" s="5" t="inlineStr">
        <is>
          <t>Reference encyclopedia</t>
        </is>
      </c>
      <c r="L278" s="5" t="inlineStr">
        <is>
          <t>C</t>
        </is>
      </c>
      <c r="M278" s="5" t="inlineStr">
        <is>
          <t>Collaborator article; downloaded as raw wikitext.</t>
        </is>
      </c>
    </row>
    <row r="279" ht="79" customHeight="1">
      <c r="A279" s="15" t="inlineStr">
        <is>
          <t>SOURCE-278</t>
        </is>
      </c>
      <c r="B279" s="5" t="n"/>
      <c r="C279" s="5" t="n"/>
      <c r="D279" s="5" t="inlineStr">
        <is>
          <t>Binod Pradhan</t>
        </is>
      </c>
      <c r="E279" s="5" t="inlineStr">
        <is>
          <t>Wikipedia</t>
        </is>
      </c>
      <c r="F279" s="5" t="n"/>
      <c r="G279" s="5" t="n"/>
      <c r="H279" s="22" t="inlineStr">
        <is>
          <t>https://en.wikipedia.org/wiki/Binod_Pradhan</t>
        </is>
      </c>
      <c r="I279" s="16" t="n">
        <v>46297</v>
      </c>
      <c r="J279" s="5" t="inlineStr">
        <is>
          <t>Origin in Kalimpong, his work as cinematographer, director and actor, and his award-winning cinematography on 1942: A Love Story, Devdas, Rang De Basanti, Mission Kashmir and Munna Bhai M.B.B.S.</t>
        </is>
      </c>
      <c r="K279" s="5" t="inlineStr">
        <is>
          <t>Reference encyclopedia</t>
        </is>
      </c>
      <c r="L279" s="5" t="inlineStr">
        <is>
          <t>C</t>
        </is>
      </c>
      <c r="M279" s="5" t="inlineStr">
        <is>
          <t>Collaborator article; downloaded as raw wikitext.</t>
        </is>
      </c>
    </row>
    <row r="280" ht="64" customHeight="1">
      <c r="A280" s="15" t="inlineStr">
        <is>
          <t>SOURCE-279</t>
        </is>
      </c>
      <c r="B280" s="5" t="n"/>
      <c r="C280" s="5" t="n"/>
      <c r="D280" s="5" t="inlineStr">
        <is>
          <t>Clinton Cerejo</t>
        </is>
      </c>
      <c r="E280" s="5" t="inlineStr">
        <is>
          <t>Wikipedia</t>
        </is>
      </c>
      <c r="F280" s="5" t="n"/>
      <c r="G280" s="5" t="n"/>
      <c r="H280" s="22" t="inlineStr">
        <is>
          <t>https://en.wikipedia.org/wiki/Clinton_Cerejo</t>
        </is>
      </c>
      <c r="I280" s="16" t="n">
        <v>46297</v>
      </c>
      <c r="J280" s="5" t="inlineStr">
        <is>
          <t>His work as an Indian singer and composer from Mumbai, active since 1999, his work as a music producer for other composers, and his marriage to Dominique Cerejo.</t>
        </is>
      </c>
      <c r="K280" s="5" t="inlineStr">
        <is>
          <t>Reference encyclopedia</t>
        </is>
      </c>
      <c r="L280" s="5" t="inlineStr">
        <is>
          <t>C</t>
        </is>
      </c>
      <c r="M280" s="5" t="inlineStr">
        <is>
          <t>Collaborator article; downloaded as raw wikitext.</t>
        </is>
      </c>
    </row>
    <row r="281" ht="94" customHeight="1">
      <c r="A281" s="15" t="inlineStr">
        <is>
          <t>SOURCE-280</t>
        </is>
      </c>
      <c r="B281" s="5" t="n"/>
      <c r="C281" s="5" t="n"/>
      <c r="D281" s="5" t="inlineStr">
        <is>
          <t>DAR Motion Pictures</t>
        </is>
      </c>
      <c r="E281" s="5" t="inlineStr">
        <is>
          <t>Wikipedia</t>
        </is>
      </c>
      <c r="F281" s="5" t="n"/>
      <c r="G281" s="5" t="n"/>
      <c r="H281" s="22" t="inlineStr">
        <is>
          <t>https://en.wikipedia.org/wiki/DAR_Motion_Pictures</t>
        </is>
      </c>
      <c r="I281" s="16" t="n">
        <v>46297</v>
      </c>
      <c r="J281" s="5" t="inlineStr">
        <is>
          <t>The company's founding in 2009, its ownership by DAR Capital Group, its Mumbai base and focus on content-driven cinema, the key people Arun Rangachari, Vivek Rangachari and Sethumadhavan Napan, and its films including City of Gold, D-Day and The Lunchbox.</t>
        </is>
      </c>
      <c r="K281" s="5" t="inlineStr">
        <is>
          <t>Reference encyclopedia</t>
        </is>
      </c>
      <c r="L281" s="5" t="inlineStr">
        <is>
          <t>C</t>
        </is>
      </c>
      <c r="M281" s="5" t="inlineStr">
        <is>
          <t>Collaborator article; downloaded as raw wikitext.</t>
        </is>
      </c>
    </row>
    <row r="282" ht="109" customHeight="1">
      <c r="A282" s="15" t="inlineStr">
        <is>
          <t>SOURCE-281</t>
        </is>
      </c>
      <c r="B282" s="5" t="n"/>
      <c r="C282" s="5" t="n"/>
      <c r="D282" s="5" t="inlineStr">
        <is>
          <t>Daboo Malik</t>
        </is>
      </c>
      <c r="E282" s="5" t="inlineStr">
        <is>
          <t>Wikipedia</t>
        </is>
      </c>
      <c r="F282" s="5" t="n"/>
      <c r="G282" s="5" t="n"/>
      <c r="H282" s="22" t="inlineStr">
        <is>
          <t>https://en.wikipedia.org/wiki/Daboo_Malik</t>
        </is>
      </c>
      <c r="I282" s="16" t="n">
        <v>46297</v>
      </c>
      <c r="J282" s="5" t="inlineStr">
        <is>
          <t>His identity as Israr Sardar Malik, birth in Mumbai to the composer Sardar Malik, work as music director, composer, singer, actor and scriptwriter, the films Tumko Na Bhool Paayenge and I Proud to Be an Indian, and his relations to Anu Malik, Abu Malik, Amaal Mallik, Armaan Malik and Hasrat Jaipuri.</t>
        </is>
      </c>
      <c r="K282" s="5" t="inlineStr">
        <is>
          <t>Reference encyclopedia</t>
        </is>
      </c>
      <c r="L282" s="5" t="inlineStr">
        <is>
          <t>C</t>
        </is>
      </c>
      <c r="M282" s="5" t="inlineStr">
        <is>
          <t>Collaborator article; downloaded as raw wikitext.</t>
        </is>
      </c>
    </row>
    <row r="283" ht="49" customHeight="1">
      <c r="A283" s="15" t="inlineStr">
        <is>
          <t>SOURCE-282</t>
        </is>
      </c>
      <c r="B283" s="5" t="n"/>
      <c r="C283" s="5" t="n"/>
      <c r="D283" s="5" t="inlineStr">
        <is>
          <t>Deepak Sareen</t>
        </is>
      </c>
      <c r="E283" s="5" t="inlineStr">
        <is>
          <t>Wikipedia</t>
        </is>
      </c>
      <c r="F283" s="5" t="n"/>
      <c r="G283" s="5" t="n"/>
      <c r="H283" s="22" t="inlineStr">
        <is>
          <t>https://en.wikipedia.org/wiki/Deepak_Sareen</t>
        </is>
      </c>
      <c r="I283" s="16" t="n">
        <v>46297</v>
      </c>
      <c r="J283" s="5" t="inlineStr">
        <is>
          <t>His work as a Bollywood film director and assistant director, and that Ranbhoomi was his first film as director and Albela his last.</t>
        </is>
      </c>
      <c r="K283" s="5" t="inlineStr">
        <is>
          <t>Reference encyclopedia</t>
        </is>
      </c>
      <c r="L283" s="5" t="inlineStr">
        <is>
          <t>C</t>
        </is>
      </c>
      <c r="M283" s="5" t="inlineStr">
        <is>
          <t>Collaborator article; a stub of one sentence.</t>
        </is>
      </c>
    </row>
    <row r="284" ht="94" customHeight="1">
      <c r="A284" s="15" t="inlineStr">
        <is>
          <t>SOURCE-283</t>
        </is>
      </c>
      <c r="B284" s="5" t="n"/>
      <c r="C284" s="5" t="n"/>
      <c r="D284" s="5" t="inlineStr">
        <is>
          <t>Dev Anand</t>
        </is>
      </c>
      <c r="E284" s="5" t="inlineStr">
        <is>
          <t>Wikipedia</t>
        </is>
      </c>
      <c r="F284" s="5" t="n"/>
      <c r="G284" s="5" t="n"/>
      <c r="H284" s="22" t="inlineStr">
        <is>
          <t>https://en.wikipedia.org/wiki/Dev_Anand</t>
        </is>
      </c>
      <c r="I284" s="16" t="n">
        <v>46297</v>
      </c>
      <c r="J284" s="5" t="inlineStr">
        <is>
          <t>Birth name and life dates, his standing among the greatest Indian actors, more than 100 films across six decades, four Filmfare Awards including two for Best Actor, the Padma Bhushan in 2001 and the Dadasaheb Phalke Award in 2002, and his death in London.</t>
        </is>
      </c>
      <c r="K284" s="5" t="inlineStr">
        <is>
          <t>Reference encyclopedia</t>
        </is>
      </c>
      <c r="L284" s="5" t="inlineStr">
        <is>
          <t>C</t>
        </is>
      </c>
      <c r="M284" s="5" t="inlineStr">
        <is>
          <t>Collaborator article; downloaded as raw wikitext.</t>
        </is>
      </c>
    </row>
    <row r="285" ht="64" customHeight="1">
      <c r="A285" s="15" t="inlineStr">
        <is>
          <t>SOURCE-284</t>
        </is>
      </c>
      <c r="B285" s="5" t="n"/>
      <c r="C285" s="5" t="n"/>
      <c r="D285" s="5" t="inlineStr">
        <is>
          <t>Devika Bhagat</t>
        </is>
      </c>
      <c r="E285" s="5" t="inlineStr">
        <is>
          <t>Wikipedia</t>
        </is>
      </c>
      <c r="F285" s="5" t="n"/>
      <c r="G285" s="5" t="n"/>
      <c r="H285" s="22" t="inlineStr">
        <is>
          <t>https://en.wikipedia.org/wiki/Devika_Bhagat</t>
        </is>
      </c>
      <c r="I285" s="16" t="n">
        <v>46297</v>
      </c>
      <c r="J285" s="5" t="inlineStr">
        <is>
          <t>Birth date and her work as an Indian screenwriter in Hindi films, including Manorama Six Feet Under (2007), Bachna Ae Haseeno (2008) and Ladies vs Ricky Bahl (2011).</t>
        </is>
      </c>
      <c r="K285" s="5" t="inlineStr">
        <is>
          <t>Reference encyclopedia</t>
        </is>
      </c>
      <c r="L285" s="5" t="inlineStr">
        <is>
          <t>C</t>
        </is>
      </c>
      <c r="M285" s="5" t="inlineStr">
        <is>
          <t>Collaborator article; downloaded as raw wikitext.</t>
        </is>
      </c>
    </row>
    <row r="286" ht="79" customHeight="1">
      <c r="A286" s="15" t="inlineStr">
        <is>
          <t>SOURCE-285</t>
        </is>
      </c>
      <c r="B286" s="5" t="n"/>
      <c r="C286" s="5" t="n"/>
      <c r="D286" s="5" t="inlineStr">
        <is>
          <t>Dinesh Vijan</t>
        </is>
      </c>
      <c r="E286" s="5" t="inlineStr">
        <is>
          <t>Wikipedia</t>
        </is>
      </c>
      <c r="F286" s="5" t="n"/>
      <c r="G286" s="5" t="n"/>
      <c r="H286" s="22" t="inlineStr">
        <is>
          <t>https://en.wikipedia.org/wiki/Dinesh_Vijan</t>
        </is>
      </c>
      <c r="I286" s="16" t="n">
        <v>46297</v>
      </c>
      <c r="J286" s="5" t="inlineStr">
        <is>
          <t>His work as an Indian film producer, the founding of Maddock Films, and the more than 35 films produced under the banner including Love Aaj Kal, Cocktail, Badlapur, Hindi Medium, Stree, Luka Chuppi, Bala and Mimi.</t>
        </is>
      </c>
      <c r="K286" s="5" t="inlineStr">
        <is>
          <t>Reference encyclopedia</t>
        </is>
      </c>
      <c r="L286" s="5" t="inlineStr">
        <is>
          <t>C</t>
        </is>
      </c>
      <c r="M286" s="5" t="inlineStr">
        <is>
          <t>Collaborator article; downloaded as raw wikitext.</t>
        </is>
      </c>
    </row>
    <row r="287" ht="64" customHeight="1">
      <c r="A287" s="15" t="inlineStr">
        <is>
          <t>SOURCE-286</t>
        </is>
      </c>
      <c r="B287" s="5" t="n"/>
      <c r="C287" s="5" t="n"/>
      <c r="D287" s="5" t="inlineStr">
        <is>
          <t>Divya Khosla Kumar</t>
        </is>
      </c>
      <c r="E287" s="5" t="inlineStr">
        <is>
          <t>Wikipedia</t>
        </is>
      </c>
      <c r="F287" s="5" t="n"/>
      <c r="G287" s="5" t="n"/>
      <c r="H287" s="22" t="inlineStr">
        <is>
          <t>https://en.wikipedia.org/wiki/Divya_Khosla_Kumar</t>
        </is>
      </c>
      <c r="I287" s="16" t="n">
        <v>46297</v>
      </c>
      <c r="J287" s="5" t="inlineStr">
        <is>
          <t>Her work as model, actress, producer and director, her start in modelling and music videos, her study of cinematography and editing, and her direction of Yaariyan (2014) and Sanam Re (2016).</t>
        </is>
      </c>
      <c r="K287" s="5" t="inlineStr">
        <is>
          <t>Reference encyclopedia</t>
        </is>
      </c>
      <c r="L287" s="5" t="inlineStr">
        <is>
          <t>C</t>
        </is>
      </c>
      <c r="M287" s="5" t="inlineStr">
        <is>
          <t>Collaborator article; downloaded as raw wikitext.</t>
        </is>
      </c>
    </row>
    <row r="288" ht="79" customHeight="1">
      <c r="A288" s="15" t="inlineStr">
        <is>
          <t>SOURCE-287</t>
        </is>
      </c>
      <c r="B288" s="5" t="n"/>
      <c r="C288" s="5" t="n"/>
      <c r="D288" s="5" t="inlineStr">
        <is>
          <t>Ekta Kapoor</t>
        </is>
      </c>
      <c r="E288" s="5" t="inlineStr">
        <is>
          <t>Wikipedia</t>
        </is>
      </c>
      <c r="F288" s="5" t="n"/>
      <c r="G288" s="5" t="n"/>
      <c r="H288" s="22" t="inlineStr">
        <is>
          <t>https://en.wikipedia.org/wiki/Ekta_Kapoor</t>
        </is>
      </c>
      <c r="I288" s="16" t="n">
        <v>46297</v>
      </c>
      <c r="J288" s="5" t="inlineStr">
        <is>
          <t>Birth date, her work as a television and film producer, the founding of Balaji Telefilms and her role there, her start at seventeen, the Padma Shri in 2020 and the International Emmy Directorate Award in 2023.</t>
        </is>
      </c>
      <c r="K288" s="5" t="inlineStr">
        <is>
          <t>Reference encyclopedia</t>
        </is>
      </c>
      <c r="L288" s="5" t="inlineStr">
        <is>
          <t>C</t>
        </is>
      </c>
      <c r="M288" s="5" t="inlineStr">
        <is>
          <t>Collaborator article; downloaded as raw wikitext.</t>
        </is>
      </c>
    </row>
    <row r="289" ht="79" customHeight="1">
      <c r="A289" s="15" t="inlineStr">
        <is>
          <t>SOURCE-288</t>
        </is>
      </c>
      <c r="B289" s="5" t="n"/>
      <c r="C289" s="5" t="n"/>
      <c r="D289" s="5" t="inlineStr">
        <is>
          <t>Emmay Entertainment</t>
        </is>
      </c>
      <c r="E289" s="5" t="inlineStr">
        <is>
          <t>Wikipedia</t>
        </is>
      </c>
      <c r="F289" s="5" t="n"/>
      <c r="G289" s="5" t="n"/>
      <c r="H289" s="22" t="inlineStr">
        <is>
          <t>https://en.wikipedia.org/wiki/Emmay_Entertainment</t>
        </is>
      </c>
      <c r="I289" s="16" t="n">
        <v>46297</v>
      </c>
      <c r="J289" s="5" t="inlineStr">
        <is>
          <t>The company's full name and Mumbai base, its founding in 2011 by Nikkhil Advani, Monisha Advani and Madhu Bhojwani, its expansion from features into television and digital content, and that D-Day was its first feature production.</t>
        </is>
      </c>
      <c r="K289" s="5" t="inlineStr">
        <is>
          <t>Reference encyclopedia</t>
        </is>
      </c>
      <c r="L289" s="5" t="inlineStr">
        <is>
          <t>C</t>
        </is>
      </c>
      <c r="M289" s="5" t="inlineStr">
        <is>
          <t>Collaborator article; downloaded as raw wikitext.</t>
        </is>
      </c>
    </row>
    <row r="290" ht="79" customHeight="1">
      <c r="A290" s="15" t="inlineStr">
        <is>
          <t>SOURCE-289</t>
        </is>
      </c>
      <c r="B290" s="5" t="n"/>
      <c r="C290" s="5" t="n"/>
      <c r="D290" s="5" t="inlineStr">
        <is>
          <t>Eros International</t>
        </is>
      </c>
      <c r="E290" s="5" t="inlineStr">
        <is>
          <t>Wikipedia</t>
        </is>
      </c>
      <c r="F290" s="5" t="n"/>
      <c r="G290" s="5" t="n"/>
      <c r="H290" s="22" t="inlineStr">
        <is>
          <t>https://en.wikipedia.org/wiki/Eros_International</t>
        </is>
      </c>
      <c r="I290" s="16" t="n">
        <v>46297</v>
      </c>
      <c r="J290" s="5" t="inlineStr">
        <is>
          <t>The company's founding in Mumbai by Arjan Lulla in 1977, its management by Kishore and Sunil Lulla, its business as a production and distribution company, and its status as a subsidiary of Eros Media World formed in 2020.</t>
        </is>
      </c>
      <c r="K290" s="5" t="inlineStr">
        <is>
          <t>Reference encyclopedia</t>
        </is>
      </c>
      <c r="L290" s="5" t="inlineStr">
        <is>
          <t>C</t>
        </is>
      </c>
      <c r="M290" s="5" t="inlineStr">
        <is>
          <t>Collaborator article; downloaded as raw wikitext.</t>
        </is>
      </c>
    </row>
    <row r="291" ht="109" customHeight="1">
      <c r="A291" s="15" t="inlineStr">
        <is>
          <t>SOURCE-290</t>
        </is>
      </c>
      <c r="B291" s="5" t="n"/>
      <c r="C291" s="5" t="n"/>
      <c r="D291" s="5" t="inlineStr">
        <is>
          <t>Farah Khan</t>
        </is>
      </c>
      <c r="E291" s="5" t="inlineStr">
        <is>
          <t>Wikipedia</t>
        </is>
      </c>
      <c r="F291" s="5" t="n"/>
      <c r="G291" s="5" t="n"/>
      <c r="H291" s="22" t="inlineStr">
        <is>
          <t>https://en.wikipedia.org/wiki/Farah_Khan</t>
        </is>
      </c>
      <c r="I291" s="16" t="n">
        <v>46297</v>
      </c>
      <c r="J291" s="5" t="inlineStr">
        <is>
          <t>Birth date and name, her work as choreographer and director, more than a hundred songs in over eighty films, the National Film Award and seven Filmfare Awards for Best Choreography, and the Filmfare Best Director nominations for Main Hoon Na and Om Shanti Om as the second woman nominated.</t>
        </is>
      </c>
      <c r="K291" s="5" t="inlineStr">
        <is>
          <t>Reference encyclopedia</t>
        </is>
      </c>
      <c r="L291" s="5" t="inlineStr">
        <is>
          <t>C</t>
        </is>
      </c>
      <c r="M291" s="5" t="inlineStr">
        <is>
          <t>Collaborator article; downloaded as raw wikitext.</t>
        </is>
      </c>
    </row>
    <row r="292" ht="109" customHeight="1">
      <c r="A292" s="15" t="inlineStr">
        <is>
          <t>SOURCE-291</t>
        </is>
      </c>
      <c r="B292" s="5" t="n"/>
      <c r="C292" s="5" t="n"/>
      <c r="D292" s="5" t="inlineStr">
        <is>
          <t>G. P. Sippy</t>
        </is>
      </c>
      <c r="E292" s="5" t="inlineStr">
        <is>
          <t>Wikipedia</t>
        </is>
      </c>
      <c r="F292" s="5" t="n"/>
      <c r="G292" s="5" t="n"/>
      <c r="H292" s="22" t="inlineStr">
        <is>
          <t>https://en.wikipedia.org/wiki/G._P._Sippy</t>
        </is>
      </c>
      <c r="I292" s="16" t="n">
        <v>46297</v>
      </c>
      <c r="J292" s="5" t="inlineStr">
        <is>
          <t>Birth name and life dates, his work as producer and director, the films Seeta Aur Geeta, Shaan, Saagar, Raju Ban Gaya Gentleman and Sholay, his chairmanship of the Film and Television Producers Guild of India, his Filmfare Awards in 1968 and 1982, and his son Ramesh Sippy and grandson Rohan Sippy.</t>
        </is>
      </c>
      <c r="K292" s="5" t="inlineStr">
        <is>
          <t>Reference encyclopedia</t>
        </is>
      </c>
      <c r="L292" s="5" t="inlineStr">
        <is>
          <t>C</t>
        </is>
      </c>
      <c r="M292" s="5" t="inlineStr">
        <is>
          <t>Collaborator article; downloaded as raw wikitext.</t>
        </is>
      </c>
    </row>
    <row r="293" ht="49" customHeight="1">
      <c r="A293" s="15" t="inlineStr">
        <is>
          <t>SOURCE-292</t>
        </is>
      </c>
      <c r="B293" s="5" t="n"/>
      <c r="C293" s="5" t="n"/>
      <c r="D293" s="5" t="inlineStr">
        <is>
          <t>Gennadi Vasilyev</t>
        </is>
      </c>
      <c r="E293" s="5" t="inlineStr">
        <is>
          <t>Wikipedia</t>
        </is>
      </c>
      <c r="F293" s="5" t="n"/>
      <c r="G293" s="5" t="n"/>
      <c r="H293" s="22" t="inlineStr">
        <is>
          <t>https://en.wikipedia.org/wiki/Gennadi_Vasilyev</t>
        </is>
      </c>
      <c r="I293" s="16" t="n">
        <v>46297</v>
      </c>
      <c r="J293" s="5" t="inlineStr">
        <is>
          <t>Life dates, his identity as a Russian film director, and that he is best known for Finist, the Brave Falcon (1975).</t>
        </is>
      </c>
      <c r="K293" s="5" t="inlineStr">
        <is>
          <t>Reference encyclopedia</t>
        </is>
      </c>
      <c r="L293" s="5" t="inlineStr">
        <is>
          <t>C</t>
        </is>
      </c>
      <c r="M293" s="5" t="inlineStr">
        <is>
          <t>Collaborator article; downloaded as raw wikitext.</t>
        </is>
      </c>
    </row>
    <row r="294" ht="79" customHeight="1">
      <c r="A294" s="15" t="inlineStr">
        <is>
          <t>SOURCE-293</t>
        </is>
      </c>
      <c r="B294" s="5" t="n"/>
      <c r="C294" s="5" t="n"/>
      <c r="D294" s="5" t="inlineStr">
        <is>
          <t>Gorky Film Studio</t>
        </is>
      </c>
      <c r="E294" s="5" t="inlineStr">
        <is>
          <t>Wikipedia</t>
        </is>
      </c>
      <c r="F294" s="5" t="n"/>
      <c r="G294" s="5" t="n"/>
      <c r="H294" s="22" t="inlineStr">
        <is>
          <t>https://en.wikipedia.org/wiki/Gorky_Film_Studio</t>
        </is>
      </c>
      <c r="I294" s="16" t="n">
        <v>46297</v>
      </c>
      <c r="J294" s="5" t="inlineStr">
        <is>
          <t>Its status as a municipally owned Moscow film studio and one of the oldest active in Russia, and that it had produced more than a thousand films by the end of the Soviet Union, several of them internationally awarded.</t>
        </is>
      </c>
      <c r="K294" s="5" t="inlineStr">
        <is>
          <t>Reference encyclopedia</t>
        </is>
      </c>
      <c r="L294" s="5" t="inlineStr">
        <is>
          <t>C</t>
        </is>
      </c>
      <c r="M294" s="5" t="inlineStr">
        <is>
          <t>Collaborator article; downloaded as raw wikitext.</t>
        </is>
      </c>
    </row>
    <row r="295" ht="79" customHeight="1">
      <c r="A295" s="15" t="inlineStr">
        <is>
          <t>SOURCE-294</t>
        </is>
      </c>
      <c r="B295" s="5" t="n"/>
      <c r="C295" s="5" t="n"/>
      <c r="D295" s="5" t="inlineStr">
        <is>
          <t>Guddu Dhanoa</t>
        </is>
      </c>
      <c r="E295" s="5" t="inlineStr">
        <is>
          <t>Wikipedia</t>
        </is>
      </c>
      <c r="F295" s="5" t="n"/>
      <c r="G295" s="5" t="n"/>
      <c r="H295" s="22" t="inlineStr">
        <is>
          <t>https://en.wikipedia.org/wiki/Guddu_Dhanoa</t>
        </is>
      </c>
      <c r="I295" s="16" t="n">
        <v>46297</v>
      </c>
      <c r="J295" s="5" t="inlineStr">
        <is>
          <t>His work as writer, producer and director of Hindi films, the action films Ziddi and Bichhoo, his relation to Dharmendra and the Deol family, and that he began as a producer for Shah Rukh Khan, who starred in his 1992 film Deewana.</t>
        </is>
      </c>
      <c r="K295" s="5" t="inlineStr">
        <is>
          <t>Reference encyclopedia</t>
        </is>
      </c>
      <c r="L295" s="5" t="inlineStr">
        <is>
          <t>C</t>
        </is>
      </c>
      <c r="M295" s="5" t="inlineStr">
        <is>
          <t>Collaborator article; downloaded as raw wikitext.</t>
        </is>
      </c>
    </row>
    <row r="296" ht="64" customHeight="1">
      <c r="A296" s="15" t="inlineStr">
        <is>
          <t>SOURCE-295</t>
        </is>
      </c>
      <c r="B296" s="5" t="n"/>
      <c r="C296" s="5" t="n"/>
      <c r="D296" s="5" t="inlineStr">
        <is>
          <t>Gulab Singh Tanwar</t>
        </is>
      </c>
      <c r="E296" s="5" t="inlineStr">
        <is>
          <t>Wikipedia</t>
        </is>
      </c>
      <c r="F296" s="5" t="n"/>
      <c r="G296" s="5" t="n"/>
      <c r="H296" s="22" t="inlineStr">
        <is>
          <t>https://en.wikipedia.org/wiki/Gulab_Singh_Tanwar</t>
        </is>
      </c>
      <c r="I296" s="16" t="n">
        <v>46297</v>
      </c>
      <c r="J296" s="5" t="inlineStr">
        <is>
          <t>Birth year and alternative name Captain Gulab Singh, his work as a film producer and former Indian Airlines pilot, and his productions including Parched, Te3n and Rajma Chawal.</t>
        </is>
      </c>
      <c r="K296" s="5" t="inlineStr">
        <is>
          <t>Reference encyclopedia</t>
        </is>
      </c>
      <c r="L296" s="5" t="inlineStr">
        <is>
          <t>C</t>
        </is>
      </c>
      <c r="M296" s="5" t="inlineStr">
        <is>
          <t>Collaborator article; downloaded as raw wikitext.</t>
        </is>
      </c>
    </row>
    <row r="297" ht="109" customHeight="1">
      <c r="A297" s="15" t="inlineStr">
        <is>
          <t>SOURCE-296</t>
        </is>
      </c>
      <c r="B297" s="5" t="n"/>
      <c r="C297" s="5" t="n"/>
      <c r="D297" s="5" t="inlineStr">
        <is>
          <t>Haseena Moin</t>
        </is>
      </c>
      <c r="E297" s="5" t="inlineStr">
        <is>
          <t>Wikipedia</t>
        </is>
      </c>
      <c r="F297" s="5" t="n"/>
      <c r="G297" s="5" t="n"/>
      <c r="H297" s="22" t="inlineStr">
        <is>
          <t>https://en.wikipedia.org/wiki/Haseena_Moin</t>
        </is>
      </c>
      <c r="I297" s="16" t="n">
        <v>46297</v>
      </c>
      <c r="J297" s="5" t="inlineStr">
        <is>
          <t>Life dates, her work as a Pakistani dramatist, playwright and scriptwriter for stage, radio and television, Kiran Kahani as PTV's first original script, the Pride of Performance award in 1987, her work as an educationist, and that Raj Kapoor wanted her to write the dialogue for Henna, released in 1991.</t>
        </is>
      </c>
      <c r="K297" s="5" t="inlineStr">
        <is>
          <t>Reference encyclopedia</t>
        </is>
      </c>
      <c r="L297" s="5" t="inlineStr">
        <is>
          <t>C</t>
        </is>
      </c>
      <c r="M297" s="5" t="inlineStr">
        <is>
          <t>Collaborator article; the credit on Henna reads Hasina Moin and the article is titled Haseena Moin.</t>
        </is>
      </c>
    </row>
    <row r="298" ht="94" customHeight="1">
      <c r="A298" s="15" t="inlineStr">
        <is>
          <t>SOURCE-297</t>
        </is>
      </c>
      <c r="B298" s="5" t="n"/>
      <c r="C298" s="5" t="n"/>
      <c r="D298" s="5" t="inlineStr">
        <is>
          <t>Hema Malini</t>
        </is>
      </c>
      <c r="E298" s="5" t="inlineStr">
        <is>
          <t>Wikipedia</t>
        </is>
      </c>
      <c r="F298" s="5" t="n"/>
      <c r="G298" s="5" t="n"/>
      <c r="H298" s="22" t="inlineStr">
        <is>
          <t>https://en.wikipedia.org/wiki/Hema_Malini</t>
        </is>
      </c>
      <c r="I298" s="16" t="n">
        <v>46297</v>
      </c>
      <c r="J298" s="5" t="inlineStr">
        <is>
          <t>Birth date, her work as actress, director, producer and politician, the Filmfare Award for Best Actress, the Filmfare Lifetime Achievement Award in 2000 and Special Award in 2019, the Padma Shri in 2000, her Rajya Sabha terms and her Lok Sabha seat for Mathura since 2014.</t>
        </is>
      </c>
      <c r="K298" s="5" t="inlineStr">
        <is>
          <t>Reference encyclopedia</t>
        </is>
      </c>
      <c r="L298" s="5" t="inlineStr">
        <is>
          <t>C</t>
        </is>
      </c>
      <c r="M298" s="5" t="inlineStr">
        <is>
          <t>Collaborator article; downloaded as raw wikitext.</t>
        </is>
      </c>
    </row>
    <row r="299" ht="79" customHeight="1">
      <c r="A299" s="15" t="inlineStr">
        <is>
          <t>SOURCE-298</t>
        </is>
      </c>
      <c r="B299" s="5" t="n"/>
      <c r="C299" s="5" t="n"/>
      <c r="D299" s="5" t="inlineStr">
        <is>
          <t>Hriday Shetty</t>
        </is>
      </c>
      <c r="E299" s="5" t="inlineStr">
        <is>
          <t>Wikipedia</t>
        </is>
      </c>
      <c r="F299" s="5" t="n"/>
      <c r="G299" s="5" t="n"/>
      <c r="H299" s="22" t="inlineStr">
        <is>
          <t>https://en.wikipedia.org/wiki/Hriday_Shetty</t>
        </is>
      </c>
      <c r="I299" s="16" t="n">
        <v>46297</v>
      </c>
      <c r="J299" s="5" t="inlineStr">
        <is>
          <t>His work as an Indian film director, his parentage by the stuntman M. B. Shetty, his half-brother Rohit Shetty, and his films including Chaalis Chauraasi, Godfather, Pyaar Mein Twist, Daag and Plan.</t>
        </is>
      </c>
      <c r="K299" s="5" t="inlineStr">
        <is>
          <t>Reference encyclopedia</t>
        </is>
      </c>
      <c r="L299" s="5" t="inlineStr">
        <is>
          <t>C</t>
        </is>
      </c>
      <c r="M299" s="5" t="inlineStr">
        <is>
          <t>Collaborator article; downloaded as raw wikitext.</t>
        </is>
      </c>
    </row>
    <row r="300" ht="79" customHeight="1">
      <c r="A300" s="15" t="inlineStr">
        <is>
          <t>SOURCE-299</t>
        </is>
      </c>
      <c r="B300" s="5" t="n"/>
      <c r="C300" s="5" t="n"/>
      <c r="D300" s="5" t="inlineStr">
        <is>
          <t>Hussain Dalal</t>
        </is>
      </c>
      <c r="E300" s="5" t="inlineStr">
        <is>
          <t>Wikipedia</t>
        </is>
      </c>
      <c r="F300" s="5" t="n"/>
      <c r="G300" s="5" t="n"/>
      <c r="H300" s="22" t="inlineStr">
        <is>
          <t>https://en.wikipedia.org/wiki/Hussain_Dalal</t>
        </is>
      </c>
      <c r="I300" s="16" t="n">
        <v>46297</v>
      </c>
      <c r="J300" s="5" t="inlineStr">
        <is>
          <t>Birth date and place, his work as actor and screenwriter, the dialogue credits including Yeh Jawaani Hai Deewani, Margarita with a Straw, 2 States and Brahmāstra, and his 2017 television mentoring appearance.</t>
        </is>
      </c>
      <c r="K300" s="5" t="inlineStr">
        <is>
          <t>Reference encyclopedia</t>
        </is>
      </c>
      <c r="L300" s="5" t="inlineStr">
        <is>
          <t>C</t>
        </is>
      </c>
      <c r="M300" s="5" t="inlineStr">
        <is>
          <t>Collaborator article; downloaded as raw wikitext.</t>
        </is>
      </c>
    </row>
    <row r="301" ht="79" customHeight="1">
      <c r="A301" s="15" t="inlineStr">
        <is>
          <t>SOURCE-300</t>
        </is>
      </c>
      <c r="B301" s="5" t="n"/>
      <c r="C301" s="5" t="n"/>
      <c r="D301" s="5" t="inlineStr">
        <is>
          <t>Ismail Darbar</t>
        </is>
      </c>
      <c r="E301" s="5" t="inlineStr">
        <is>
          <t>Wikipedia</t>
        </is>
      </c>
      <c r="F301" s="5" t="n"/>
      <c r="G301" s="5" t="n"/>
      <c r="H301" s="22" t="inlineStr">
        <is>
          <t>https://en.wikipedia.org/wiki/Ismail_Darbar</t>
        </is>
      </c>
      <c r="I301" s="16" t="n">
        <v>46297</v>
      </c>
      <c r="J301" s="5" t="inlineStr">
        <is>
          <t>His origin in Surat, his work as film score composer, music director, instrumentalist, singer and violinist, and the National Film Award for Best Music Direction for Hum Dil De Chuke Sanam (1999).</t>
        </is>
      </c>
      <c r="K301" s="5" t="inlineStr">
        <is>
          <t>Reference encyclopedia</t>
        </is>
      </c>
      <c r="L301" s="5" t="inlineStr">
        <is>
          <t>C</t>
        </is>
      </c>
      <c r="M301" s="5" t="inlineStr">
        <is>
          <t>Collaborator article; downloaded as raw wikitext.</t>
        </is>
      </c>
    </row>
    <row r="302" ht="64" customHeight="1">
      <c r="A302" s="15" t="inlineStr">
        <is>
          <t>SOURCE-301</t>
        </is>
      </c>
      <c r="B302" s="5" t="n"/>
      <c r="C302" s="5" t="n"/>
      <c r="D302" s="5" t="inlineStr">
        <is>
          <t>J. P. Dutta</t>
        </is>
      </c>
      <c r="E302" s="5" t="inlineStr">
        <is>
          <t>Wikipedia</t>
        </is>
      </c>
      <c r="F302" s="5" t="n"/>
      <c r="G302" s="5" t="n"/>
      <c r="H302" s="22" t="inlineStr">
        <is>
          <t>https://en.wikipedia.org/wiki/J._P._Dutta</t>
        </is>
      </c>
      <c r="I302" s="16" t="n">
        <v>46297</v>
      </c>
      <c r="J302" s="5" t="inlineStr">
        <is>
          <t>His full name, birth in Bombay, work as director, writer and producer, his best-known films Ghulami, Yateem, Batwara, Kshatriya and Border, and his marriage to Bindiya Goswami.</t>
        </is>
      </c>
      <c r="K302" s="5" t="inlineStr">
        <is>
          <t>Reference encyclopedia</t>
        </is>
      </c>
      <c r="L302" s="5" t="inlineStr">
        <is>
          <t>C</t>
        </is>
      </c>
      <c r="M302" s="5" t="inlineStr">
        <is>
          <t>Collaborator article; downloaded as raw wikitext.</t>
        </is>
      </c>
    </row>
    <row r="303" ht="79" customHeight="1">
      <c r="A303" s="15" t="inlineStr">
        <is>
          <t>SOURCE-302</t>
        </is>
      </c>
      <c r="B303" s="5" t="n"/>
      <c r="C303" s="5" t="n"/>
      <c r="D303" s="5" t="inlineStr">
        <is>
          <t>Imtiaz Ali (director)</t>
        </is>
      </c>
      <c r="E303" s="5" t="inlineStr">
        <is>
          <t>Wikipedia</t>
        </is>
      </c>
      <c r="F303" s="5" t="n"/>
      <c r="G303" s="5" t="n"/>
      <c r="H303" s="22" t="inlineStr">
        <is>
          <t>https://en.wikipedia.org/wiki/Imtiaz_Ali_(director)</t>
        </is>
      </c>
      <c r="I303" s="16" t="n">
        <v>46297</v>
      </c>
      <c r="J303" s="5" t="inlineStr">
        <is>
          <t>Birth date and place, his films including Socha Na Tha, Jab We Met, Love Aaj Kal, Rockstar, Highway, Tamasha and Jab Harry Met Sejal, the Filmfare Award for Best Dialogue and three Best Director nominations.</t>
        </is>
      </c>
      <c r="K303" s="5" t="inlineStr">
        <is>
          <t>Reference encyclopedia</t>
        </is>
      </c>
      <c r="L303" s="5" t="inlineStr">
        <is>
          <t>C</t>
        </is>
      </c>
      <c r="M303" s="5" t="inlineStr">
        <is>
          <t>Collaborator article; fetched under an explicit title because the bare name is a disambiguation page listing cricketers and an Urdu scholar.</t>
        </is>
      </c>
    </row>
    <row r="304" ht="79" customHeight="1">
      <c r="A304" s="15" t="inlineStr">
        <is>
          <t>SOURCE-303</t>
        </is>
      </c>
      <c r="B304" s="5" t="n"/>
      <c r="C304" s="5" t="n"/>
      <c r="D304" s="5" t="inlineStr">
        <is>
          <t>Jaideep Sahni</t>
        </is>
      </c>
      <c r="E304" s="5" t="inlineStr">
        <is>
          <t>Wikipedia</t>
        </is>
      </c>
      <c r="F304" s="5" t="n"/>
      <c r="G304" s="5" t="n"/>
      <c r="H304" s="22" t="inlineStr">
        <is>
          <t>https://en.wikipedia.org/wiki/Jaideep_Sahni</t>
        </is>
      </c>
      <c r="I304" s="16" t="n">
        <v>46297</v>
      </c>
      <c r="J304" s="5" t="inlineStr">
        <is>
          <t>His origin in New Delhi, his work as screenwriter and lyricist, the films Bunty Aur Babli, Chak De! India, Rocket Singh and Shuddh Desi Romance, and the Filmfare Awards for Company and Khosla Ka Ghosla and the IIFA Award for Chak De! India.</t>
        </is>
      </c>
      <c r="K304" s="5" t="inlineStr">
        <is>
          <t>Reference encyclopedia</t>
        </is>
      </c>
      <c r="L304" s="5" t="inlineStr">
        <is>
          <t>C</t>
        </is>
      </c>
      <c r="M304" s="5" t="inlineStr">
        <is>
          <t>Collaborator article; downloaded as raw wikitext.</t>
        </is>
      </c>
    </row>
    <row r="305" ht="79" customHeight="1">
      <c r="A305" s="15" t="inlineStr">
        <is>
          <t>SOURCE-304</t>
        </is>
      </c>
      <c r="B305" s="5" t="n"/>
      <c r="C305" s="5" t="n"/>
      <c r="D305" s="5" t="inlineStr">
        <is>
          <t>Jaidev</t>
        </is>
      </c>
      <c r="E305" s="5" t="inlineStr">
        <is>
          <t>Wikipedia</t>
        </is>
      </c>
      <c r="F305" s="5" t="n"/>
      <c r="G305" s="5" t="n"/>
      <c r="H305" s="22" t="inlineStr">
        <is>
          <t>https://en.wikipedia.org/wiki/Jaidev</t>
        </is>
      </c>
      <c r="I305" s="16" t="n">
        <v>46297</v>
      </c>
      <c r="J305" s="5" t="inlineStr">
        <is>
          <t>Birth name and life dates, birth in Nairobi, his best-known films Hum Dono, Reshma Aur Shera, Prem Parbat, Gharaonda and Gaman, and three National Film Awards for Best Music Direction for Reshma Aur Shera, Gaman and Ankahee.</t>
        </is>
      </c>
      <c r="K305" s="5" t="inlineStr">
        <is>
          <t>Reference encyclopedia</t>
        </is>
      </c>
      <c r="L305" s="5" t="inlineStr">
        <is>
          <t>C</t>
        </is>
      </c>
      <c r="M305" s="5" t="inlineStr">
        <is>
          <t>Collaborator article; downloaded as raw wikitext.</t>
        </is>
      </c>
    </row>
    <row r="306" ht="64" customHeight="1">
      <c r="A306" s="15" t="inlineStr">
        <is>
          <t>SOURCE-305</t>
        </is>
      </c>
      <c r="B306" s="5" t="n"/>
      <c r="C306" s="5" t="n"/>
      <c r="D306" s="5" t="inlineStr">
        <is>
          <t>Jeet Gannguli</t>
        </is>
      </c>
      <c r="E306" s="5" t="inlineStr">
        <is>
          <t>Wikipedia</t>
        </is>
      </c>
      <c r="F306" s="5" t="n"/>
      <c r="G306" s="5" t="n"/>
      <c r="H306" s="22" t="inlineStr">
        <is>
          <t>https://en.wikipedia.org/wiki/Jeet_Gannguli</t>
        </is>
      </c>
      <c r="I306" s="16" t="n">
        <v>46297</v>
      </c>
      <c r="J306" s="5" t="inlineStr">
        <is>
          <t>Birth name and date, his origin in Baranagar, Kolkata, his work as playback singer and composer in Hindi and Bengali cinema, and the labels he has recorded for.</t>
        </is>
      </c>
      <c r="K306" s="5" t="inlineStr">
        <is>
          <t>Reference encyclopedia</t>
        </is>
      </c>
      <c r="L306" s="5" t="inlineStr">
        <is>
          <t>C</t>
        </is>
      </c>
      <c r="M306" s="5" t="inlineStr">
        <is>
          <t>Collaborator article; downloaded as raw wikitext.</t>
        </is>
      </c>
    </row>
    <row r="307" ht="124" customHeight="1">
      <c r="A307" s="15" t="inlineStr">
        <is>
          <t>SOURCE-306</t>
        </is>
      </c>
      <c r="B307" s="5" t="n"/>
      <c r="C307" s="5" t="n"/>
      <c r="D307" s="5" t="inlineStr">
        <is>
          <t>Jeetendra</t>
        </is>
      </c>
      <c r="E307" s="5" t="inlineStr">
        <is>
          <t>Wikipedia</t>
        </is>
      </c>
      <c r="F307" s="5" t="n"/>
      <c r="G307" s="5" t="n"/>
      <c r="H307" s="22" t="inlineStr">
        <is>
          <t>https://en.wikipedia.org/wiki/Jeetendra</t>
        </is>
      </c>
      <c r="I307" s="16" t="n">
        <v>46297</v>
      </c>
      <c r="J307" s="5" t="inlineStr">
        <is>
          <t>His birth name Ravi Kapoor, his standing as one of Hindi cinema's most successful stars with more than 200 films and over 120 hits, the Filmfare Lifetime Achievement Award at the 48th ceremony, his nephew Abhishek Kapoor, and that Deedar-E-Yaar (1982) was made under his home banner Tirupati Films and failed badly despite starring Rekha, Rishi Kapoor and Tina Munim.</t>
        </is>
      </c>
      <c r="K307" s="5" t="inlineStr">
        <is>
          <t>Reference encyclopedia</t>
        </is>
      </c>
      <c r="L307" s="5" t="inlineStr">
        <is>
          <t>C</t>
        </is>
      </c>
      <c r="M307" s="5" t="inlineStr">
        <is>
          <t>Collaborator article; downloaded as raw wikitext.</t>
        </is>
      </c>
    </row>
    <row r="308" ht="49" customHeight="1">
      <c r="A308" s="15" t="inlineStr">
        <is>
          <t>SOURCE-307</t>
        </is>
      </c>
      <c r="B308" s="5" t="n"/>
      <c r="C308" s="5" t="n"/>
      <c r="D308" s="5" t="inlineStr">
        <is>
          <t>Jeethu Joseph</t>
        </is>
      </c>
      <c r="E308" s="5" t="inlineStr">
        <is>
          <t>Wikipedia</t>
        </is>
      </c>
      <c r="F308" s="5" t="n"/>
      <c r="G308" s="5" t="n"/>
      <c r="H308" s="22" t="inlineStr">
        <is>
          <t>https://en.wikipedia.org/wiki/Jeethu_Joseph</t>
        </is>
      </c>
      <c r="I308" s="16" t="n">
        <v>46297</v>
      </c>
      <c r="J308" s="5" t="inlineStr">
        <is>
          <t>His origin in Muvattupuzha, Kerala, and his work as an Indian director and screenwriter active from 2007.</t>
        </is>
      </c>
      <c r="K308" s="5" t="inlineStr">
        <is>
          <t>Reference encyclopedia</t>
        </is>
      </c>
      <c r="L308" s="5" t="inlineStr">
        <is>
          <t>C</t>
        </is>
      </c>
      <c r="M308" s="5" t="inlineStr">
        <is>
          <t>Collaborator article; downloaded as raw wikitext.</t>
        </is>
      </c>
    </row>
    <row r="309" ht="64" customHeight="1">
      <c r="A309" s="15" t="inlineStr">
        <is>
          <t>SOURCE-308</t>
        </is>
      </c>
      <c r="B309" s="5" t="n"/>
      <c r="C309" s="5" t="n"/>
      <c r="D309" s="5" t="inlineStr">
        <is>
          <t>K. Bapayya</t>
        </is>
      </c>
      <c r="E309" s="5" t="inlineStr">
        <is>
          <t>Wikipedia</t>
        </is>
      </c>
      <c r="F309" s="5" t="n"/>
      <c r="G309" s="5" t="n"/>
      <c r="H309" s="22" t="inlineStr">
        <is>
          <t>https://en.wikipedia.org/wiki/K._Bapayya</t>
        </is>
      </c>
      <c r="I309" s="16" t="n">
        <v>46297</v>
      </c>
      <c r="J309" s="5" t="inlineStr">
        <is>
          <t>His full name Kovelamudi Bapayya, that he directed about eighty films in Telugu and Hindi, and his family relationships to K. Raghavendra Rao and K. S. Prakash Rao.</t>
        </is>
      </c>
      <c r="K309" s="5" t="inlineStr">
        <is>
          <t>Reference encyclopedia</t>
        </is>
      </c>
      <c r="L309" s="5" t="inlineStr">
        <is>
          <t>C</t>
        </is>
      </c>
      <c r="M309" s="5" t="inlineStr">
        <is>
          <t>Collaborator article; the credit reads K. Bapaiah and the article is titled K. Bapayya.</t>
        </is>
      </c>
    </row>
    <row r="310" ht="79" customHeight="1">
      <c r="A310" s="15" t="inlineStr">
        <is>
          <t>SOURCE-309</t>
        </is>
      </c>
      <c r="B310" s="5" t="n"/>
      <c r="C310" s="5" t="n"/>
      <c r="D310" s="5" t="inlineStr">
        <is>
          <t>K. Pappu</t>
        </is>
      </c>
      <c r="E310" s="5" t="inlineStr">
        <is>
          <t>Wikipedia</t>
        </is>
      </c>
      <c r="F310" s="5" t="n"/>
      <c r="G310" s="5" t="n"/>
      <c r="H310" s="22" t="inlineStr">
        <is>
          <t>https://en.wikipedia.org/wiki/K._Pappu</t>
        </is>
      </c>
      <c r="I310" s="16" t="n">
        <v>46297</v>
      </c>
      <c r="J310" s="5" t="inlineStr">
        <is>
          <t>His date of death, his work as director, producer and screenwriter, and the films he directed including Ucha Dar Babe Nanak Da, Jigri Yaar, Mohabbat Ki Kasam, Vishnu-Devaa, Ayee Milan Ki Raat, Izzat Ki Roti, Maha Shaktishaali and Raghuveer.</t>
        </is>
      </c>
      <c r="K310" s="5" t="inlineStr">
        <is>
          <t>Reference encyclopedia</t>
        </is>
      </c>
      <c r="L310" s="5" t="inlineStr">
        <is>
          <t>C</t>
        </is>
      </c>
      <c r="M310" s="5" t="inlineStr">
        <is>
          <t>Collaborator article; downloaded as raw wikitext.</t>
        </is>
      </c>
    </row>
    <row r="311" ht="49" customHeight="1">
      <c r="A311" s="15" t="inlineStr">
        <is>
          <t>SOURCE-310</t>
        </is>
      </c>
      <c r="B311" s="5" t="n"/>
      <c r="C311" s="5" t="n"/>
      <c r="D311" s="5" t="inlineStr">
        <is>
          <t>K. Rangaraj</t>
        </is>
      </c>
      <c r="E311" s="5" t="inlineStr">
        <is>
          <t>Wikipedia</t>
        </is>
      </c>
      <c r="F311" s="5" t="n"/>
      <c r="G311" s="5" t="n"/>
      <c r="H311" s="22" t="inlineStr">
        <is>
          <t>https://en.wikipedia.org/wiki/K._Rangaraj</t>
        </is>
      </c>
      <c r="I311" s="16" t="n">
        <v>46297</v>
      </c>
      <c r="J311" s="5" t="inlineStr">
        <is>
          <t>His work as an Indian film director, screenwriter and producer active mainly in Tamil cinema in the 1980s.</t>
        </is>
      </c>
      <c r="K311" s="5" t="inlineStr">
        <is>
          <t>Reference encyclopedia</t>
        </is>
      </c>
      <c r="L311" s="5" t="inlineStr">
        <is>
          <t>C</t>
        </is>
      </c>
      <c r="M311" s="5" t="inlineStr">
        <is>
          <t>Collaborator article; downloaded as raw wikitext.</t>
        </is>
      </c>
    </row>
    <row r="312" ht="79" customHeight="1">
      <c r="A312" s="15" t="inlineStr">
        <is>
          <t>SOURCE-311</t>
        </is>
      </c>
      <c r="B312" s="5" t="n"/>
      <c r="C312" s="5" t="n"/>
      <c r="D312" s="5" t="inlineStr">
        <is>
          <t>K. Shankar</t>
        </is>
      </c>
      <c r="E312" s="5" t="inlineStr">
        <is>
          <t>Wikipedia</t>
        </is>
      </c>
      <c r="F312" s="5" t="n"/>
      <c r="G312" s="5" t="n"/>
      <c r="H312" s="22" t="inlineStr">
        <is>
          <t>https://en.wikipedia.org/wiki/K._Shankar</t>
        </is>
      </c>
      <c r="I312" s="16" t="n">
        <v>46297</v>
      </c>
      <c r="J312" s="5" t="inlineStr">
        <is>
          <t>Birth name and life dates, his work as film editor, screenwriter and director, more than eighty films across Tamil, Telugu, Malayalam, Kannada, Hindi and one in Sinhala, and Aalayamani (1962) as a hit for Sivaji Ganesan.</t>
        </is>
      </c>
      <c r="K312" s="5" t="inlineStr">
        <is>
          <t>Reference encyclopedia</t>
        </is>
      </c>
      <c r="L312" s="5" t="inlineStr">
        <is>
          <t>C</t>
        </is>
      </c>
      <c r="M312" s="5" t="inlineStr">
        <is>
          <t>Collaborator article; downloaded as raw wikitext.</t>
        </is>
      </c>
    </row>
    <row r="313" ht="94" customHeight="1">
      <c r="A313" s="15" t="inlineStr">
        <is>
          <t>SOURCE-312</t>
        </is>
      </c>
      <c r="B313" s="5" t="n"/>
      <c r="C313" s="5" t="n"/>
      <c r="D313" s="5" t="inlineStr">
        <is>
          <t>K. Viswanath</t>
        </is>
      </c>
      <c r="E313" s="5" t="inlineStr">
        <is>
          <t>Wikipedia</t>
        </is>
      </c>
      <c r="F313" s="5" t="n"/>
      <c r="G313" s="5" t="n"/>
      <c r="H313" s="22" t="inlineStr">
        <is>
          <t>https://en.wikipedia.org/wiki/K._Viswanath</t>
        </is>
      </c>
      <c r="I313" s="16" t="n">
        <v>46297</v>
      </c>
      <c r="J313" s="5" t="inlineStr">
        <is>
          <t>Full name and life dates, his work in Telugu cinema blending parallel and mainstream film, the Besançon Prize of the Public in 1981, the Padma Shri in 1992, the Dadasaheb Phalke Award in 2016, five National Film Awards and other honours, and his Hindi films including Sargam (1979).</t>
        </is>
      </c>
      <c r="K313" s="5" t="inlineStr">
        <is>
          <t>Reference encyclopedia</t>
        </is>
      </c>
      <c r="L313" s="5" t="inlineStr">
        <is>
          <t>C</t>
        </is>
      </c>
      <c r="M313" s="5" t="inlineStr">
        <is>
          <t>Collaborator article; downloaded as raw wikitext.</t>
        </is>
      </c>
    </row>
    <row r="314" ht="94" customHeight="1">
      <c r="A314" s="15" t="inlineStr">
        <is>
          <t>SOURCE-313</t>
        </is>
      </c>
      <c r="B314" s="5" t="n"/>
      <c r="C314" s="5" t="n"/>
      <c r="D314" s="5" t="inlineStr">
        <is>
          <t>Kaleidoscope Entertainment</t>
        </is>
      </c>
      <c r="E314" s="5" t="inlineStr">
        <is>
          <t>Wikipedia</t>
        </is>
      </c>
      <c r="F314" s="5" t="n"/>
      <c r="G314" s="5" t="n"/>
      <c r="H314" s="22" t="inlineStr">
        <is>
          <t>https://en.wikipedia.org/wiki/Kaleidoscope_Entertainment</t>
        </is>
      </c>
      <c r="I314" s="16" t="n">
        <v>46297</v>
      </c>
      <c r="J314" s="5" t="inlineStr">
        <is>
          <t>The company's full name and 1989 founding, Bobby Bedi as managing director, its films including Bandit Queen, Fire, Electric Moon, Saathiya, Maqbool, American Daylight and Mangal Pandey: The Rising, and its standing as a leading Indian production house.</t>
        </is>
      </c>
      <c r="K314" s="5" t="inlineStr">
        <is>
          <t>Reference encyclopedia</t>
        </is>
      </c>
      <c r="L314" s="5" t="inlineStr">
        <is>
          <t>C</t>
        </is>
      </c>
      <c r="M314" s="5" t="inlineStr">
        <is>
          <t>Collaborator article; downloaded as raw wikitext.</t>
        </is>
      </c>
    </row>
    <row r="315" ht="94" customHeight="1">
      <c r="A315" s="15" t="inlineStr">
        <is>
          <t>SOURCE-314</t>
        </is>
      </c>
      <c r="B315" s="5" t="n"/>
      <c r="C315" s="5" t="n"/>
      <c r="D315" s="5" t="inlineStr">
        <is>
          <t>Karan Malhotra</t>
        </is>
      </c>
      <c r="E315" s="5" t="inlineStr">
        <is>
          <t>Wikipedia</t>
        </is>
      </c>
      <c r="F315" s="5" t="n"/>
      <c r="G315" s="5" t="n"/>
      <c r="H315" s="22" t="inlineStr">
        <is>
          <t>https://en.wikipedia.org/wiki/Karan_Malhotra</t>
        </is>
      </c>
      <c r="I315" s="16" t="n">
        <v>46297</v>
      </c>
      <c r="J315" s="5" t="inlineStr">
        <is>
          <t>His full name, work as director and screenwriter in Hindi cinema, that he is best known for Agneepath (2012), that it was his directorial debut and a remake of the 1990 film, his earlier work as an assistant director, and his marriage to Ekta Pathak.</t>
        </is>
      </c>
      <c r="K315" s="5" t="inlineStr">
        <is>
          <t>Reference encyclopedia</t>
        </is>
      </c>
      <c r="L315" s="5" t="inlineStr">
        <is>
          <t>C</t>
        </is>
      </c>
      <c r="M315" s="5" t="inlineStr">
        <is>
          <t>Collaborator article; downloaded as raw wikitext.</t>
        </is>
      </c>
    </row>
    <row r="316" ht="64" customHeight="1">
      <c r="A316" s="15" t="inlineStr">
        <is>
          <t>SOURCE-315</t>
        </is>
      </c>
      <c r="B316" s="5" t="n"/>
      <c r="C316" s="5" t="n"/>
      <c r="D316" s="5" t="inlineStr">
        <is>
          <t>Keshu Ramsay</t>
        </is>
      </c>
      <c r="E316" s="5" t="inlineStr">
        <is>
          <t>Wikipedia</t>
        </is>
      </c>
      <c r="F316" s="5" t="n"/>
      <c r="G316" s="5" t="n"/>
      <c r="H316" s="22" t="inlineStr">
        <is>
          <t>https://en.wikipedia.org/wiki/Keshu_Ramsay</t>
        </is>
      </c>
      <c r="I316" s="16" t="n">
        <v>46297</v>
      </c>
      <c r="J316" s="5" t="inlineStr">
        <is>
          <t>His life dates, work as producer and director, membership of the Ramsay Brothers alongside Shyam, Kumar, Tulsi and Kiran Ramsay, and his production of the Khiladi series.</t>
        </is>
      </c>
      <c r="K316" s="5" t="inlineStr">
        <is>
          <t>Reference encyclopedia</t>
        </is>
      </c>
      <c r="L316" s="5" t="inlineStr">
        <is>
          <t>C</t>
        </is>
      </c>
      <c r="M316" s="5" t="inlineStr">
        <is>
          <t>Collaborator article; downloaded as raw wikitext.</t>
        </is>
      </c>
    </row>
    <row r="317" ht="109" customHeight="1">
      <c r="A317" s="15" t="inlineStr">
        <is>
          <t>SOURCE-316</t>
        </is>
      </c>
      <c r="B317" s="5" t="n"/>
      <c r="C317" s="5" t="n"/>
      <c r="D317" s="5" t="inlineStr">
        <is>
          <t>Khalid Mohamed</t>
        </is>
      </c>
      <c r="E317" s="5" t="inlineStr">
        <is>
          <t>Wikipedia</t>
        </is>
      </c>
      <c r="F317" s="5" t="n"/>
      <c r="G317" s="5" t="n"/>
      <c r="H317" s="22" t="inlineStr">
        <is>
          <t>https://en.wikipedia.org/wiki/Khalid_Mohamed</t>
        </is>
      </c>
      <c r="I317" s="16" t="n">
        <v>46297</v>
      </c>
      <c r="J317" s="5" t="inlineStr">
        <is>
          <t>His work as journalist, editor, film critic, screenwriter and director, twenty-seven years at The Times of India and later DNA and Hindustan Times, his editorship of Filmfare, that he is the son of Zubeida Begum and wrote Zubeidaa for Shyam Benegal, and that he is known for Fiza and Silsiilay.</t>
        </is>
      </c>
      <c r="K317" s="5" t="inlineStr">
        <is>
          <t>Reference encyclopedia</t>
        </is>
      </c>
      <c r="L317" s="5" t="inlineStr">
        <is>
          <t>C</t>
        </is>
      </c>
      <c r="M317" s="5" t="inlineStr">
        <is>
          <t>Collaborator article; the credit reads Khalid Mohammed and the article is titled Khalid Mohamed.</t>
        </is>
      </c>
    </row>
    <row r="318" ht="109" customHeight="1">
      <c r="A318" s="15" t="inlineStr">
        <is>
          <t>SOURCE-317</t>
        </is>
      </c>
      <c r="B318" s="5" t="n"/>
      <c r="C318" s="5" t="n"/>
      <c r="D318" s="5" t="inlineStr">
        <is>
          <t>Mohammed Zahur Khayyam</t>
        </is>
      </c>
      <c r="E318" s="5" t="inlineStr">
        <is>
          <t>Wikipedia</t>
        </is>
      </c>
      <c r="F318" s="5" t="n"/>
      <c r="G318" s="5" t="n"/>
      <c r="H318" s="22" t="inlineStr">
        <is>
          <t>https://en.wikipedia.org/wiki/Mohammed_Zahur_Khayyam</t>
        </is>
      </c>
      <c r="I318" s="16" t="n">
        <v>46297</v>
      </c>
      <c r="J318" s="5" t="inlineStr">
        <is>
          <t>Full name and life dates, his four-decade career as music director and background-score composer, three Filmfare Awards including Best Music for Kabhie Kabhie in 1977 and Umrao Jaan in 1982 and a lifetime achievement award in 2010, the Sangeet Natak Akademi Award in 2007, the Padma Bhushan in 2011, and his known works.</t>
        </is>
      </c>
      <c r="K318" s="5" t="inlineStr">
        <is>
          <t>Reference encyclopedia</t>
        </is>
      </c>
      <c r="L318" s="5" t="inlineStr">
        <is>
          <t>C</t>
        </is>
      </c>
      <c r="M318" s="5" t="inlineStr">
        <is>
          <t>Collaborator article; fetched under an explicit title because the bare credit 'Khayyam' resolves to the Persian poet Omar Khayyam.</t>
        </is>
      </c>
    </row>
    <row r="319" ht="79" customHeight="1">
      <c r="A319" s="15" t="inlineStr">
        <is>
          <t>SOURCE-318</t>
        </is>
      </c>
      <c r="B319" s="5" t="n"/>
      <c r="C319" s="5" t="n"/>
      <c r="D319" s="5" t="inlineStr">
        <is>
          <t>Kiran Ramsay</t>
        </is>
      </c>
      <c r="E319" s="5" t="inlineStr">
        <is>
          <t>Wikipedia</t>
        </is>
      </c>
      <c r="F319" s="5" t="n"/>
      <c r="G319" s="5" t="n"/>
      <c r="H319" s="22" t="inlineStr">
        <is>
          <t>https://en.wikipedia.org/wiki/Kiran_Ramsay</t>
        </is>
      </c>
      <c r="I319" s="16" t="n">
        <v>46297</v>
      </c>
      <c r="J319" s="5" t="inlineStr">
        <is>
          <t>His identity as Karan Ramsay, alias Kiran Ramsay, his work as producer, sound designer and director, and his membership of the Ramsay Brothers alongside Shyam, Kumar, Keshu, Tulsi, Gangu and Arjun Ramsay.</t>
        </is>
      </c>
      <c r="K319" s="5" t="inlineStr">
        <is>
          <t>Reference encyclopedia</t>
        </is>
      </c>
      <c r="L319" s="5" t="inlineStr">
        <is>
          <t>C</t>
        </is>
      </c>
      <c r="M319" s="5" t="inlineStr">
        <is>
          <t>Collaborator article; downloaded as raw wikitext.</t>
        </is>
      </c>
    </row>
    <row r="320" ht="109" customHeight="1">
      <c r="A320" s="15" t="inlineStr">
        <is>
          <t>SOURCE-319</t>
        </is>
      </c>
      <c r="B320" s="5" t="n"/>
      <c r="C320" s="5" t="n"/>
      <c r="D320" s="5" t="inlineStr">
        <is>
          <t>Karim Morani</t>
        </is>
      </c>
      <c r="E320" s="5" t="inlineStr">
        <is>
          <t>Wikipedia</t>
        </is>
      </c>
      <c r="F320" s="5" t="n"/>
      <c r="G320" s="5" t="n"/>
      <c r="H320" s="22" t="inlineStr">
        <is>
          <t>https://en.wikipedia.org/wiki/Karim_Morani</t>
        </is>
      </c>
      <c r="I320" s="16" t="n">
        <v>46297</v>
      </c>
      <c r="J320" s="5" t="inlineStr">
        <is>
          <t>His work as an Indian film producer, the films Arjun and Damini — the latter named as starring Sunny Deol, Meenakshi Seshadri and Rishi Kapoor and directed by Rajkumar Santoshi — his later co-productions with Shah Rukh Khan, his co-ownership of Cineyug with his brother Aly Morani, and the controversies recorded in his article.</t>
        </is>
      </c>
      <c r="K320" s="5" t="inlineStr">
        <is>
          <t>Reference encyclopedia</t>
        </is>
      </c>
      <c r="L320" s="5" t="inlineStr">
        <is>
          <t>C</t>
        </is>
      </c>
      <c r="M320" s="5" t="inlineStr">
        <is>
          <t>Collaborator article; downloaded as raw wikitext.</t>
        </is>
      </c>
    </row>
    <row r="321" ht="79" customHeight="1">
      <c r="A321" s="15" t="inlineStr">
        <is>
          <t>SOURCE-320</t>
        </is>
      </c>
      <c r="B321" s="5" t="n"/>
      <c r="C321" s="5" t="n"/>
      <c r="D321" s="5" t="inlineStr">
        <is>
          <t>Leena Yadav</t>
        </is>
      </c>
      <c r="E321" s="5" t="inlineStr">
        <is>
          <t>Wikipedia</t>
        </is>
      </c>
      <c r="F321" s="5" t="n"/>
      <c r="G321" s="5" t="n"/>
      <c r="H321" s="22" t="inlineStr">
        <is>
          <t>https://en.wikipedia.org/wiki/Leena_Yadav</t>
        </is>
      </c>
      <c r="I321" s="16" t="n">
        <v>46297</v>
      </c>
      <c r="J321" s="5" t="inlineStr">
        <is>
          <t>Birth date, her work as director, producer, screenwriter and editor, her start in television, Parched premiering at the Toronto International Film Festival in 2015, her marriage to Aseem Bajaj and her father-in-law Ram Gopal Bajaj.</t>
        </is>
      </c>
      <c r="K321" s="5" t="inlineStr">
        <is>
          <t>Reference encyclopedia</t>
        </is>
      </c>
      <c r="L321" s="5" t="inlineStr">
        <is>
          <t>C</t>
        </is>
      </c>
      <c r="M321" s="5" t="inlineStr">
        <is>
          <t>Collaborator article; downloaded as raw wikitext.</t>
        </is>
      </c>
    </row>
    <row r="322" ht="79" customHeight="1">
      <c r="A322" s="15" t="inlineStr">
        <is>
          <t>SOURCE-321</t>
        </is>
      </c>
      <c r="B322" s="5" t="n"/>
      <c r="C322" s="5" t="n"/>
      <c r="D322" s="5" t="inlineStr">
        <is>
          <t>Lucky Ali</t>
        </is>
      </c>
      <c r="E322" s="5" t="inlineStr">
        <is>
          <t>Wikipedia</t>
        </is>
      </c>
      <c r="F322" s="5" t="n"/>
      <c r="G322" s="5" t="n"/>
      <c r="H322" s="22" t="inlineStr">
        <is>
          <t>https://en.wikipedia.org/wiki/Lucky_Ali</t>
        </is>
      </c>
      <c r="I322" s="16" t="n">
        <v>46297</v>
      </c>
      <c r="J322" s="5" t="inlineStr">
        <is>
          <t>Birth name, date and place, his work as singer, songwriter and actor, his standing in 1990s Indipop, the Filmfare Award for Best Male Playback Singer for 'Ek Pal Ka Jeena' and the nomination for Sur.</t>
        </is>
      </c>
      <c r="K322" s="5" t="inlineStr">
        <is>
          <t>Reference encyclopedia</t>
        </is>
      </c>
      <c r="L322" s="5" t="inlineStr">
        <is>
          <t>C</t>
        </is>
      </c>
      <c r="M322" s="5" t="inlineStr">
        <is>
          <t>Collaborator article; downloaded as raw wikitext.</t>
        </is>
      </c>
    </row>
    <row r="323" ht="109" customHeight="1">
      <c r="A323" s="15" t="inlineStr">
        <is>
          <t>SOURCE-322</t>
        </is>
      </c>
      <c r="B323" s="5" t="n"/>
      <c r="C323" s="5" t="n"/>
      <c r="D323" s="5" t="inlineStr">
        <is>
          <t>Madan Mohan (composer)</t>
        </is>
      </c>
      <c r="E323" s="5" t="inlineStr">
        <is>
          <t>Wikipedia</t>
        </is>
      </c>
      <c r="F323" s="5" t="n"/>
      <c r="G323" s="5" t="n"/>
      <c r="H323" s="22" t="inlineStr">
        <is>
          <t>https://en.wikipedia.org/wiki/Madan_Mohan_(composer)</t>
        </is>
      </c>
      <c r="I323" s="16" t="n">
        <v>46297</v>
      </c>
      <c r="J323" s="5" t="inlineStr">
        <is>
          <t>Full name and life dates, his standing among Hindi cinema's most melodious composers and his ghazals, his work with Lata Mangeshkar and Mohammed Rafi, the National Film Award for Dastak, the Filmfare nomination for Woh Kaun Thi, the posthumous IIFA Award for Veer-Zaara, and the Laila Majnu songs recorded with Rafi.</t>
        </is>
      </c>
      <c r="K323" s="5" t="inlineStr">
        <is>
          <t>Reference encyclopedia</t>
        </is>
      </c>
      <c r="L323" s="5" t="inlineStr">
        <is>
          <t>C</t>
        </is>
      </c>
      <c r="M323" s="5" t="inlineStr">
        <is>
          <t>Collaborator article; fetched under an explicit title because the bare credit 'Madan Mohan' resolves to an epithet of Krishna.</t>
        </is>
      </c>
    </row>
    <row r="324" ht="79" customHeight="1">
      <c r="A324" s="15" t="inlineStr">
        <is>
          <t>SOURCE-323</t>
        </is>
      </c>
      <c r="B324" s="5" t="n"/>
      <c r="C324" s="5" t="n"/>
      <c r="D324" s="5" t="inlineStr">
        <is>
          <t>Maddock Films</t>
        </is>
      </c>
      <c r="E324" s="5" t="inlineStr">
        <is>
          <t>Wikipedia</t>
        </is>
      </c>
      <c r="F324" s="5" t="n"/>
      <c r="G324" s="5" t="n"/>
      <c r="H324" s="22" t="inlineStr">
        <is>
          <t>https://en.wikipedia.org/wiki/Maddock_Films</t>
        </is>
      </c>
      <c r="I324" s="16" t="n">
        <v>46297</v>
      </c>
      <c r="J324" s="5" t="inlineStr">
        <is>
          <t>The company's founding by Dinesh Vijan in 2005, its Mumbai base, and its productions including Love Aaj Kal, Cocktail, Badlapur, Hindi Medium, Angrezi Medium, Luka Chuppi, Bala, Mimi and Chhaava.</t>
        </is>
      </c>
      <c r="K324" s="5" t="inlineStr">
        <is>
          <t>Reference encyclopedia</t>
        </is>
      </c>
      <c r="L324" s="5" t="inlineStr">
        <is>
          <t>C</t>
        </is>
      </c>
      <c r="M324" s="5" t="inlineStr">
        <is>
          <t>Collaborator article; downloaded as raw wikitext.</t>
        </is>
      </c>
    </row>
    <row r="325" ht="94" customHeight="1">
      <c r="A325" s="15" t="inlineStr">
        <is>
          <t>SOURCE-324</t>
        </is>
      </c>
      <c r="B325" s="5" t="n"/>
      <c r="C325" s="5" t="n"/>
      <c r="D325" s="5" t="inlineStr">
        <is>
          <t>Mahesh Bhatt</t>
        </is>
      </c>
      <c r="E325" s="5" t="inlineStr">
        <is>
          <t>Wikipedia</t>
        </is>
      </c>
      <c r="F325" s="5" t="n"/>
      <c r="G325" s="5" t="n"/>
      <c r="H325" s="22" t="inlineStr">
        <is>
          <t>https://en.wikipedia.org/wiki/Mahesh_Bhatt</t>
        </is>
      </c>
      <c r="I325" s="16" t="n">
        <v>46297</v>
      </c>
      <c r="J325" s="5" t="inlineStr">
        <is>
          <t>Birth date, his work as director, producer and screenwriter, his prominence in 1980s and 1990s Hindi cinema, five National Film Awards and four Filmfare Awards, the Special Jury Award for Hum Hain Rahi Pyar Ke and Tamanna's National Film Award for Best Film on Other Social Issues.</t>
        </is>
      </c>
      <c r="K325" s="5" t="inlineStr">
        <is>
          <t>Reference encyclopedia</t>
        </is>
      </c>
      <c r="L325" s="5" t="inlineStr">
        <is>
          <t>C</t>
        </is>
      </c>
      <c r="M325" s="5" t="inlineStr">
        <is>
          <t>Collaborator article; downloaded as raw wikitext.</t>
        </is>
      </c>
    </row>
    <row r="326" ht="94" customHeight="1">
      <c r="A326" s="15" t="inlineStr">
        <is>
          <t>SOURCE-325</t>
        </is>
      </c>
      <c r="B326" s="5" t="n"/>
      <c r="C326" s="5" t="n"/>
      <c r="D326" s="5" t="inlineStr">
        <is>
          <t>Maneesh Sharma</t>
        </is>
      </c>
      <c r="E326" s="5" t="inlineStr">
        <is>
          <t>Wikipedia</t>
        </is>
      </c>
      <c r="F326" s="5" t="n"/>
      <c r="G326" s="5" t="n"/>
      <c r="H326" s="22" t="inlineStr">
        <is>
          <t>https://en.wikipedia.org/wiki/Maneesh_Sharma</t>
        </is>
      </c>
      <c r="I326" s="16" t="n">
        <v>46297</v>
      </c>
      <c r="J326" s="5" t="inlineStr">
        <is>
          <t>Birth date and place, his education at Hansraj College and the California Institute of the Arts, his films Band Baaja Baaraat, Ladies vs Ricky Bahl, Shuddh Desi Romance, Fan and Tiger 3, the Filmfare Award for Best Debut Director, and the casting of Shuddh Desi Romance.</t>
        </is>
      </c>
      <c r="K326" s="5" t="inlineStr">
        <is>
          <t>Reference encyclopedia</t>
        </is>
      </c>
      <c r="L326" s="5" t="inlineStr">
        <is>
          <t>C</t>
        </is>
      </c>
      <c r="M326" s="5" t="inlineStr">
        <is>
          <t>Collaborator article; downloaded as raw wikitext.</t>
        </is>
      </c>
    </row>
    <row r="327" ht="94" customHeight="1">
      <c r="A327" s="15" t="inlineStr">
        <is>
          <t>SOURCE-326</t>
        </is>
      </c>
      <c r="B327" s="5" t="n"/>
      <c r="C327" s="5" t="n"/>
      <c r="D327" s="5" t="inlineStr">
        <is>
          <t>Mani Ratnam</t>
        </is>
      </c>
      <c r="E327" s="5" t="inlineStr">
        <is>
          <t>Wikipedia</t>
        </is>
      </c>
      <c r="F327" s="5" t="n"/>
      <c r="G327" s="5" t="n"/>
      <c r="H327" s="22" t="inlineStr">
        <is>
          <t>https://en.wikipedia.org/wiki/Mani_Ratnam</t>
        </is>
      </c>
      <c r="I327" s="16" t="n">
        <v>46297</v>
      </c>
      <c r="J327" s="5" t="inlineStr">
        <is>
          <t>Birth name, date and place, his standing among Indian cinema's most prominent directors, his work predominantly in Tamil with some Hindi films, seven National Film Awards, four Filmfare Awards, seven Filmfare Awards South and the Padma Shri in 2002.</t>
        </is>
      </c>
      <c r="K327" s="5" t="inlineStr">
        <is>
          <t>Reference encyclopedia</t>
        </is>
      </c>
      <c r="L327" s="5" t="inlineStr">
        <is>
          <t>C</t>
        </is>
      </c>
      <c r="M327" s="5" t="inlineStr">
        <is>
          <t>Collaborator article; downloaded as raw wikitext.</t>
        </is>
      </c>
    </row>
    <row r="328" ht="94" customHeight="1">
      <c r="A328" s="15" t="inlineStr">
        <is>
          <t>SOURCE-327</t>
        </is>
      </c>
      <c r="B328" s="5" t="n"/>
      <c r="C328" s="5" t="n"/>
      <c r="D328" s="5" t="inlineStr">
        <is>
          <t>Manivannan</t>
        </is>
      </c>
      <c r="E328" s="5" t="inlineStr">
        <is>
          <t>Wikipedia</t>
        </is>
      </c>
      <c r="F328" s="5" t="n"/>
      <c r="G328" s="5" t="n"/>
      <c r="H328" s="22" t="inlineStr">
        <is>
          <t>https://en.wikipedia.org/wiki/Manivannan</t>
        </is>
      </c>
      <c r="I328" s="16" t="n">
        <v>46297</v>
      </c>
      <c r="J328" s="5" t="inlineStr">
        <is>
          <t>Life dates, his work as actor, director, screenwriter, voice artist, playback singer and activist in Tamil cinema, his start as story and dialogue writer for Bharathiraja from 1980 to 1982, and his later career as a director and character actor.</t>
        </is>
      </c>
      <c r="K328" s="5" t="inlineStr">
        <is>
          <t>Reference encyclopedia</t>
        </is>
      </c>
      <c r="L328" s="5" t="inlineStr">
        <is>
          <t>C</t>
        </is>
      </c>
      <c r="M328" s="5" t="inlineStr">
        <is>
          <t>Collaborator article; downloaded as raw wikitext.</t>
        </is>
      </c>
    </row>
    <row r="329" ht="124" customHeight="1">
      <c r="A329" s="15" t="inlineStr">
        <is>
          <t>SOURCE-328</t>
        </is>
      </c>
      <c r="B329" s="5" t="n"/>
      <c r="C329" s="5" t="n"/>
      <c r="D329" s="5" t="inlineStr">
        <is>
          <t>Manmohan Singh (director)</t>
        </is>
      </c>
      <c r="E329" s="5" t="inlineStr">
        <is>
          <t>Wikipedia</t>
        </is>
      </c>
      <c r="F329" s="5" t="n"/>
      <c r="G329" s="5" t="n"/>
      <c r="H329" s="22" t="inlineStr">
        <is>
          <t>https://en.wikipedia.org/wiki/Manmohan_Singh_(director)</t>
        </is>
      </c>
      <c r="I329" s="16" t="n">
        <v>46297</v>
      </c>
      <c r="J329" s="5" t="inlineStr">
        <is>
          <t>His work as cinematographer and director, the films he shot for Yash Chopra and Aditya Chopra including Chandni, Lamhe, Darr, Dilwale Dulhania Le Jayenge, Dil To Pagal Hai and Mohabbatein, his two Filmfare Awards for Darr and Chandni, and that his first Hindi film as director was Pehla Pehla Pyar in 1994 and his first Punjabi film Jee Aayan Nu in 2003.</t>
        </is>
      </c>
      <c r="K329" s="5" t="inlineStr">
        <is>
          <t>Reference encyclopedia</t>
        </is>
      </c>
      <c r="L329" s="5" t="inlineStr">
        <is>
          <t>C</t>
        </is>
      </c>
      <c r="M329" s="5" t="inlineStr">
        <is>
          <t>Collaborator article; fetched under an explicit title because the bare name resolves to the former Prime Minister of India.</t>
        </is>
      </c>
    </row>
    <row r="330" ht="79" customHeight="1">
      <c r="A330" s="15" t="inlineStr">
        <is>
          <t>SOURCE-329</t>
        </is>
      </c>
      <c r="B330" s="5" t="n"/>
      <c r="C330" s="5" t="n"/>
      <c r="D330" s="5" t="inlineStr">
        <is>
          <t>Mayur Puri</t>
        </is>
      </c>
      <c r="E330" s="5" t="inlineStr">
        <is>
          <t>Wikipedia</t>
        </is>
      </c>
      <c r="F330" s="5" t="n"/>
      <c r="G330" s="5" t="n"/>
      <c r="H330" s="22" t="inlineStr">
        <is>
          <t>https://en.wikipedia.org/wiki/Mayur_Puri</t>
        </is>
      </c>
      <c r="I330" s="16" t="n">
        <v>46297</v>
      </c>
      <c r="J330" s="5" t="inlineStr">
        <is>
          <t>His origin in Ajmer, his work as screenwriter, lyricist, actor and filmmaker in Mumbai, his song and dialogue work on Om Shanti Om, Happy New Year and the ABCD films, and his first short film Firdaws in 2017.</t>
        </is>
      </c>
      <c r="K330" s="5" t="inlineStr">
        <is>
          <t>Reference encyclopedia</t>
        </is>
      </c>
      <c r="L330" s="5" t="inlineStr">
        <is>
          <t>C</t>
        </is>
      </c>
      <c r="M330" s="5" t="inlineStr">
        <is>
          <t>Collaborator article; downloaded as raw wikitext.</t>
        </is>
      </c>
    </row>
    <row r="331" ht="79" customHeight="1">
      <c r="A331" s="15" t="inlineStr">
        <is>
          <t>SOURCE-330</t>
        </is>
      </c>
      <c r="B331" s="5" t="n"/>
      <c r="C331" s="5" t="n"/>
      <c r="D331" s="5" t="inlineStr">
        <is>
          <t>Mehboob Studio</t>
        </is>
      </c>
      <c r="E331" s="5" t="inlineStr">
        <is>
          <t>Wikipedia</t>
        </is>
      </c>
      <c r="F331" s="5" t="n"/>
      <c r="G331" s="5" t="n"/>
      <c r="H331" s="22" t="inlineStr">
        <is>
          <t>https://en.wikipedia.org/wiki/Mehboob_Studio</t>
        </is>
      </c>
      <c r="I331" s="16" t="n">
        <v>46297</v>
      </c>
      <c r="J331" s="5" t="inlineStr">
        <is>
          <t>Its founding in Bandra in 1954 by Mehboob Khan, his earlier Mehboob Productions founded in 1942, and the studio's association with Mother India and that film's Filmfare Awards and Academy Award nomination.</t>
        </is>
      </c>
      <c r="K331" s="5" t="inlineStr">
        <is>
          <t>Reference encyclopedia</t>
        </is>
      </c>
      <c r="L331" s="5" t="inlineStr">
        <is>
          <t>C</t>
        </is>
      </c>
      <c r="M331" s="5" t="inlineStr">
        <is>
          <t>Collaborator article; the credit reads Mehboob Studios and the article is titled Mehboob Studio.</t>
        </is>
      </c>
    </row>
    <row r="332" ht="109" customHeight="1">
      <c r="A332" s="15" t="inlineStr">
        <is>
          <t>SOURCE-331</t>
        </is>
      </c>
      <c r="B332" s="5" t="n"/>
      <c r="C332" s="5" t="n"/>
      <c r="D332" s="5" t="inlineStr">
        <is>
          <t>Mehmood (actor)</t>
        </is>
      </c>
      <c r="E332" s="5" t="inlineStr">
        <is>
          <t>Wikipedia</t>
        </is>
      </c>
      <c r="F332" s="5" t="n"/>
      <c r="G332" s="5" t="n"/>
      <c r="H332" s="22" t="inlineStr">
        <is>
          <t>https://en.wikipedia.org/wiki/Mehmood_(actor)</t>
        </is>
      </c>
      <c r="I332" s="16" t="n">
        <v>46297</v>
      </c>
      <c r="J332" s="5" t="inlineStr">
        <is>
          <t>Full name and life dates, more than 300 Hindi films over four decades, his comic and serious roles, his twenty-five nominations, Meena Kumari as his sister-in-law, his children including Lucky Ali and Ginny, and that Ginny Aur Johnny (1976) starred his daughter Ginny and was based on the 1973 film Paper Moon.</t>
        </is>
      </c>
      <c r="K332" s="5" t="inlineStr">
        <is>
          <t>Reference encyclopedia</t>
        </is>
      </c>
      <c r="L332" s="5" t="inlineStr">
        <is>
          <t>C</t>
        </is>
      </c>
      <c r="M332" s="5" t="inlineStr">
        <is>
          <t>Collaborator article; fetched under an explicit title because the bare credit 'Mehmood' resolves to a page of given names.</t>
        </is>
      </c>
    </row>
    <row r="333" ht="49" customHeight="1">
      <c r="A333" s="15" t="inlineStr">
        <is>
          <t>SOURCE-332</t>
        </is>
      </c>
      <c r="B333" s="5" t="n"/>
      <c r="C333" s="5" t="n"/>
      <c r="D333" s="5" t="inlineStr">
        <is>
          <t>Mukta Arts</t>
        </is>
      </c>
      <c r="E333" s="5" t="inlineStr">
        <is>
          <t>Wikipedia</t>
        </is>
      </c>
      <c r="F333" s="5" t="n"/>
      <c r="G333" s="5" t="n"/>
      <c r="H333" s="22" t="inlineStr">
        <is>
          <t>https://en.wikipedia.org/wiki/Mukta_Arts</t>
        </is>
      </c>
      <c r="I333" s="16" t="n">
        <v>46297</v>
      </c>
      <c r="J333" s="5" t="inlineStr">
        <is>
          <t>The company's identity as Subhash Ghai's production house and the naming of Ghai and Rahul Puri among its key people.</t>
        </is>
      </c>
      <c r="K333" s="5" t="inlineStr">
        <is>
          <t>Reference encyclopedia</t>
        </is>
      </c>
      <c r="L333" s="5" t="inlineStr">
        <is>
          <t>C</t>
        </is>
      </c>
      <c r="M333" s="5" t="inlineStr">
        <is>
          <t>Collaborator article; downloaded as raw wikitext.</t>
        </is>
      </c>
    </row>
    <row r="334" ht="64" customHeight="1">
      <c r="A334" s="15" t="inlineStr">
        <is>
          <t>SOURCE-333</t>
        </is>
      </c>
      <c r="B334" s="5" t="n"/>
      <c r="C334" s="5" t="n"/>
      <c r="D334" s="5" t="inlineStr">
        <is>
          <t>Mushtaq Shiekh</t>
        </is>
      </c>
      <c r="E334" s="5" t="inlineStr">
        <is>
          <t>Wikipedia</t>
        </is>
      </c>
      <c r="F334" s="5" t="n"/>
      <c r="G334" s="5" t="n"/>
      <c r="H334" s="22" t="inlineStr">
        <is>
          <t>https://en.wikipedia.org/wiki/Mushtaq_Shiekh</t>
        </is>
      </c>
      <c r="I334" s="16" t="n">
        <v>46297</v>
      </c>
      <c r="J334" s="5" t="inlineStr">
        <is>
          <t>His origin in Mumbai and his work as screenwriter, author, producer and actor, known mainly for the screenplays of Ra.One, Om Shanti Om and Billu.</t>
        </is>
      </c>
      <c r="K334" s="5" t="inlineStr">
        <is>
          <t>Reference encyclopedia</t>
        </is>
      </c>
      <c r="L334" s="5" t="inlineStr">
        <is>
          <t>C</t>
        </is>
      </c>
      <c r="M334" s="5" t="inlineStr">
        <is>
          <t>Collaborator article; downloaded as raw wikitext.</t>
        </is>
      </c>
    </row>
    <row r="335" ht="64" customHeight="1">
      <c r="A335" s="15" t="inlineStr">
        <is>
          <t>SOURCE-334</t>
        </is>
      </c>
      <c r="B335" s="5" t="n"/>
      <c r="C335" s="5" t="n"/>
      <c r="D335" s="5" t="inlineStr">
        <is>
          <t>Nadiadwala Grandson Entertainment</t>
        </is>
      </c>
      <c r="E335" s="5" t="inlineStr">
        <is>
          <t>Wikipedia</t>
        </is>
      </c>
      <c r="F335" s="5" t="n"/>
      <c r="G335" s="5" t="n"/>
      <c r="H335" s="22" t="inlineStr">
        <is>
          <t>https://en.wikipedia.org/wiki/Nadiadwala_Grandson_Entertainment</t>
        </is>
      </c>
      <c r="I335" s="16" t="n">
        <v>46297</v>
      </c>
      <c r="J335" s="5" t="inlineStr">
        <is>
          <t>The company's full name and Mumbai base, its establishment by Sajid Nadiadwala in 1992, and its involvement in motion pictures, radio, television and other entertainment activities.</t>
        </is>
      </c>
      <c r="K335" s="5" t="inlineStr">
        <is>
          <t>Reference encyclopedia</t>
        </is>
      </c>
      <c r="L335" s="5" t="inlineStr">
        <is>
          <t>C</t>
        </is>
      </c>
      <c r="M335" s="5" t="inlineStr">
        <is>
          <t>Collaborator article; downloaded as raw wikitext.</t>
        </is>
      </c>
    </row>
    <row r="336" ht="94" customHeight="1">
      <c r="A336" s="15" t="inlineStr">
        <is>
          <t>SOURCE-335</t>
        </is>
      </c>
      <c r="B336" s="5" t="n"/>
      <c r="C336" s="5" t="n"/>
      <c r="D336" s="5" t="inlineStr">
        <is>
          <t>Nandita Das</t>
        </is>
      </c>
      <c r="E336" s="5" t="inlineStr">
        <is>
          <t>Wikipedia</t>
        </is>
      </c>
      <c r="F336" s="5" t="n"/>
      <c r="G336" s="5" t="n"/>
      <c r="H336" s="22" t="inlineStr">
        <is>
          <t>https://en.wikipedia.org/wiki/Nandita_Das</t>
        </is>
      </c>
      <c r="I336" s="16" t="n">
        <v>46297</v>
      </c>
      <c r="J336" s="5" t="inlineStr">
        <is>
          <t>Birth date, more than forty films in ten languages including Fire, Earth, Bawandar, Kannathil Muthamittal and Before the Rains, her directorial debut Firaaq premiering at Toronto, and Manto (2018) as her second film as director, screened at Cannes in Un Certain Regard.</t>
        </is>
      </c>
      <c r="K336" s="5" t="inlineStr">
        <is>
          <t>Reference encyclopedia</t>
        </is>
      </c>
      <c r="L336" s="5" t="inlineStr">
        <is>
          <t>C</t>
        </is>
      </c>
      <c r="M336" s="5" t="inlineStr">
        <is>
          <t>Collaborator article; downloaded as raw wikitext.</t>
        </is>
      </c>
    </row>
    <row r="337" ht="79" customHeight="1">
      <c r="A337" s="15" t="inlineStr">
        <is>
          <t>SOURCE-336</t>
        </is>
      </c>
      <c r="B337" s="5" t="n"/>
      <c r="C337" s="5" t="n"/>
      <c r="D337" s="5" t="inlineStr">
        <is>
          <t>Narendra Bedi</t>
        </is>
      </c>
      <c r="E337" s="5" t="inlineStr">
        <is>
          <t>Wikipedia</t>
        </is>
      </c>
      <c r="F337" s="5" t="n"/>
      <c r="G337" s="5" t="n"/>
      <c r="H337" s="22" t="inlineStr">
        <is>
          <t>https://en.wikipedia.org/wiki/Narendra_Bedi</t>
        </is>
      </c>
      <c r="I337" s="16" t="n">
        <v>46297</v>
      </c>
      <c r="J337" s="5" t="inlineStr">
        <is>
          <t>Life dates, that he was the son of the writer Rajinder Singh Bedi, and his films including Jawani Diwani starring Randhir Kapoor and Jaya Bhaduri, the Rajesh Khanna films, and Benaam and Adalat with Amitabh Bachchan.</t>
        </is>
      </c>
      <c r="K337" s="5" t="inlineStr">
        <is>
          <t>Reference encyclopedia</t>
        </is>
      </c>
      <c r="L337" s="5" t="inlineStr">
        <is>
          <t>C</t>
        </is>
      </c>
      <c r="M337" s="5" t="inlineStr">
        <is>
          <t>Collaborator article; the credit reads Narender Bedi and the article is titled Narendra Bedi.</t>
        </is>
      </c>
    </row>
    <row r="338" ht="79" customHeight="1">
      <c r="A338" s="15" t="inlineStr">
        <is>
          <t>SOURCE-337</t>
        </is>
      </c>
      <c r="B338" s="5" t="n"/>
      <c r="C338" s="5" t="n"/>
      <c r="D338" s="5" t="inlineStr">
        <is>
          <t>Nikhil-Vinay</t>
        </is>
      </c>
      <c r="E338" s="5" t="inlineStr">
        <is>
          <t>Wikipedia</t>
        </is>
      </c>
      <c r="F338" s="5" t="n"/>
      <c r="G338" s="5" t="n"/>
      <c r="H338" s="22" t="inlineStr">
        <is>
          <t>https://en.wikipedia.org/wiki/Nikhil-Vinay</t>
        </is>
      </c>
      <c r="I338" s="16" t="n">
        <v>46297</v>
      </c>
      <c r="J338" s="5" t="inlineStr">
        <is>
          <t>The duo's members Nikhil Kamath and Vinay Tiwari, their classical training, their activity from 1991 until the 2006 split, and their discovery by Anuradha Paudwal and recommendation to Gulshan Kumar of T-Series.</t>
        </is>
      </c>
      <c r="K338" s="5" t="inlineStr">
        <is>
          <t>Reference encyclopedia</t>
        </is>
      </c>
      <c r="L338" s="5" t="inlineStr">
        <is>
          <t>C</t>
        </is>
      </c>
      <c r="M338" s="5" t="inlineStr">
        <is>
          <t>Collaborator article; downloaded as raw wikitext.</t>
        </is>
      </c>
    </row>
    <row r="339" ht="94" customHeight="1">
      <c r="A339" s="15" t="inlineStr">
        <is>
          <t>SOURCE-338</t>
        </is>
      </c>
      <c r="B339" s="5" t="n"/>
      <c r="C339" s="5" t="n"/>
      <c r="D339" s="5" t="inlineStr">
        <is>
          <t>Niranjan Iyengar</t>
        </is>
      </c>
      <c r="E339" s="5" t="inlineStr">
        <is>
          <t>Wikipedia</t>
        </is>
      </c>
      <c r="F339" s="5" t="n"/>
      <c r="G339" s="5" t="n"/>
      <c r="H339" s="22" t="inlineStr">
        <is>
          <t>https://en.wikipedia.org/wiki/Niranjan_Iyengar</t>
        </is>
      </c>
      <c r="I339" s="16" t="n">
        <v>46297</v>
      </c>
      <c r="J339" s="5" t="inlineStr">
        <is>
          <t>His birth in Dombivali, his work as screenwriter and lyricist known for his association with Karan Johar, his book The Making of Kabhi Khushi Kabhie Gham, his talk show Look Who's Talking, and the Filmfare nomination for Best Lyricist for 'Sajda'.</t>
        </is>
      </c>
      <c r="K339" s="5" t="inlineStr">
        <is>
          <t>Reference encyclopedia</t>
        </is>
      </c>
      <c r="L339" s="5" t="inlineStr">
        <is>
          <t>C</t>
        </is>
      </c>
      <c r="M339" s="5" t="inlineStr">
        <is>
          <t>Collaborator article; downloaded as raw wikitext.</t>
        </is>
      </c>
    </row>
    <row r="340" ht="79" customHeight="1">
      <c r="A340" s="15" t="inlineStr">
        <is>
          <t>SOURCE-339</t>
        </is>
      </c>
      <c r="B340" s="5" t="n"/>
      <c r="C340" s="5" t="n"/>
      <c r="D340" s="5" t="inlineStr">
        <is>
          <t>Niren Bhatt</t>
        </is>
      </c>
      <c r="E340" s="5" t="inlineStr">
        <is>
          <t>Wikipedia</t>
        </is>
      </c>
      <c r="F340" s="5" t="n"/>
      <c r="G340" s="5" t="n"/>
      <c r="H340" s="22" t="inlineStr">
        <is>
          <t>https://en.wikipedia.org/wiki/Niren_Bhatt</t>
        </is>
      </c>
      <c r="I340" s="16" t="n">
        <v>46297</v>
      </c>
      <c r="J340" s="5" t="inlineStr">
        <is>
          <t>His work as an Indian screenwriter and lyricist in Hindi films, his writing for the Maddock horror-comedy universe including Stree 2 (2024) as one of the highest-grossing Hindi films of all time, and years active from 2008.</t>
        </is>
      </c>
      <c r="K340" s="5" t="inlineStr">
        <is>
          <t>Reference encyclopedia</t>
        </is>
      </c>
      <c r="L340" s="5" t="inlineStr">
        <is>
          <t>C</t>
        </is>
      </c>
      <c r="M340" s="5" t="inlineStr">
        <is>
          <t>Collaborator article; downloaded as raw wikitext.</t>
        </is>
      </c>
    </row>
    <row r="341" ht="79" customHeight="1">
      <c r="A341" s="15" t="inlineStr">
        <is>
          <t>SOURCE-340</t>
        </is>
      </c>
      <c r="B341" s="5" t="n"/>
      <c r="C341" s="5" t="n"/>
      <c r="D341" s="5" t="inlineStr">
        <is>
          <t>Nishi (actress)</t>
        </is>
      </c>
      <c r="E341" s="5" t="inlineStr">
        <is>
          <t>Wikipedia</t>
        </is>
      </c>
      <c r="F341" s="5" t="n"/>
      <c r="G341" s="5" t="n"/>
      <c r="H341" s="22" t="inlineStr">
        <is>
          <t>https://en.wikipedia.org/wiki/Nishi_(actress)</t>
        </is>
      </c>
      <c r="I341" s="16" t="n">
        <v>46297</v>
      </c>
      <c r="J341" s="5" t="inlineStr">
        <is>
          <t>Her birth name Krishna Kumari Sharma, birth date and place, her career in Punjabi and Hindi films from 1955 to 1970 often opposite Dara Singh, her known films, her marriage to Rajkumar Kohli and her sons Armaan and Gogi Kohli.</t>
        </is>
      </c>
      <c r="K341" s="5" t="inlineStr">
        <is>
          <t>Reference encyclopedia</t>
        </is>
      </c>
      <c r="L341" s="5" t="inlineStr">
        <is>
          <t>C</t>
        </is>
      </c>
      <c r="M341" s="5" t="inlineStr">
        <is>
          <t>Collaborator article; the credit reads Nishi Kohli and the article is titled Nishi (actress).</t>
        </is>
      </c>
    </row>
    <row r="342" ht="64" customHeight="1">
      <c r="A342" s="15" t="inlineStr">
        <is>
          <t>SOURCE-341</t>
        </is>
      </c>
      <c r="B342" s="5" t="n"/>
      <c r="C342" s="5" t="n"/>
      <c r="D342" s="5" t="inlineStr">
        <is>
          <t>Nucleya</t>
        </is>
      </c>
      <c r="E342" s="5" t="inlineStr">
        <is>
          <t>Wikipedia</t>
        </is>
      </c>
      <c r="F342" s="5" t="n"/>
      <c r="G342" s="5" t="n"/>
      <c r="H342" s="22" t="inlineStr">
        <is>
          <t>https://en.wikipedia.org/wiki/Nucleya</t>
        </is>
      </c>
      <c r="I342" s="16" t="n">
        <v>46297</v>
      </c>
      <c r="J342" s="5" t="inlineStr">
        <is>
          <t>His identity as Udyan Sagar, his stage name, his work as an Indian electronic music producer and DJ, his birth in Agra and base in Ahmedabad, and years active from 1998.</t>
        </is>
      </c>
      <c r="K342" s="5" t="inlineStr">
        <is>
          <t>Reference encyclopedia</t>
        </is>
      </c>
      <c r="L342" s="5" t="inlineStr">
        <is>
          <t>C</t>
        </is>
      </c>
      <c r="M342" s="5" t="inlineStr">
        <is>
          <t>Collaborator article; downloaded as raw wikitext.</t>
        </is>
      </c>
    </row>
    <row r="343" ht="79" customHeight="1">
      <c r="A343" s="15" t="inlineStr">
        <is>
          <t>SOURCE-342</t>
        </is>
      </c>
      <c r="B343" s="5" t="n"/>
      <c r="C343" s="5" t="n"/>
      <c r="D343" s="5" t="inlineStr">
        <is>
          <t>Mushtaq Jalili</t>
        </is>
      </c>
      <c r="E343" s="5" t="inlineStr">
        <is>
          <t>Wikipedia</t>
        </is>
      </c>
      <c r="F343" s="5" t="n"/>
      <c r="G343" s="5" t="n"/>
      <c r="H343" s="22" t="inlineStr">
        <is>
          <t>https://en.wikipedia.org/wiki/Mushtaq_Jalili</t>
        </is>
      </c>
      <c r="I343" s="16" t="n">
        <v>46297</v>
      </c>
      <c r="J343" s="5" t="inlineStr">
        <is>
          <t>Life dates, birth in Hyderabad as the son of the Urdu poet Fasahat Jung Jaleel (Jaleel Manikpuri), his apprenticeships with A. R. Kardar, P. N. Arora from 1955 and Pandit Mukhram Sharma, and his independent film writing from 1963.</t>
        </is>
      </c>
      <c r="K343" s="5" t="inlineStr">
        <is>
          <t>Reference encyclopedia</t>
        </is>
      </c>
      <c r="L343" s="5" t="inlineStr">
        <is>
          <t>C</t>
        </is>
      </c>
      <c r="M343" s="5" t="inlineStr">
        <is>
          <t>Collaborator article; downloaded as raw wikitext.</t>
        </is>
      </c>
    </row>
    <row r="344" ht="79" customHeight="1">
      <c r="A344" s="15" t="inlineStr">
        <is>
          <t>SOURCE-343</t>
        </is>
      </c>
      <c r="B344" s="5" t="n"/>
      <c r="C344" s="5" t="n"/>
      <c r="D344" s="5" t="inlineStr">
        <is>
          <t>Nupur Asthana</t>
        </is>
      </c>
      <c r="E344" s="5" t="inlineStr">
        <is>
          <t>Wikipedia</t>
        </is>
      </c>
      <c r="F344" s="5" t="n"/>
      <c r="G344" s="5" t="n"/>
      <c r="H344" s="22" t="inlineStr">
        <is>
          <t>https://en.wikipedia.org/wiki/Nupur_Asthana</t>
        </is>
      </c>
      <c r="I344" s="16" t="n">
        <v>46297</v>
      </c>
      <c r="J344" s="5" t="inlineStr">
        <is>
          <t>Her origin in Uttar Pradesh, her work as an Indian film and television director and writer, her television debut with Hip Hip Hurray in 1998, and her film debut Mujhse Fraaandship Karoge produced by Y-Films, the youth arm of Yash Raj Films.</t>
        </is>
      </c>
      <c r="K344" s="5" t="inlineStr">
        <is>
          <t>Reference encyclopedia</t>
        </is>
      </c>
      <c r="L344" s="5" t="inlineStr">
        <is>
          <t>C</t>
        </is>
      </c>
      <c r="M344" s="5" t="inlineStr">
        <is>
          <t>Collaborator article; downloaded as raw wikitext.</t>
        </is>
      </c>
    </row>
    <row r="345" ht="109" customHeight="1">
      <c r="A345" s="15" t="inlineStr">
        <is>
          <t>SOURCE-344</t>
        </is>
      </c>
      <c r="B345" s="5" t="n"/>
      <c r="C345" s="5" t="n"/>
      <c r="D345" s="5" t="inlineStr">
        <is>
          <t>Nutan</t>
        </is>
      </c>
      <c r="E345" s="5" t="inlineStr">
        <is>
          <t>Wikipedia</t>
        </is>
      </c>
      <c r="F345" s="5" t="n"/>
      <c r="G345" s="5" t="n"/>
      <c r="H345" s="22" t="inlineStr">
        <is>
          <t>https://en.wikipedia.org/wiki/Nutan</t>
        </is>
      </c>
      <c r="I345" s="16" t="n">
        <v>46297</v>
      </c>
      <c r="J345" s="5" t="inlineStr">
        <is>
          <t>Her full name and life dates, her standing among the finest Indian actresses, her naturalistic acting, seven Filmfare Awards including a then-record five for Best Actress with the first for Seema and a final Best Supporting Actress award for Meri Jung, the Padma Shri in 1974, and her son Mohnish Bahl.</t>
        </is>
      </c>
      <c r="K345" s="5" t="inlineStr">
        <is>
          <t>Reference encyclopedia</t>
        </is>
      </c>
      <c r="L345" s="5" t="inlineStr">
        <is>
          <t>C</t>
        </is>
      </c>
      <c r="M345" s="5" t="inlineStr">
        <is>
          <t>Collaborator article; downloaded as raw wikitext.</t>
        </is>
      </c>
    </row>
    <row r="346" ht="94" customHeight="1">
      <c r="A346" s="15" t="inlineStr">
        <is>
          <t>SOURCE-345</t>
        </is>
      </c>
      <c r="B346" s="5" t="n"/>
      <c r="C346" s="5" t="n"/>
      <c r="D346" s="5" t="inlineStr">
        <is>
          <t>Oriol Paulo</t>
        </is>
      </c>
      <c r="E346" s="5" t="inlineStr">
        <is>
          <t>Wikipedia</t>
        </is>
      </c>
      <c r="F346" s="5" t="n"/>
      <c r="G346" s="5" t="n"/>
      <c r="H346" s="22" t="inlineStr">
        <is>
          <t>https://en.wikipedia.org/wiki/Oriol_Paulo</t>
        </is>
      </c>
      <c r="I346" s="16" t="n">
        <v>46297</v>
      </c>
      <c r="J346" s="5" t="inlineStr">
        <is>
          <t>Birth date and place, his work as a Spanish screenwriter and director, The Body (2012) and The Invisible Guest (2016) and their international acclaim and remakes, the Goya nomination for Best New Director, and the Best Film award at the Fantastic Film Festival in Paris for The Body.</t>
        </is>
      </c>
      <c r="K346" s="5" t="inlineStr">
        <is>
          <t>Reference encyclopedia</t>
        </is>
      </c>
      <c r="L346" s="5" t="inlineStr">
        <is>
          <t>C</t>
        </is>
      </c>
      <c r="M346" s="5" t="inlineStr">
        <is>
          <t>Collaborator article; downloaded as raw wikitext.</t>
        </is>
      </c>
    </row>
    <row r="347" ht="79" customHeight="1">
      <c r="A347" s="15" t="inlineStr">
        <is>
          <t>SOURCE-346</t>
        </is>
      </c>
      <c r="B347" s="5" t="n"/>
      <c r="C347" s="5" t="n"/>
      <c r="D347" s="5" t="inlineStr">
        <is>
          <t>P. Madhavan</t>
        </is>
      </c>
      <c r="E347" s="5" t="inlineStr">
        <is>
          <t>Wikipedia</t>
        </is>
      </c>
      <c r="F347" s="5" t="n"/>
      <c r="G347" s="5" t="n"/>
      <c r="H347" s="22" t="inlineStr">
        <is>
          <t>https://en.wikipedia.org/wiki/P._Madhavan</t>
        </is>
      </c>
      <c r="I347" s="16" t="n">
        <v>46297</v>
      </c>
      <c r="J347" s="5" t="inlineStr">
        <is>
          <t>Full name and life dates, his work as a director and producer in Tamil cinema in the 1960s and 1970s, forty-nine films directed and thirty-nine produced under the Arun Prasad Movies banner, and his death in Chennai.</t>
        </is>
      </c>
      <c r="K347" s="5" t="inlineStr">
        <is>
          <t>Reference encyclopedia</t>
        </is>
      </c>
      <c r="L347" s="5" t="inlineStr">
        <is>
          <t>C</t>
        </is>
      </c>
      <c r="M347" s="5" t="inlineStr">
        <is>
          <t>Collaborator article; downloaded as raw wikitext.</t>
        </is>
      </c>
    </row>
    <row r="348" ht="64" customHeight="1">
      <c r="A348" s="15" t="inlineStr">
        <is>
          <t>SOURCE-347</t>
        </is>
      </c>
      <c r="B348" s="5" t="n"/>
      <c r="C348" s="5" t="n"/>
      <c r="D348" s="5" t="inlineStr">
        <is>
          <t>Palagummi Padmaraju</t>
        </is>
      </c>
      <c r="E348" s="5" t="inlineStr">
        <is>
          <t>Wikipedia</t>
        </is>
      </c>
      <c r="F348" s="5" t="n"/>
      <c r="G348" s="5" t="n"/>
      <c r="H348" s="22" t="inlineStr">
        <is>
          <t>https://en.wikipedia.org/wiki/Palagummi_Padmaraju</t>
        </is>
      </c>
      <c r="I348" s="16" t="n">
        <v>46297</v>
      </c>
      <c r="J348" s="5" t="inlineStr">
        <is>
          <t>Life dates and birthplace, his work as a Telugu writer, poet, lyricist, screenwriter and lecturer, the Sahitya Akademi Award, and Galivana among his notable works.</t>
        </is>
      </c>
      <c r="K348" s="5" t="inlineStr">
        <is>
          <t>Reference encyclopedia</t>
        </is>
      </c>
      <c r="L348" s="5" t="inlineStr">
        <is>
          <t>C</t>
        </is>
      </c>
      <c r="M348" s="5" t="inlineStr">
        <is>
          <t>Collaborator article; downloaded as raw wikitext.</t>
        </is>
      </c>
    </row>
    <row r="349" ht="79" customHeight="1">
      <c r="A349" s="15" t="inlineStr">
        <is>
          <t>SOURCE-348</t>
        </is>
      </c>
      <c r="B349" s="5" t="n"/>
      <c r="C349" s="5" t="n"/>
      <c r="D349" s="5" t="inlineStr">
        <is>
          <t>Pamela Chopra</t>
        </is>
      </c>
      <c r="E349" s="5" t="inlineStr">
        <is>
          <t>Wikipedia</t>
        </is>
      </c>
      <c r="F349" s="5" t="n"/>
      <c r="G349" s="5" t="n"/>
      <c r="H349" s="22" t="inlineStr">
        <is>
          <t>https://en.wikipedia.org/wiki/Pamela_Chopra</t>
        </is>
      </c>
      <c r="I349" s="16" t="n">
        <v>46297</v>
      </c>
      <c r="J349" s="5" t="inlineStr">
        <is>
          <t>Her maiden name and life dates, her work as a playback singer, film writer and producer, her marriage to Yash Chopra, her sons Aditya and Uday Chopra, and that Simi Garewal was her first cousin.</t>
        </is>
      </c>
      <c r="K349" s="5" t="inlineStr">
        <is>
          <t>Reference encyclopedia</t>
        </is>
      </c>
      <c r="L349" s="5" t="inlineStr">
        <is>
          <t>C</t>
        </is>
      </c>
      <c r="M349" s="5" t="inlineStr">
        <is>
          <t>Collaborator article; downloaded as raw wikitext.</t>
        </is>
      </c>
    </row>
    <row r="350" ht="64" customHeight="1">
      <c r="A350" s="15" t="inlineStr">
        <is>
          <t>SOURCE-349</t>
        </is>
      </c>
      <c r="B350" s="5" t="n"/>
      <c r="C350" s="5" t="n"/>
      <c r="D350" s="5" t="inlineStr">
        <is>
          <t>Partho Ghosh</t>
        </is>
      </c>
      <c r="E350" s="5" t="inlineStr">
        <is>
          <t>Wikipedia</t>
        </is>
      </c>
      <c r="F350" s="5" t="n"/>
      <c r="G350" s="5" t="n"/>
      <c r="H350" s="22" t="inlineStr">
        <is>
          <t>https://en.wikipedia.org/wiki/Partho_Ghosh</t>
        </is>
      </c>
      <c r="I350" s="16" t="n">
        <v>46297</v>
      </c>
      <c r="J350" s="5" t="inlineStr">
        <is>
          <t>Life dates, his work as an Indian film director and producer in Hindi and Bengali cinema, and his successful films including 100 Days, Teesra Kaun, Dalaal and Agni Sakshi.</t>
        </is>
      </c>
      <c r="K350" s="5" t="inlineStr">
        <is>
          <t>Reference encyclopedia</t>
        </is>
      </c>
      <c r="L350" s="5" t="inlineStr">
        <is>
          <t>C</t>
        </is>
      </c>
      <c r="M350" s="5" t="inlineStr">
        <is>
          <t>Collaborator article; downloaded as raw wikitext.</t>
        </is>
      </c>
    </row>
    <row r="351" ht="79" customHeight="1">
      <c r="A351" s="15" t="inlineStr">
        <is>
          <t>SOURCE-350</t>
        </is>
      </c>
      <c r="B351" s="5" t="n"/>
      <c r="C351" s="5" t="n"/>
      <c r="D351" s="5" t="inlineStr">
        <is>
          <t>Percept Picture Company</t>
        </is>
      </c>
      <c r="E351" s="5" t="inlineStr">
        <is>
          <t>Wikipedia</t>
        </is>
      </c>
      <c r="F351" s="5" t="n"/>
      <c r="G351" s="5" t="n"/>
      <c r="H351" s="22" t="inlineStr">
        <is>
          <t>https://en.wikipedia.org/wiki/Percept_Picture_Company</t>
        </is>
      </c>
      <c r="I351" s="16" t="n">
        <v>46297</v>
      </c>
      <c r="J351" s="5" t="inlineStr">
        <is>
          <t>The company's establishment in 2002 as a division of Percept Limited, its Mumbai base, and its films including Dhol, MP3: Mera Pehla Pehla Pyaar, Malamaal Weekly, Hanuman, Yahaan and Pyaar Mein Twist.</t>
        </is>
      </c>
      <c r="K351" s="5" t="inlineStr">
        <is>
          <t>Reference encyclopedia</t>
        </is>
      </c>
      <c r="L351" s="5" t="inlineStr">
        <is>
          <t>C</t>
        </is>
      </c>
      <c r="M351" s="5" t="inlineStr">
        <is>
          <t>Collaborator article; downloaded as raw wikitext.</t>
        </is>
      </c>
    </row>
    <row r="352" ht="94" customHeight="1">
      <c r="A352" s="15" t="inlineStr">
        <is>
          <t>SOURCE-351</t>
        </is>
      </c>
      <c r="B352" s="5" t="n"/>
      <c r="C352" s="5" t="n"/>
      <c r="D352" s="5" t="inlineStr">
        <is>
          <t>Pooja Entertainment</t>
        </is>
      </c>
      <c r="E352" s="5" t="inlineStr">
        <is>
          <t>Wikipedia</t>
        </is>
      </c>
      <c r="F352" s="5" t="n"/>
      <c r="G352" s="5" t="n"/>
      <c r="H352" s="22" t="inlineStr">
        <is>
          <t>https://en.wikipedia.org/wiki/Pooja_Entertainment</t>
        </is>
      </c>
      <c r="I352" s="16" t="n">
        <v>46297</v>
      </c>
      <c r="J352" s="5" t="inlineStr">
        <is>
          <t>The company's establishment by Vashu Bhagnani in 1986, its Mumbai base, its comedies Coolie No. 1, Hero No. 1 and Biwi No.1, its slate of over forty films as of 2024, and its key people Vashu Bhagnani, Jackky Bhagnani and Deepshikha Deshmukh.</t>
        </is>
      </c>
      <c r="K352" s="5" t="inlineStr">
        <is>
          <t>Reference encyclopedia</t>
        </is>
      </c>
      <c r="L352" s="5" t="inlineStr">
        <is>
          <t>C</t>
        </is>
      </c>
      <c r="M352" s="5" t="inlineStr">
        <is>
          <t>Collaborator article; downloaded as raw wikitext.</t>
        </is>
      </c>
    </row>
    <row r="353" ht="49" customHeight="1">
      <c r="A353" s="15" t="inlineStr">
        <is>
          <t>SOURCE-352</t>
        </is>
      </c>
      <c r="B353" s="5" t="n"/>
      <c r="C353" s="5" t="n"/>
      <c r="D353" s="5" t="inlineStr">
        <is>
          <t>Pramod Chakravorty</t>
        </is>
      </c>
      <c r="E353" s="5" t="inlineStr">
        <is>
          <t>Wikipedia</t>
        </is>
      </c>
      <c r="F353" s="5" t="n"/>
      <c r="G353" s="5" t="n"/>
      <c r="H353" s="22" t="inlineStr">
        <is>
          <t>https://en.wikipedia.org/wiki/Pramod_Chakravorty</t>
        </is>
      </c>
      <c r="I353" s="16" t="n">
        <v>46297</v>
      </c>
      <c r="J353" s="5" t="inlineStr">
        <is>
          <t>Life dates, his birth in Calcutta, and his work as an Indian Hindi-film producer and director active from 1955 to 1998.</t>
        </is>
      </c>
      <c r="K353" s="5" t="inlineStr">
        <is>
          <t>Reference encyclopedia</t>
        </is>
      </c>
      <c r="L353" s="5" t="inlineStr">
        <is>
          <t>C</t>
        </is>
      </c>
      <c r="M353" s="5" t="inlineStr">
        <is>
          <t>Collaborator article; downloaded as raw wikitext.</t>
        </is>
      </c>
    </row>
    <row r="354" ht="124" customHeight="1">
      <c r="A354" s="15" t="inlineStr">
        <is>
          <t>SOURCE-353</t>
        </is>
      </c>
      <c r="B354" s="5" t="n"/>
      <c r="C354" s="5" t="n"/>
      <c r="D354" s="5" t="inlineStr">
        <is>
          <t>Prasoon Joshi</t>
        </is>
      </c>
      <c r="E354" s="5" t="inlineStr">
        <is>
          <t>Wikipedia</t>
        </is>
      </c>
      <c r="F354" s="5" t="n"/>
      <c r="G354" s="5" t="n"/>
      <c r="H354" s="22" t="inlineStr">
        <is>
          <t>https://en.wikipedia.org/wiki/Prasoon_Joshi</t>
        </is>
      </c>
      <c r="I354" s="16" t="n">
        <v>46297</v>
      </c>
      <c r="J354" s="5" t="inlineStr">
        <is>
          <t>Birth date and place, his work as poet, writer, lyricist, screenwriter and advertising executive, his CEO and chairman roles at McCann, his CBFC chairpersonship, three Filmfare Awards for Best Lyricist including for 'Chand Sifarish' from Fanaa and for Bhaag Milkha Bhaag, two National Film Awards for Taare Zameen Par and Chittagong, the Cannes Lions Gold and the Padma Shri in 2015.</t>
        </is>
      </c>
      <c r="K354" s="5" t="inlineStr">
        <is>
          <t>Reference encyclopedia</t>
        </is>
      </c>
      <c r="L354" s="5" t="inlineStr">
        <is>
          <t>C</t>
        </is>
      </c>
      <c r="M354" s="5" t="inlineStr">
        <is>
          <t>Collaborator article; downloaded as raw wikitext.</t>
        </is>
      </c>
    </row>
    <row r="355" ht="124" customHeight="1">
      <c r="A355" s="15" t="inlineStr">
        <is>
          <t>SOURCE-354</t>
        </is>
      </c>
      <c r="B355" s="5" t="n"/>
      <c r="C355" s="5" t="n"/>
      <c r="D355" s="5" t="inlineStr">
        <is>
          <t>Pritish Nandy</t>
        </is>
      </c>
      <c r="E355" s="5" t="inlineStr">
        <is>
          <t>Wikipedia</t>
        </is>
      </c>
      <c r="F355" s="5" t="n"/>
      <c r="G355" s="5" t="n"/>
      <c r="H355" s="22" t="inlineStr">
        <is>
          <t>https://en.wikipedia.org/wiki/Pritish_Nandy</t>
        </is>
      </c>
      <c r="I355" s="16" t="n">
        <v>46297</v>
      </c>
      <c r="J355" s="5" t="inlineStr">
        <is>
          <t>Life dates, his work as poet, painter, journalist, politician and content maker, his role as publishing director of The Times of India Group from 1982 to 1991 and editorship of The Illustrated Weekly of India, The Independent and Filmfare, his 1981 Poet Laureate nomination, the Padma Shri in 1977, his Rajya Sabha service, and his brothers Ashis and Manish Nandy.</t>
        </is>
      </c>
      <c r="K355" s="5" t="inlineStr">
        <is>
          <t>Reference encyclopedia</t>
        </is>
      </c>
      <c r="L355" s="5" t="inlineStr">
        <is>
          <t>C</t>
        </is>
      </c>
      <c r="M355" s="5" t="inlineStr">
        <is>
          <t>Collaborator article; downloaded as raw wikitext.</t>
        </is>
      </c>
    </row>
    <row r="356" ht="79" customHeight="1">
      <c r="A356" s="15" t="inlineStr">
        <is>
          <t>SOURCE-355</t>
        </is>
      </c>
      <c r="B356" s="5" t="n"/>
      <c r="C356" s="5" t="n"/>
      <c r="D356" s="5" t="inlineStr">
        <is>
          <t>Puttanna Kanagal</t>
        </is>
      </c>
      <c r="E356" s="5" t="inlineStr">
        <is>
          <t>Wikipedia</t>
        </is>
      </c>
      <c r="F356" s="5" t="n"/>
      <c r="G356" s="5" t="n"/>
      <c r="H356" s="22" t="inlineStr">
        <is>
          <t>https://en.wikipedia.org/wiki/Puttanna_Kanagal</t>
        </is>
      </c>
      <c r="I356" s="16" t="n">
        <v>46297</v>
      </c>
      <c r="J356" s="5" t="inlineStr">
        <is>
          <t>Full name and life dates, his standing as an influential filmmaker in Kannada cinema, his years active, and the actors he gave platforms to including Kalpana, Aarathi, Jayanthi, Srinath, Rajinikanth, Vishnuvardhan and Ambareesh.</t>
        </is>
      </c>
      <c r="K356" s="5" t="inlineStr">
        <is>
          <t>Reference encyclopedia</t>
        </is>
      </c>
      <c r="L356" s="5" t="inlineStr">
        <is>
          <t>C</t>
        </is>
      </c>
      <c r="M356" s="5" t="inlineStr">
        <is>
          <t>Collaborator article; downloaded as raw wikitext.</t>
        </is>
      </c>
    </row>
    <row r="357" ht="94" customHeight="1">
      <c r="A357" s="15" t="inlineStr">
        <is>
          <t>SOURCE-356</t>
        </is>
      </c>
      <c r="B357" s="5" t="n"/>
      <c r="C357" s="5" t="n"/>
      <c r="D357" s="5" t="inlineStr">
        <is>
          <t>Pyramid Saimira</t>
        </is>
      </c>
      <c r="E357" s="5" t="inlineStr">
        <is>
          <t>Wikipedia</t>
        </is>
      </c>
      <c r="F357" s="5" t="n"/>
      <c r="G357" s="5" t="n"/>
      <c r="H357" s="22" t="inlineStr">
        <is>
          <t>https://en.wikipedia.org/wiki/Pyramid_Saimira</t>
        </is>
      </c>
      <c r="I357" s="16" t="n">
        <v>46297</v>
      </c>
      <c r="J357" s="5" t="inlineStr">
        <is>
          <t>The company's identity as an Indian multinational entertainment group operating in six countries, its businesses across exhibition, production, distribution, hospitality, animation and advertising, its rapid growth, and its collapse into debt and closure.</t>
        </is>
      </c>
      <c r="K357" s="5" t="inlineStr">
        <is>
          <t>Reference encyclopedia</t>
        </is>
      </c>
      <c r="L357" s="5" t="inlineStr">
        <is>
          <t>C</t>
        </is>
      </c>
      <c r="M357" s="5" t="inlineStr">
        <is>
          <t>Collaborator article; downloaded as raw wikitext.</t>
        </is>
      </c>
    </row>
    <row r="358" ht="94" customHeight="1">
      <c r="A358" s="15" t="inlineStr">
        <is>
          <t>SOURCE-357</t>
        </is>
      </c>
      <c r="B358" s="5" t="n"/>
      <c r="C358" s="5" t="n"/>
      <c r="D358" s="5" t="inlineStr">
        <is>
          <t>Raamlaxman</t>
        </is>
      </c>
      <c r="E358" s="5" t="inlineStr">
        <is>
          <t>Wikipedia</t>
        </is>
      </c>
      <c r="F358" s="5" t="n"/>
      <c r="G358" s="5" t="n"/>
      <c r="H358" s="22" t="inlineStr">
        <is>
          <t>https://en.wikipedia.org/wiki/Raamlaxman</t>
        </is>
      </c>
      <c r="I358" s="16" t="n">
        <v>46297</v>
      </c>
      <c r="J358" s="5" t="inlineStr">
        <is>
          <t>The duo's composition of Vijay Patil, working as Laxman, with life dates, and Surendra, who died in 1976, Patil's continuation under the original name, his work as composer, pianist and accordionist, and his association with Rajshri Productions.</t>
        </is>
      </c>
      <c r="K358" s="5" t="inlineStr">
        <is>
          <t>Reference encyclopedia</t>
        </is>
      </c>
      <c r="L358" s="5" t="inlineStr">
        <is>
          <t>C</t>
        </is>
      </c>
      <c r="M358" s="5" t="inlineStr">
        <is>
          <t>Collaborator article; downloaded as raw wikitext.</t>
        </is>
      </c>
    </row>
    <row r="359" ht="109" customHeight="1">
      <c r="A359" s="15" t="inlineStr">
        <is>
          <t>SOURCE-358</t>
        </is>
      </c>
      <c r="B359" s="5" t="n"/>
      <c r="C359" s="5" t="n"/>
      <c r="D359" s="5" t="inlineStr">
        <is>
          <t>Raftaar</t>
        </is>
      </c>
      <c r="E359" s="5" t="inlineStr">
        <is>
          <t>Wikipedia</t>
        </is>
      </c>
      <c r="F359" s="5" t="n"/>
      <c r="G359" s="5" t="n"/>
      <c r="H359" s="22" t="inlineStr">
        <is>
          <t>https://en.wikipedia.org/wiki/Raftaar</t>
        </is>
      </c>
      <c r="I359" s="16" t="n">
        <v>46297</v>
      </c>
      <c r="J359" s="5" t="inlineStr">
        <is>
          <t>His identity as Dilin Nair, birth date and place, his work as rapper, lyricist, producer, composer, dancer and television personality across Hindi, Punjabi and Haryanvi music, and the track 'Mantoiyat' from Manto being acclaimed for its lyrical content and for incorporating conscious hip-hop into Hindi film music.</t>
        </is>
      </c>
      <c r="K359" s="5" t="inlineStr">
        <is>
          <t>Reference encyclopedia</t>
        </is>
      </c>
      <c r="L359" s="5" t="inlineStr">
        <is>
          <t>C</t>
        </is>
      </c>
      <c r="M359" s="5" t="inlineStr">
        <is>
          <t>Collaborator article; downloaded as raw wikitext.</t>
        </is>
      </c>
    </row>
    <row r="360" ht="94" customHeight="1">
      <c r="A360" s="15" t="inlineStr">
        <is>
          <t>SOURCE-359</t>
        </is>
      </c>
      <c r="B360" s="5" t="n"/>
      <c r="C360" s="5" t="n"/>
      <c r="D360" s="5" t="inlineStr">
        <is>
          <t>Raghu Dixit</t>
        </is>
      </c>
      <c r="E360" s="5" t="inlineStr">
        <is>
          <t>Wikipedia</t>
        </is>
      </c>
      <c r="F360" s="5" t="n"/>
      <c r="G360" s="5" t="n"/>
      <c r="H360" s="22" t="inlineStr">
        <is>
          <t>https://en.wikipedia.org/wiki/Raghu_Dixit</t>
        </is>
      </c>
      <c r="I360" s="16" t="n">
        <v>46297</v>
      </c>
      <c r="J360" s="5" t="inlineStr">
        <is>
          <t>His full name, birth date and place, his work as singer, composer, producer and film score composer, his leadership of The Raghu Dixit Project, his prominence in Kannada cinema, his folk-based style, and the band's Best Newcomer award at the 2011 Songlines Music Awards.</t>
        </is>
      </c>
      <c r="K360" s="5" t="inlineStr">
        <is>
          <t>Reference encyclopedia</t>
        </is>
      </c>
      <c r="L360" s="5" t="inlineStr">
        <is>
          <t>C</t>
        </is>
      </c>
      <c r="M360" s="5" t="inlineStr">
        <is>
          <t>Collaborator article; downloaded as raw wikitext.</t>
        </is>
      </c>
    </row>
    <row r="361" ht="79" customHeight="1">
      <c r="A361" s="15" t="inlineStr">
        <is>
          <t>SOURCE-360</t>
        </is>
      </c>
      <c r="B361" s="5" t="n"/>
      <c r="C361" s="5" t="n"/>
      <c r="D361" s="5" t="inlineStr">
        <is>
          <t>Rahul Jain (singer)</t>
        </is>
      </c>
      <c r="E361" s="5" t="inlineStr">
        <is>
          <t>Wikipedia</t>
        </is>
      </c>
      <c r="F361" s="5" t="n"/>
      <c r="G361" s="5" t="n"/>
      <c r="H361" s="22" t="inlineStr">
        <is>
          <t>https://en.wikipedia.org/wiki/Rahul_Jain_(singer)</t>
        </is>
      </c>
      <c r="I361" s="16" t="n">
        <v>46297</v>
      </c>
      <c r="J361" s="5" t="inlineStr">
        <is>
          <t>His work as an Indian singer, composer and lyricist, his debut song 'Teri Yaad' in Fever (2016), more than 250 composed tracks, and the Mirchi Music Award nomination for 'Aanewale Kal' from 1921.</t>
        </is>
      </c>
      <c r="K361" s="5" t="inlineStr">
        <is>
          <t>Reference encyclopedia</t>
        </is>
      </c>
      <c r="L361" s="5" t="inlineStr">
        <is>
          <t>C</t>
        </is>
      </c>
      <c r="M361" s="5" t="inlineStr">
        <is>
          <t>Collaborator article; fetched under an explicit title because the bare name resolves to a textile designer.</t>
        </is>
      </c>
    </row>
    <row r="362" ht="79" customHeight="1">
      <c r="A362" s="15" t="inlineStr">
        <is>
          <t>SOURCE-361</t>
        </is>
      </c>
      <c r="B362" s="5" t="n"/>
      <c r="C362" s="5" t="n"/>
      <c r="D362" s="5" t="inlineStr">
        <is>
          <t>Rajendra Krishan</t>
        </is>
      </c>
      <c r="E362" s="5" t="inlineStr">
        <is>
          <t>Wikipedia</t>
        </is>
      </c>
      <c r="F362" s="5" t="n"/>
      <c r="G362" s="5" t="n"/>
      <c r="H362" s="22" t="inlineStr">
        <is>
          <t>https://en.wikipedia.org/wiki/Rajendra_Krishan</t>
        </is>
      </c>
      <c r="I362" s="16" t="n">
        <v>46297</v>
      </c>
      <c r="J362" s="5" t="inlineStr">
        <is>
          <t>His full name Rajinder Krishan Duggal, life dates, birth in Jalalpur Jattan, his work as poet, lyricist, dialogue and screenplay writer from 1948 to 1987, and the Filmfare Award for Best Lyricist in 1966.</t>
        </is>
      </c>
      <c r="K362" s="5" t="inlineStr">
        <is>
          <t>Reference encyclopedia</t>
        </is>
      </c>
      <c r="L362" s="5" t="inlineStr">
        <is>
          <t>C</t>
        </is>
      </c>
      <c r="M362" s="5" t="inlineStr">
        <is>
          <t>Collaborator article; downloaded as raw wikitext.</t>
        </is>
      </c>
    </row>
    <row r="363" ht="154" customHeight="1">
      <c r="A363" s="15" t="inlineStr">
        <is>
          <t>SOURCE-362</t>
        </is>
      </c>
      <c r="B363" s="5" t="n"/>
      <c r="C363" s="5" t="n"/>
      <c r="D363" s="5" t="inlineStr">
        <is>
          <t>Rajinder Singh Bedi</t>
        </is>
      </c>
      <c r="E363" s="5" t="inlineStr">
        <is>
          <t>Wikipedia</t>
        </is>
      </c>
      <c r="F363" s="5" t="n"/>
      <c r="G363" s="5" t="n"/>
      <c r="H363" s="22" t="inlineStr">
        <is>
          <t>https://en.wikipedia.org/wiki/Rajinder_Singh_Bedi</t>
        </is>
      </c>
      <c r="I363" s="16" t="n">
        <v>46297</v>
      </c>
      <c r="J363" s="5" t="inlineStr">
        <is>
          <t>Life dates, his standing as an Urdu writer of the progressive writers' movement and playwright, his film work as director, screenwriter and dialogue writer, the Filmfare Awards for Madhumati and Satyakam, the 1965 Sahitya Akademi Award for Ek Chadar Maili Si and Khushwant Singh's translation of it, the Pakistani film Mutthi Bhar Chawal (1978) and the Indian Ek Chadar Maili Si (1986), and his son Narendra Bedi and grandsons Rajat and Manek Bedi.</t>
        </is>
      </c>
      <c r="K363" s="5" t="inlineStr">
        <is>
          <t>Reference encyclopedia</t>
        </is>
      </c>
      <c r="L363" s="5" t="inlineStr">
        <is>
          <t>C</t>
        </is>
      </c>
      <c r="M363" s="5" t="inlineStr">
        <is>
          <t>Collaborator article; downloaded as raw wikitext.</t>
        </is>
      </c>
    </row>
    <row r="364" ht="94" customHeight="1">
      <c r="A364" s="15" t="inlineStr">
        <is>
          <t>SOURCE-363</t>
        </is>
      </c>
      <c r="B364" s="5" t="n"/>
      <c r="C364" s="5" t="n"/>
      <c r="D364" s="5" t="inlineStr">
        <is>
          <t>Rajkumar Kohli</t>
        </is>
      </c>
      <c r="E364" s="5" t="inlineStr">
        <is>
          <t>Wikipedia</t>
        </is>
      </c>
      <c r="F364" s="5" t="n"/>
      <c r="G364" s="5" t="n"/>
      <c r="H364" s="22" t="inlineStr">
        <is>
          <t>https://en.wikipedia.org/wiki/Rajkumar_Kohli</t>
        </is>
      </c>
      <c r="I364" s="16" t="n">
        <v>46297</v>
      </c>
      <c r="J364" s="5" t="inlineStr">
        <is>
          <t>Life dates and birth in Lahore, his work as a director, Lootera (1965) with Dara Singh and Nishi whom he married, Punjabi films including Dulla Bhatti, his ensemble Hindi films Nagin, Jaani Dushman, Badle Ki Aag, Naukar Biwi Ka and Raaj Tilak, and his sons Armaan and Rajnish Kohli.</t>
        </is>
      </c>
      <c r="K364" s="5" t="inlineStr">
        <is>
          <t>Reference encyclopedia</t>
        </is>
      </c>
      <c r="L364" s="5" t="inlineStr">
        <is>
          <t>C</t>
        </is>
      </c>
      <c r="M364" s="5" t="inlineStr">
        <is>
          <t>Collaborator article; downloaded as raw wikitext.</t>
        </is>
      </c>
    </row>
    <row r="365" ht="109" customHeight="1">
      <c r="A365" s="15" t="inlineStr">
        <is>
          <t>SOURCE-364</t>
        </is>
      </c>
      <c r="B365" s="5" t="n"/>
      <c r="C365" s="5" t="n"/>
      <c r="D365" s="5" t="inlineStr">
        <is>
          <t>Rakeysh Omprakash Mehra</t>
        </is>
      </c>
      <c r="E365" s="5" t="inlineStr">
        <is>
          <t>Wikipedia</t>
        </is>
      </c>
      <c r="F365" s="5" t="n"/>
      <c r="G365" s="5" t="n"/>
      <c r="H365" s="22" t="inlineStr">
        <is>
          <t>https://en.wikipedia.org/wiki/Rakeysh_Omprakash_Mehra</t>
        </is>
      </c>
      <c r="I365" s="16" t="n">
        <v>46297</v>
      </c>
      <c r="J365" s="5" t="inlineStr">
        <is>
          <t>Birth date and place, his work as director, screenwriter and occasional actor, Rang De Basanti and Bhaag Milkha Bhaag with their Filmfare Awards for Best Film and Best Director and National Film Awards for Best Popular Film, Aks (2001), and Delhi-6 (2009) with its ensemble cast including Rishi Kapoor.</t>
        </is>
      </c>
      <c r="K365" s="5" t="inlineStr">
        <is>
          <t>Reference encyclopedia</t>
        </is>
      </c>
      <c r="L365" s="5" t="inlineStr">
        <is>
          <t>C</t>
        </is>
      </c>
      <c r="M365" s="5" t="inlineStr">
        <is>
          <t>Collaborator article; downloaded as raw wikitext.</t>
        </is>
      </c>
    </row>
    <row r="366" ht="124" customHeight="1">
      <c r="A366" s="15" t="inlineStr">
        <is>
          <t>SOURCE-365</t>
        </is>
      </c>
      <c r="B366" s="5" t="n"/>
      <c r="C366" s="5" t="n"/>
      <c r="D366" s="5" t="inlineStr">
        <is>
          <t>Raj Khosla</t>
        </is>
      </c>
      <c r="E366" s="5" t="inlineStr">
        <is>
          <t>Wikipedia</t>
        </is>
      </c>
      <c r="F366" s="5" t="n"/>
      <c r="G366" s="5" t="n"/>
      <c r="H366" s="22" t="inlineStr">
        <is>
          <t>https://en.wikipedia.org/wiki/Raj_Khosla</t>
        </is>
      </c>
      <c r="I366" s="16" t="n">
        <v>46297</v>
      </c>
      <c r="J366" s="5" t="inlineStr">
        <is>
          <t>His birth name and life dates, his standing among top Hindi film directors from the 1950s to the 1980s, his neo-noir style and reputation as a women's director, Woh Kaun Thi giving Sadhana her signature role, Do Badan establishing Asha Parekh and winning Simi Garewal a Filmfare Award, and Main Tulsi Tere Aangan Ki winning the Filmfare Award for Best Film.</t>
        </is>
      </c>
      <c r="K366" s="5" t="inlineStr">
        <is>
          <t>Reference encyclopedia</t>
        </is>
      </c>
      <c r="L366" s="5" t="inlineStr">
        <is>
          <t>C</t>
        </is>
      </c>
      <c r="M366" s="5" t="inlineStr">
        <is>
          <t>Collaborator article; downloaded as raw wikitext.</t>
        </is>
      </c>
    </row>
    <row r="367" ht="64" customHeight="1">
      <c r="A367" s="15" t="inlineStr">
        <is>
          <t>SOURCE-366</t>
        </is>
      </c>
      <c r="B367" s="5" t="n"/>
      <c r="C367" s="5" t="n"/>
      <c r="D367" s="5" t="inlineStr">
        <is>
          <t>Raj N. Sippy</t>
        </is>
      </c>
      <c r="E367" s="5" t="inlineStr">
        <is>
          <t>Wikipedia</t>
        </is>
      </c>
      <c r="F367" s="5" t="n"/>
      <c r="G367" s="5" t="n"/>
      <c r="H367" s="22" t="inlineStr">
        <is>
          <t>https://en.wikipedia.org/wiki/Raj_N._Sippy</t>
        </is>
      </c>
      <c r="I367" s="16" t="n">
        <v>46297</v>
      </c>
      <c r="J367" s="5" t="inlineStr">
        <is>
          <t>Birth date and place, his work as director and producer, his prominence in the 1980s, and his films Inkaar, Satyamev Jayate, Mahaadev, Satte Pe Satta, Boxer and Baazi.</t>
        </is>
      </c>
      <c r="K367" s="5" t="inlineStr">
        <is>
          <t>Reference encyclopedia</t>
        </is>
      </c>
      <c r="L367" s="5" t="inlineStr">
        <is>
          <t>C</t>
        </is>
      </c>
      <c r="M367" s="5" t="inlineStr">
        <is>
          <t>Collaborator article; downloaded as raw wikitext.</t>
        </is>
      </c>
    </row>
    <row r="368" ht="109" customHeight="1">
      <c r="A368" s="15" t="inlineStr">
        <is>
          <t>SOURCE-367</t>
        </is>
      </c>
      <c r="B368" s="5" t="n"/>
      <c r="C368" s="5" t="n"/>
      <c r="D368" s="5" t="inlineStr">
        <is>
          <t>Ramesh Behl</t>
        </is>
      </c>
      <c r="E368" s="5" t="inlineStr">
        <is>
          <t>Wikipedia</t>
        </is>
      </c>
      <c r="F368" s="5" t="n"/>
      <c r="G368" s="5" t="n"/>
      <c r="H368" s="22" t="inlineStr">
        <is>
          <t>https://en.wikipedia.org/wiki/Ramesh_Behl</t>
        </is>
      </c>
      <c r="I368" s="16" t="n">
        <v>46297</v>
      </c>
      <c r="J368" s="5" t="inlineStr">
        <is>
          <t>His work as an Indian director and producer of the Behl family, his productions The Train and Kasme Vaade and his direction of Pukar, Jawaani and Apne Apne, the claim that he is the only filmmaker to have had R. D. Burman compose for all his films, and his family relations to Kamal Kapoor, Rajendra Kumar, Goldie Behl and Ravi Behl.</t>
        </is>
      </c>
      <c r="K368" s="5" t="inlineStr">
        <is>
          <t>Reference encyclopedia</t>
        </is>
      </c>
      <c r="L368" s="5" t="inlineStr">
        <is>
          <t>C</t>
        </is>
      </c>
      <c r="M368" s="5" t="inlineStr">
        <is>
          <t>Collaborator article; downloaded as raw wikitext.</t>
        </is>
      </c>
    </row>
    <row r="369" ht="124" customHeight="1">
      <c r="A369" s="15" t="inlineStr">
        <is>
          <t>SOURCE-368</t>
        </is>
      </c>
      <c r="B369" s="5" t="n"/>
      <c r="C369" s="5" t="n"/>
      <c r="D369" s="5" t="inlineStr">
        <is>
          <t>Ramesh Sippy</t>
        </is>
      </c>
      <c r="E369" s="5" t="inlineStr">
        <is>
          <t>Wikipedia</t>
        </is>
      </c>
      <c r="F369" s="5" t="n"/>
      <c r="G369" s="5" t="n"/>
      <c r="H369" s="22" t="inlineStr">
        <is>
          <t>https://en.wikipedia.org/wiki/Ramesh_Sippy</t>
        </is>
      </c>
      <c r="I369" s="16" t="n">
        <v>46297</v>
      </c>
      <c r="J369" s="5" t="inlineStr">
        <is>
          <t>His work as director, producer and actor, Sholay as his best-known film and its standing, the Padma Shri in 2013, the Ramesh Sippy Academy of Cinema founded in 2017, his father G. P. Sippy, and that he directed Saagar in 1985 starring Rishi Kapoor and Kamal Haasan, marking Dimple Kapadia's comeback twelve years after her debut in Bobby.</t>
        </is>
      </c>
      <c r="K369" s="5" t="inlineStr">
        <is>
          <t>Reference encyclopedia</t>
        </is>
      </c>
      <c r="L369" s="5" t="inlineStr">
        <is>
          <t>C</t>
        </is>
      </c>
      <c r="M369" s="5" t="inlineStr">
        <is>
          <t>Collaborator article; downloaded as raw wikitext.</t>
        </is>
      </c>
    </row>
    <row r="370" ht="79" customHeight="1">
      <c r="A370" s="15" t="inlineStr">
        <is>
          <t>SOURCE-369</t>
        </is>
      </c>
      <c r="B370" s="5" t="n"/>
      <c r="C370" s="5" t="n"/>
      <c r="D370" s="5" t="inlineStr">
        <is>
          <t>Ratan Khatri</t>
        </is>
      </c>
      <c r="E370" s="5" t="inlineStr">
        <is>
          <t>Wikipedia</t>
        </is>
      </c>
      <c r="F370" s="5" t="n"/>
      <c r="G370" s="5" t="n"/>
      <c r="H370" s="22" t="inlineStr">
        <is>
          <t>https://en.wikipedia.org/wiki/Ratan_Khatri</t>
        </is>
      </c>
      <c r="I370" s="16" t="n">
        <v>46297</v>
      </c>
      <c r="J370" s="5" t="inlineStr">
        <is>
          <t>His approximate birth year and date of death, and his identity as an Indian gambling figure and film producer known as the Matka King for his role in turning matka betting into a major underground industry.</t>
        </is>
      </c>
      <c r="K370" s="5" t="inlineStr">
        <is>
          <t>Reference encyclopedia</t>
        </is>
      </c>
      <c r="L370" s="5" t="inlineStr">
        <is>
          <t>C</t>
        </is>
      </c>
      <c r="M370" s="5" t="inlineStr">
        <is>
          <t>Collaborator article; downloaded as raw wikitext.</t>
        </is>
      </c>
    </row>
    <row r="371" ht="109" customHeight="1">
      <c r="A371" s="15" t="inlineStr">
        <is>
          <t>SOURCE-370</t>
        </is>
      </c>
      <c r="B371" s="5" t="n"/>
      <c r="C371" s="5" t="n"/>
      <c r="D371" s="5" t="inlineStr">
        <is>
          <t>Ray Panthaki</t>
        </is>
      </c>
      <c r="E371" s="5" t="inlineStr">
        <is>
          <t>Wikipedia</t>
        </is>
      </c>
      <c r="F371" s="5" t="n"/>
      <c r="G371" s="5" t="n"/>
      <c r="H371" s="22" t="inlineStr">
        <is>
          <t>https://en.wikipedia.org/wiki/Ray_Panthaki</t>
        </is>
      </c>
      <c r="I371" s="16" t="n">
        <v>46297</v>
      </c>
      <c r="J371" s="5" t="inlineStr">
        <is>
          <t>Birth date and place, his work as a British actor, writer, director and producer, his television roles in EastEnders, Blessed, Marcella, Gangs of London and Away, the 2006 TMA Theatre Award nomination for Gladiator Games, and the 2021 British Independent Film Award nomination for Boiling Point.</t>
        </is>
      </c>
      <c r="K371" s="5" t="inlineStr">
        <is>
          <t>Reference encyclopedia</t>
        </is>
      </c>
      <c r="L371" s="5" t="inlineStr">
        <is>
          <t>C</t>
        </is>
      </c>
      <c r="M371" s="5" t="inlineStr">
        <is>
          <t>Collaborator article; downloaded as raw wikitext.</t>
        </is>
      </c>
    </row>
    <row r="372" ht="109" customHeight="1">
      <c r="A372" s="15" t="inlineStr">
        <is>
          <t>SOURCE-371</t>
        </is>
      </c>
      <c r="B372" s="5" t="n"/>
      <c r="C372" s="5" t="n"/>
      <c r="D372" s="5" t="inlineStr">
        <is>
          <t>Reema Rakesh Nath</t>
        </is>
      </c>
      <c r="E372" s="5" t="inlineStr">
        <is>
          <t>Wikipedia</t>
        </is>
      </c>
      <c r="F372" s="5" t="n"/>
      <c r="G372" s="5" t="n"/>
      <c r="H372" s="22" t="inlineStr">
        <is>
          <t>https://en.wikipedia.org/wiki/Reema_Rakesh_Nath</t>
        </is>
      </c>
      <c r="I372" s="16" t="n">
        <v>46297</v>
      </c>
      <c r="J372" s="5" t="inlineStr">
        <is>
          <t>Her work as a Bollywood writer, director and producer, scripting the golden jubilee and highest-grossing film Saajan (1991), the films Aarzoo and Hum Tumhare Hain Sanam, her direction of Mohabbat (1997), her marriage to Rakesh Nath, her son Karan Nath and her siblings Tej Sapru and Priti Sapru.</t>
        </is>
      </c>
      <c r="K372" s="5" t="inlineStr">
        <is>
          <t>Reference encyclopedia</t>
        </is>
      </c>
      <c r="L372" s="5" t="inlineStr">
        <is>
          <t>C</t>
        </is>
      </c>
      <c r="M372" s="5" t="inlineStr">
        <is>
          <t>Collaborator article; downloaded as raw wikitext.</t>
        </is>
      </c>
    </row>
    <row r="373" ht="64" customHeight="1">
      <c r="A373" s="15" t="inlineStr">
        <is>
          <t>SOURCE-372</t>
        </is>
      </c>
      <c r="B373" s="5" t="n"/>
      <c r="C373" s="5" t="n"/>
      <c r="D373" s="5" t="inlineStr">
        <is>
          <t>Rensil D'Silva</t>
        </is>
      </c>
      <c r="E373" s="5" t="inlineStr">
        <is>
          <t>Wikipedia</t>
        </is>
      </c>
      <c r="F373" s="5" t="n"/>
      <c r="G373" s="5" t="n"/>
      <c r="H373" s="22" t="inlineStr">
        <is>
          <t>https://en.wikipedia.org/wiki/Rensil_D%27Silva</t>
        </is>
      </c>
      <c r="I373" s="16" t="n">
        <v>46297</v>
      </c>
      <c r="J373" s="5" t="inlineStr">
        <is>
          <t>His origin in Mumbai, his work as an Indian screenwriter and film director, and that he wrote the screenplay for Karan Johar's Student of the Year.</t>
        </is>
      </c>
      <c r="K373" s="5" t="inlineStr">
        <is>
          <t>Reference encyclopedia</t>
        </is>
      </c>
      <c r="L373" s="5" t="inlineStr">
        <is>
          <t>C</t>
        </is>
      </c>
      <c r="M373" s="5" t="inlineStr">
        <is>
          <t>Collaborator article; downloaded as raw wikitext.</t>
        </is>
      </c>
    </row>
    <row r="374" ht="154" customHeight="1">
      <c r="A374" s="15" t="inlineStr">
        <is>
          <t>SOURCE-373</t>
        </is>
      </c>
      <c r="B374" s="5" t="n"/>
      <c r="C374" s="5" t="n"/>
      <c r="D374" s="5" t="inlineStr">
        <is>
          <t>Ritesh Shah</t>
        </is>
      </c>
      <c r="E374" s="5" t="inlineStr">
        <is>
          <t>Wikipedia</t>
        </is>
      </c>
      <c r="F374" s="5" t="n"/>
      <c r="G374" s="5" t="n"/>
      <c r="H374" s="22" t="inlineStr">
        <is>
          <t>https://en.wikipedia.org/wiki/Ritesh_Shah</t>
        </is>
      </c>
      <c r="I374" s="16" t="n">
        <v>46299</v>
      </c>
      <c r="J374" s="5" t="inlineStr">
        <is>
          <t>His birth in Anantnag, Jammu and Kashmir, in 1976, his family's migration to Delhi during the 1990 Kashmiri exodus, his degrees from Hindu College and Jamia Millia Islamia, his start as a playwright with Act One Art Group, his television work including Kagaar, his screenplays and dialogues for Kahaani, Pink, Airlift and Raid, the dialogues of Namastey London, and his Filmfare, Star Screen and Zee Cine awards for Best Dialogue for Pink.</t>
        </is>
      </c>
      <c r="K374" s="5" t="inlineStr">
        <is>
          <t>Reference encyclopedia</t>
        </is>
      </c>
      <c r="L374" s="5" t="inlineStr">
        <is>
          <t>C</t>
        </is>
      </c>
      <c r="M374" s="5" t="inlineStr">
        <is>
          <t>Collaborator article; downloaded as raw wikitext.</t>
        </is>
      </c>
    </row>
    <row r="375" ht="124" customHeight="1">
      <c r="A375" s="15" t="inlineStr">
        <is>
          <t>SOURCE-374</t>
        </is>
      </c>
      <c r="B375" s="5" t="n"/>
      <c r="C375" s="5" t="n"/>
      <c r="D375" s="5" t="inlineStr">
        <is>
          <t>Robin Bhatt</t>
        </is>
      </c>
      <c r="E375" s="5" t="inlineStr">
        <is>
          <t>Wikipedia</t>
        </is>
      </c>
      <c r="F375" s="5" t="n"/>
      <c r="G375" s="5" t="n"/>
      <c r="H375" s="22" t="inlineStr">
        <is>
          <t>https://en.wikipedia.org/wiki/Robin_Bhatt</t>
        </is>
      </c>
      <c r="I375" s="16" t="n">
        <v>46299</v>
      </c>
      <c r="J375" s="5" t="inlineStr">
        <is>
          <t>His work as a Hindi-film screenwriter, his parentage as the son of Nanabhai Bhatt and elder half-brother of Mahesh and Mukesh Bhatt, his debut as a writer with Aashiqui, roughly 66 writing credits and more than ten acting appearances, his award for Baazigar, nominations for Koi Mil Gaya, Krrish and Omkara, and the 2019 Jaipur International Film Festival lifetime achievement award.</t>
        </is>
      </c>
      <c r="K375" s="5" t="inlineStr">
        <is>
          <t>Reference encyclopedia</t>
        </is>
      </c>
      <c r="L375" s="5" t="inlineStr">
        <is>
          <t>C</t>
        </is>
      </c>
      <c r="M375" s="5" t="inlineStr">
        <is>
          <t>Collaborator article; downloaded as raw wikitext.</t>
        </is>
      </c>
    </row>
    <row r="376" ht="124" customHeight="1">
      <c r="A376" s="15" t="inlineStr">
        <is>
          <t>SOURCE-375</t>
        </is>
      </c>
      <c r="B376" s="5" t="n"/>
      <c r="C376" s="5" t="n"/>
      <c r="D376" s="5" t="inlineStr">
        <is>
          <t>Rohena Gera</t>
        </is>
      </c>
      <c r="E376" s="5" t="inlineStr">
        <is>
          <t>Wikipedia</t>
        </is>
      </c>
      <c r="F376" s="5" t="n"/>
      <c r="G376" s="5" t="n"/>
      <c r="H376" s="22" t="inlineStr">
        <is>
          <t>https://en.wikipedia.org/wiki/Rohena_Gera</t>
        </is>
      </c>
      <c r="I376" s="16" t="n">
        <v>46299</v>
      </c>
      <c r="J376" s="5" t="inlineStr">
        <is>
          <t>Her birth in 1973, her studies at Stanford University and Sarah Lawrence College, her screenwriting debut on the television series Jassi Jaissi Koi Nahin in 2003, her 2003 public-service campaign after the Gujarat riots, her documentary What's Love Got to Do with It? (2013), and the awards for her feature Sir, including the Gan Foundation award in Cannes' Semaine de la critique.</t>
        </is>
      </c>
      <c r="K376" s="5" t="inlineStr">
        <is>
          <t>Reference encyclopedia</t>
        </is>
      </c>
      <c r="L376" s="5" t="inlineStr">
        <is>
          <t>C</t>
        </is>
      </c>
      <c r="M376" s="5" t="inlineStr">
        <is>
          <t>Collaborator article; downloaded as raw wikitext.</t>
        </is>
      </c>
    </row>
    <row r="377" ht="124" customHeight="1">
      <c r="A377" s="15" t="inlineStr">
        <is>
          <t>SOURCE-376</t>
        </is>
      </c>
      <c r="B377" s="5" t="n"/>
      <c r="C377" s="5" t="n"/>
      <c r="D377" s="5" t="inlineStr">
        <is>
          <t>Ronnie Screwvala</t>
        </is>
      </c>
      <c r="E377" s="5" t="inlineStr">
        <is>
          <t>Wikipedia</t>
        </is>
      </c>
      <c r="F377" s="5" t="n"/>
      <c r="G377" s="5" t="n"/>
      <c r="H377" s="22" t="inlineStr">
        <is>
          <t>https://en.wikipedia.org/wiki/Ronnie_Screwvala</t>
        </is>
      </c>
      <c r="I377" s="16" t="n">
        <v>46299</v>
      </c>
      <c r="J377" s="5" t="inlineStr">
        <is>
          <t>His birth on 8 September 1956 as Rohinton Soli Screwvala, his founding of UTV Software Communications and its partnerships with News Corp, 20th Century Fox, Disney and Bloomberg, the 2012 divestment of UTV to Disney at an enterprise value of US$1.4 billion, his listings by Esquire and Time, and his later work with the Swades Foundation, UpGrad, U Sports and Unilazer Ventures.</t>
        </is>
      </c>
      <c r="K377" s="5" t="inlineStr">
        <is>
          <t>Reference encyclopedia</t>
        </is>
      </c>
      <c r="L377" s="5" t="inlineStr">
        <is>
          <t>C</t>
        </is>
      </c>
      <c r="M377" s="5" t="inlineStr">
        <is>
          <t>Collaborator article; downloaded as raw wikitext.</t>
        </is>
      </c>
    </row>
    <row r="378" ht="124" customHeight="1">
      <c r="A378" s="15" t="inlineStr">
        <is>
          <t>SOURCE-377</t>
        </is>
      </c>
      <c r="B378" s="5" t="n"/>
      <c r="C378" s="5" t="n"/>
      <c r="D378" s="5" t="inlineStr">
        <is>
          <t>S. A. Chandrasekhar</t>
        </is>
      </c>
      <c r="E378" s="5" t="inlineStr">
        <is>
          <t>Wikipedia</t>
        </is>
      </c>
      <c r="F378" s="5" t="n"/>
      <c r="G378" s="5" t="n"/>
      <c r="H378" s="22" t="inlineStr">
        <is>
          <t>https://en.wikipedia.org/wiki/S._A._Chandrasekhar</t>
        </is>
      </c>
      <c r="I378" s="16" t="n">
        <v>46299</v>
      </c>
      <c r="J378" s="5" t="inlineStr">
        <is>
          <t>His birth on 2 July 1945 as Senapathy Albert Chandrasekaran in Thangachimadam, Tamil Nadu, his directorial debut with Aval Oru Pachai Kuzhanthai (1978), his breakthrough with Sattam Oru Iruttarai (1981), more than seventy films across Tamil, Telugu, Kannada and Hindi, his focus on social issues, his marriage to Shoba Chandrasekhar, and his son C. Joseph Vijay.</t>
        </is>
      </c>
      <c r="K378" s="5" t="inlineStr">
        <is>
          <t>Reference encyclopedia</t>
        </is>
      </c>
      <c r="L378" s="5" t="inlineStr">
        <is>
          <t>C</t>
        </is>
      </c>
      <c r="M378" s="5" t="inlineStr">
        <is>
          <t>Collaborator article; downloaded as raw wikitext.</t>
        </is>
      </c>
    </row>
    <row r="379" ht="139" customHeight="1">
      <c r="A379" s="15" t="inlineStr">
        <is>
          <t>SOURCE-378</t>
        </is>
      </c>
      <c r="B379" s="5" t="n"/>
      <c r="C379" s="5" t="n"/>
      <c r="D379" s="5" t="inlineStr">
        <is>
          <t>S. D. Burman</t>
        </is>
      </c>
      <c r="E379" s="5" t="inlineStr">
        <is>
          <t>Wikipedia</t>
        </is>
      </c>
      <c r="F379" s="5" t="n"/>
      <c r="G379" s="5" t="n"/>
      <c r="H379" s="22" t="inlineStr">
        <is>
          <t>https://en.wikipedia.org/wiki/S._D._Burman</t>
        </is>
      </c>
      <c r="I379" s="16" t="n">
        <v>46299</v>
      </c>
      <c r="J379" s="5" t="inlineStr">
        <is>
          <t>His life dates of 1 October 1906 to 31 October 1975, his membership of the Tripura royal family, his work as a music director and singer, the 1970 National Film Award for Best Male Playback Singer for Aradhana, the 1974 National Film Award for Best Music Direction for Zindagi Zindagi, and his Filmfare Best Music Director nominations for Sujata, Guide, Aradhana, Talaash and Prem Nagar.</t>
        </is>
      </c>
      <c r="K379" s="5" t="inlineStr">
        <is>
          <t>Reference encyclopedia</t>
        </is>
      </c>
      <c r="L379" s="5" t="inlineStr">
        <is>
          <t>C</t>
        </is>
      </c>
      <c r="M379" s="5" t="inlineStr">
        <is>
          <t>Collaborator article; downloaded as raw wikitext.</t>
        </is>
      </c>
    </row>
    <row r="380" ht="139" customHeight="1">
      <c r="A380" s="15" t="inlineStr">
        <is>
          <t>SOURCE-379</t>
        </is>
      </c>
      <c r="B380" s="5" t="n"/>
      <c r="C380" s="5" t="n"/>
      <c r="D380" s="5" t="inlineStr">
        <is>
          <t>S. M. Abbas</t>
        </is>
      </c>
      <c r="E380" s="5" t="inlineStr">
        <is>
          <t>Wikipedia</t>
        </is>
      </c>
      <c r="F380" s="5" t="n"/>
      <c r="G380" s="5" t="n"/>
      <c r="H380" s="22" t="inlineStr">
        <is>
          <t>https://en.wikipedia.org/wiki/S._M._Abbas</t>
        </is>
      </c>
      <c r="I380" s="16" t="n">
        <v>46299</v>
      </c>
      <c r="J380" s="5" t="inlineStr">
        <is>
          <t>His identity as Syed Mohammad Abbas, an Indian film director and screenwriter active chiefly in the 1960s and 1970s, his graduation from Allahabad University and move to Bombay in 1957, his stage work in Allahabad, his first film Ek Jhalak (1957) and additional dialogue on Parvarish (1958), and his credits on Shriman Satyawadi (1960), Kab? Kyoon? Aur Kahan? (1970), Hungama (1971) and Ek Hasina Do Diwane (1972).</t>
        </is>
      </c>
      <c r="K380" s="5" t="inlineStr">
        <is>
          <t>Reference encyclopedia</t>
        </is>
      </c>
      <c r="L380" s="5" t="inlineStr">
        <is>
          <t>C</t>
        </is>
      </c>
      <c r="M380" s="5" t="inlineStr">
        <is>
          <t>Collaborator article; downloaded as raw wikitext. Article is thinly referenced.</t>
        </is>
      </c>
    </row>
    <row r="381" ht="124" customHeight="1">
      <c r="A381" s="15" t="inlineStr">
        <is>
          <t>SOURCE-380</t>
        </is>
      </c>
      <c r="B381" s="5" t="n"/>
      <c r="C381" s="5" t="n"/>
      <c r="D381" s="5" t="inlineStr">
        <is>
          <t>Sachin–Jigar</t>
        </is>
      </c>
      <c r="E381" s="5" t="inlineStr">
        <is>
          <t>Wikipedia</t>
        </is>
      </c>
      <c r="F381" s="5" t="n"/>
      <c r="G381" s="5" t="n"/>
      <c r="H381" s="22" t="inlineStr">
        <is>
          <t>https://en.wikipedia.org/wiki/Sachin%E2%80%93Jigar</t>
        </is>
      </c>
      <c r="I381" s="16" t="n">
        <v>46299</v>
      </c>
      <c r="J381" s="5" t="inlineStr">
        <is>
          <t>The duo's composition of Sachin Sanghvi and Jigar Saraiya, their Gujarati origins and Mumbai base, their earlier work as assistants to Rajesh Roshan and Pritam and as arrangers for A. R. Rahman, Amit Trivedi, Anu Malik, Nadeem–Shravan and Sandesh Shandilya, their formation as a duo in 2009 with a guest song for Life Partner, and Pritam's recommendation that led to F.A.L.T.U.</t>
        </is>
      </c>
      <c r="K381" s="5" t="inlineStr">
        <is>
          <t>Reference encyclopedia</t>
        </is>
      </c>
      <c r="L381" s="5" t="inlineStr">
        <is>
          <t>C</t>
        </is>
      </c>
      <c r="M381" s="5" t="inlineStr">
        <is>
          <t>Collaborator article; downloaded as raw wikitext.</t>
        </is>
      </c>
    </row>
    <row r="382" ht="124" customHeight="1">
      <c r="A382" s="15" t="inlineStr">
        <is>
          <t>SOURCE-381</t>
        </is>
      </c>
      <c r="B382" s="5" t="n"/>
      <c r="C382" s="5" t="n"/>
      <c r="D382" s="5" t="inlineStr">
        <is>
          <t>Saif Ali Khan</t>
        </is>
      </c>
      <c r="E382" s="5" t="inlineStr">
        <is>
          <t>Wikipedia</t>
        </is>
      </c>
      <c r="F382" s="5" t="n"/>
      <c r="G382" s="5" t="n"/>
      <c r="H382" s="22" t="inlineStr">
        <is>
          <t>https://en.wikipedia.org/wiki/Saif_Ali_Khan</t>
        </is>
      </c>
      <c r="I382" s="16" t="n">
        <v>46299</v>
      </c>
      <c r="J382" s="5" t="inlineStr">
        <is>
          <t>His birth on 16 August 1970 as the son of Sharmila Tagore and Mansoor Ali Khan Pataudi, his acting debut in Parampara (1993), his National Film Award, seven Filmfare Awards and the Padma Shri in 2010, his leading roles in Dil Chahta Hai, Kal Ho Naa Ho, Hum Tum, Parineeta, Salaam Namaste, Omkara, Race, Love Aaj Kal and Cocktail, and his work as a producer.</t>
        </is>
      </c>
      <c r="K382" s="5" t="inlineStr">
        <is>
          <t>Reference encyclopedia</t>
        </is>
      </c>
      <c r="L382" s="5" t="inlineStr">
        <is>
          <t>C</t>
        </is>
      </c>
      <c r="M382" s="5" t="inlineStr">
        <is>
          <t>Collaborator article; downloaded as raw wikitext.</t>
        </is>
      </c>
    </row>
    <row r="383" ht="124" customHeight="1">
      <c r="A383" s="15" t="inlineStr">
        <is>
          <t>SOURCE-382</t>
        </is>
      </c>
      <c r="B383" s="5" t="n"/>
      <c r="C383" s="5" t="n"/>
      <c r="D383" s="5" t="inlineStr">
        <is>
          <t>Sajid Khan (director)</t>
        </is>
      </c>
      <c r="E383" s="5" t="inlineStr">
        <is>
          <t>Wikipedia</t>
        </is>
      </c>
      <c r="F383" s="5" t="n"/>
      <c r="G383" s="5" t="n"/>
      <c r="H383" s="22" t="inlineStr">
        <is>
          <t>https://en.wikipedia.org/wiki/Sajid_Khan_(director)</t>
        </is>
      </c>
      <c r="I383" s="16" t="n">
        <v>46299</v>
      </c>
      <c r="J383" s="5" t="inlineStr">
        <is>
          <t>His birth in Mumbai to the stuntman-turned-director Kamran Khan and Menaka Khan, his sister Farah Khan and cousins Farhan and Zoya Akhtar, his education at Maneckji Cooper School and Mithibai College, his directorial start with a segment of Darna Zaroori Hai (2006), and his features Heyy Babyy (2007), Housefull (2010), Housefull 2 (2012), Himmatwala (2013) and Humshakals (2014).</t>
        </is>
      </c>
      <c r="K383" s="5" t="inlineStr">
        <is>
          <t>Reference encyclopedia</t>
        </is>
      </c>
      <c r="L383" s="5" t="inlineStr">
        <is>
          <t>C</t>
        </is>
      </c>
      <c r="M383" s="5" t="inlineStr">
        <is>
          <t>Collaborator article; downloaded as raw wikitext. Distinct from the actor and singer Sajid Khan (1951-2023).</t>
        </is>
      </c>
    </row>
    <row r="384" ht="109" customHeight="1">
      <c r="A384" s="15" t="inlineStr">
        <is>
          <t>SOURCE-383</t>
        </is>
      </c>
      <c r="B384" s="5" t="n"/>
      <c r="C384" s="5" t="n"/>
      <c r="D384" s="5" t="inlineStr">
        <is>
          <t>Sajid Nadiadwala</t>
        </is>
      </c>
      <c r="E384" s="5" t="inlineStr">
        <is>
          <t>Wikipedia</t>
        </is>
      </c>
      <c r="F384" s="5" t="n"/>
      <c r="G384" s="5" t="n"/>
      <c r="H384" s="22" t="inlineStr">
        <is>
          <t>https://en.wikipedia.org/wiki/Sajid_Nadiadwala</t>
        </is>
      </c>
      <c r="I384" s="16" t="n">
        <v>46299</v>
      </c>
      <c r="J384" s="5" t="inlineStr">
        <is>
          <t>His birth on 18 February 1966, his descent from the producer A. K. Nadiadwala, his early work as an assistant director on Ghulami, his founding of Nadiadwala Grandson Entertainment at twenty-five, his production of Waqt Hamara Hai (1993), the Housefull and Baaghi franchises, and his directorial debut with Kick.</t>
        </is>
      </c>
      <c r="K384" s="5" t="inlineStr">
        <is>
          <t>Reference encyclopedia</t>
        </is>
      </c>
      <c r="L384" s="5" t="inlineStr">
        <is>
          <t>C</t>
        </is>
      </c>
      <c r="M384" s="5" t="inlineStr">
        <is>
          <t>Collaborator article; downloaded as raw wikitext.</t>
        </is>
      </c>
    </row>
    <row r="385" ht="124" customHeight="1">
      <c r="A385" s="15" t="inlineStr">
        <is>
          <t>SOURCE-384</t>
        </is>
      </c>
      <c r="B385" s="5" t="n"/>
      <c r="C385" s="5" t="n"/>
      <c r="D385" s="5" t="inlineStr">
        <is>
          <t>Salim Khan</t>
        </is>
      </c>
      <c r="E385" s="5" t="inlineStr">
        <is>
          <t>Wikipedia</t>
        </is>
      </c>
      <c r="F385" s="5" t="n"/>
      <c r="G385" s="5" t="n"/>
      <c r="H385" s="22" t="inlineStr">
        <is>
          <t>https://en.wikipedia.org/wiki/Salim_Khan</t>
        </is>
      </c>
      <c r="I385" s="16" t="n">
        <v>46299</v>
      </c>
      <c r="J385" s="5" t="inlineStr">
        <is>
          <t>His birth on 24 November 1935, his work as one half of the screenwriting duo Salim-Javed with Javed Akhtar, the division of labour in which he developed stories and characters, their films Seeta Aur Geeta, Zanjeer, Deewaar, Sholay, Trishul, Kranti and Don, their part in creating the angry young man archetype, and his sons Salman, Arbaaz and Sohail Khan.</t>
        </is>
      </c>
      <c r="K385" s="5" t="inlineStr">
        <is>
          <t>Reference encyclopedia</t>
        </is>
      </c>
      <c r="L385" s="5" t="inlineStr">
        <is>
          <t>C</t>
        </is>
      </c>
      <c r="M385" s="5" t="inlineStr">
        <is>
          <t>Collaborator article; downloaded as raw wikitext.</t>
        </is>
      </c>
    </row>
    <row r="386" ht="49" customHeight="1">
      <c r="A386" s="15" t="inlineStr">
        <is>
          <t>SOURCE-385</t>
        </is>
      </c>
      <c r="B386" s="5" t="n"/>
      <c r="C386" s="5" t="n"/>
      <c r="D386" s="5" t="inlineStr">
        <is>
          <t>Samir Ganguly</t>
        </is>
      </c>
      <c r="E386" s="5" t="inlineStr">
        <is>
          <t>Wikipedia</t>
        </is>
      </c>
      <c r="F386" s="5" t="n"/>
      <c r="G386" s="5" t="n"/>
      <c r="H386" s="22" t="inlineStr">
        <is>
          <t>https://en.wikipedia.org/wiki/Samir_Ganguly</t>
        </is>
      </c>
      <c r="I386" s="16" t="n">
        <v>46299</v>
      </c>
      <c r="J386" s="5" t="inlineStr">
        <is>
          <t>His work as an Indian film director and his direction of many episodes of the television serial Paying Guest.</t>
        </is>
      </c>
      <c r="K386" s="5" t="inlineStr">
        <is>
          <t>Reference encyclopedia</t>
        </is>
      </c>
      <c r="L386" s="5" t="inlineStr">
        <is>
          <t>C</t>
        </is>
      </c>
      <c r="M386" s="5" t="inlineStr">
        <is>
          <t>Collaborator article; downloaded as raw wikitext. A short stub with almost no career detail.</t>
        </is>
      </c>
    </row>
    <row r="387" ht="124" customHeight="1">
      <c r="A387" s="15" t="inlineStr">
        <is>
          <t>SOURCE-386</t>
        </is>
      </c>
      <c r="B387" s="5" t="n"/>
      <c r="C387" s="5" t="n"/>
      <c r="D387" s="5" t="inlineStr">
        <is>
          <t>Sandesh Shandilya</t>
        </is>
      </c>
      <c r="E387" s="5" t="inlineStr">
        <is>
          <t>Wikipedia</t>
        </is>
      </c>
      <c r="F387" s="5" t="n"/>
      <c r="G387" s="5" t="n"/>
      <c r="H387" s="22" t="inlineStr">
        <is>
          <t>https://en.wikipedia.org/wiki/Sandesh_Shandilya</t>
        </is>
      </c>
      <c r="I387" s="16" t="n">
        <v>46299</v>
      </c>
      <c r="J387" s="5" t="inlineStr">
        <is>
          <t>His work as a Hindi-film composer with more than twenty soundtracks, his training under Ustad Sultan Khan, his songs for Kabhi Khushi Kabhie Gham (2001), Chameli (2004), Socha Na Tha (2005) and Jab We Met (2007), the praise for Aaoge Jab Tum, and the International Viewers' Choice Award at the 2001 MTV Video Music Awards for the album Piya Basanti.</t>
        </is>
      </c>
      <c r="K387" s="5" t="inlineStr">
        <is>
          <t>Reference encyclopedia</t>
        </is>
      </c>
      <c r="L387" s="5" t="inlineStr">
        <is>
          <t>C</t>
        </is>
      </c>
      <c r="M387" s="5" t="inlineStr">
        <is>
          <t>Collaborator article; downloaded as raw wikitext.</t>
        </is>
      </c>
    </row>
    <row r="388" ht="139" customHeight="1">
      <c r="A388" s="15" t="inlineStr">
        <is>
          <t>SOURCE-387</t>
        </is>
      </c>
      <c r="B388" s="5" t="n"/>
      <c r="C388" s="5" t="n"/>
      <c r="D388" s="5" t="inlineStr">
        <is>
          <t>Sandow M. M. A. Chinnappa Thevar</t>
        </is>
      </c>
      <c r="E388" s="5" t="inlineStr">
        <is>
          <t>Wikipedia</t>
        </is>
      </c>
      <c r="F388" s="5" t="n"/>
      <c r="G388" s="5" t="n"/>
      <c r="H388" s="22" t="inlineStr">
        <is>
          <t>https://en.wikipedia.org/wiki/Sandow_M._M._A._Chinnappa_Thevar</t>
        </is>
      </c>
      <c r="I388" s="16" t="n">
        <v>46299</v>
      </c>
      <c r="J388" s="5" t="inlineStr">
        <is>
          <t>His life dates of 28 June 1915 to 8 September 1978, his career as a Tamil-cinema producer from the mid-1950s to the 1970s, his Devar Films and Dhandayupathi Films banners, his sixteen films with M. G. Ramachandran, his films featuring animals, his production of the Hindi hit Haathi Mere Saathi (1971), the origin of his Sandow nickname, and his death during the shooting of Thai Meethu Sathiyam.</t>
        </is>
      </c>
      <c r="K388" s="5" t="inlineStr">
        <is>
          <t>Reference encyclopedia</t>
        </is>
      </c>
      <c r="L388" s="5" t="inlineStr">
        <is>
          <t>C</t>
        </is>
      </c>
      <c r="M388" s="5" t="inlineStr">
        <is>
          <t>Collaborator article; downloaded as raw wikitext.</t>
        </is>
      </c>
    </row>
    <row r="389" ht="109" customHeight="1">
      <c r="A389" s="15" t="inlineStr">
        <is>
          <t>SOURCE-388</t>
        </is>
      </c>
      <c r="B389" s="5" t="n"/>
      <c r="C389" s="5" t="n"/>
      <c r="D389" s="5" t="inlineStr">
        <is>
          <t>Sanjay Chhel</t>
        </is>
      </c>
      <c r="E389" s="5" t="inlineStr">
        <is>
          <t>Wikipedia</t>
        </is>
      </c>
      <c r="F389" s="5" t="n"/>
      <c r="G389" s="5" t="n"/>
      <c r="H389" s="22" t="inlineStr">
        <is>
          <t>https://en.wikipedia.org/wiki/Sanjay_Chhel</t>
        </is>
      </c>
      <c r="I389" s="16" t="n">
        <v>46299</v>
      </c>
      <c r="J389" s="5" t="inlineStr">
        <is>
          <t>His birth on 14 October 1967 at Dwarka, Gujarat, his childhood in Mumbai as the son of the art director Chhel Vayeda, his one-act plays, his writing of more than thirty television serials, his Hindi film song lyrics, and the commercial failure of Patel Ki Punjabi Shaadi on its release on 15 September 2017.</t>
        </is>
      </c>
      <c r="K389" s="5" t="inlineStr">
        <is>
          <t>Reference encyclopedia</t>
        </is>
      </c>
      <c r="L389" s="5" t="inlineStr">
        <is>
          <t>C</t>
        </is>
      </c>
      <c r="M389" s="5" t="inlineStr">
        <is>
          <t>Collaborator article; downloaded as raw wikitext.</t>
        </is>
      </c>
    </row>
    <row r="390" ht="94" customHeight="1">
      <c r="A390" s="15" t="inlineStr">
        <is>
          <t>SOURCE-389</t>
        </is>
      </c>
      <c r="B390" s="5" t="n"/>
      <c r="C390" s="5" t="n"/>
      <c r="D390" s="5" t="inlineStr">
        <is>
          <t>Sanjoy Chowdhury</t>
        </is>
      </c>
      <c r="E390" s="5" t="inlineStr">
        <is>
          <t>Wikipedia</t>
        </is>
      </c>
      <c r="F390" s="5" t="n"/>
      <c r="G390" s="5" t="n"/>
      <c r="H390" s="22" t="inlineStr">
        <is>
          <t>https://en.wikipedia.org/wiki/Sanjoy_Chowdhury</t>
        </is>
      </c>
      <c r="I390" s="16" t="n">
        <v>46299</v>
      </c>
      <c r="J390" s="5" t="inlineStr">
        <is>
          <t>His work as an Indian film score composer, his parentage as the son of Salil Chowdhury, his 1998 debut scoring the Malayalam film Ennu Swantham Janakikutty, his background score for Sarfarosh, his specialisation in background music, and his Star Screen Award nomination for A Wednesday!.</t>
        </is>
      </c>
      <c r="K390" s="5" t="inlineStr">
        <is>
          <t>Reference encyclopedia</t>
        </is>
      </c>
      <c r="L390" s="5" t="inlineStr">
        <is>
          <t>C</t>
        </is>
      </c>
      <c r="M390" s="5" t="inlineStr">
        <is>
          <t>Collaborator article; downloaded as raw wikitext.</t>
        </is>
      </c>
    </row>
    <row r="391" ht="109" customHeight="1">
      <c r="A391" s="15" t="inlineStr">
        <is>
          <t>SOURCE-390</t>
        </is>
      </c>
      <c r="B391" s="5" t="n"/>
      <c r="C391" s="5" t="n"/>
      <c r="D391" s="5" t="inlineStr">
        <is>
          <t>Santosh Anand</t>
        </is>
      </c>
      <c r="E391" s="5" t="inlineStr">
        <is>
          <t>Wikipedia</t>
        </is>
      </c>
      <c r="F391" s="5" t="n"/>
      <c r="G391" s="5" t="n"/>
      <c r="H391" s="22" t="inlineStr">
        <is>
          <t>https://en.wikipedia.org/wiki/Santosh_Anand</t>
        </is>
      </c>
      <c r="I391" s="16" t="n">
        <v>46299</v>
      </c>
      <c r="J391" s="5" t="inlineStr">
        <is>
          <t>His birth on 5 March 1929 in Sikandrabad, his study of library science at Aligarh Muslim University, his debut with Purab Aur Paschim (1970), his lyrics for Shor, Roti Kapda Aur Makaan and Prem Rog, two Filmfare Awards for Best Lyricist in 1975 and 1983, and the Yash Bharti Award in 2016.</t>
        </is>
      </c>
      <c r="K391" s="5" t="inlineStr">
        <is>
          <t>Reference encyclopedia</t>
        </is>
      </c>
      <c r="L391" s="5" t="inlineStr">
        <is>
          <t>C</t>
        </is>
      </c>
      <c r="M391" s="5" t="inlineStr">
        <is>
          <t>Collaborator article; downloaded as raw wikitext.</t>
        </is>
      </c>
    </row>
    <row r="392" ht="124" customHeight="1">
      <c r="A392" s="15" t="inlineStr">
        <is>
          <t>SOURCE-391</t>
        </is>
      </c>
      <c r="B392" s="5" t="n"/>
      <c r="C392" s="5" t="n"/>
      <c r="D392" s="5" t="inlineStr">
        <is>
          <t>Santosh Saroj</t>
        </is>
      </c>
      <c r="E392" s="5" t="inlineStr">
        <is>
          <t>Wikipedia</t>
        </is>
      </c>
      <c r="F392" s="5" t="n"/>
      <c r="G392" s="5" t="n"/>
      <c r="H392" s="22" t="inlineStr">
        <is>
          <t>https://en.wikipedia.org/wiki/Santosh_Saroj</t>
        </is>
      </c>
      <c r="I392" s="16" t="n">
        <v>46299</v>
      </c>
      <c r="J392" s="5" t="inlineStr">
        <is>
          <t>His work as a Bollywood screenwriter and dialogue writer, his best-known credits Shahenshah (1988), Agneepath (1990) and Major Saab (1998), his last writing credit on Sirf (2008), his earlier work as an assistant director on Mausam and Raaste Ka Patthar, his collaborations with Mukul Anand and Tinu Anand, and his direction of two films.</t>
        </is>
      </c>
      <c r="K392" s="5" t="inlineStr">
        <is>
          <t>Reference encyclopedia</t>
        </is>
      </c>
      <c r="L392" s="5" t="inlineStr">
        <is>
          <t>C</t>
        </is>
      </c>
      <c r="M392" s="5" t="inlineStr">
        <is>
          <t>Collaborator article; downloaded as raw wikitext. Thinly referenced.</t>
        </is>
      </c>
    </row>
    <row r="393" ht="139" customHeight="1">
      <c r="A393" s="15" t="inlineStr">
        <is>
          <t>SOURCE-392</t>
        </is>
      </c>
      <c r="B393" s="5" t="n"/>
      <c r="C393" s="5" t="n"/>
      <c r="D393" s="5" t="inlineStr">
        <is>
          <t>Saumya Joshi</t>
        </is>
      </c>
      <c r="E393" s="5" t="inlineStr">
        <is>
          <t>Wikipedia</t>
        </is>
      </c>
      <c r="F393" s="5" t="n"/>
      <c r="G393" s="5" t="n"/>
      <c r="H393" s="22" t="inlineStr">
        <is>
          <t>https://en.wikipedia.org/wiki/Saumya_Joshi</t>
        </is>
      </c>
      <c r="I393" s="16" t="n">
        <v>46299</v>
      </c>
      <c r="J393" s="5" t="inlineStr">
        <is>
          <t>His birth on 3 July 1973 in Ahmedabad, his degrees from H. K. Arts College and Gujarat University, his years teaching English literature, his founding of the Fade-In Theatre in 2010, his Gujarati plays Welcome Zindagi and 102 Not Out, his poetry collection Greenroomma (2008), and the Chandravadan Chimanlal Mehta Award in 2013, the Yuva Gaurav Puraskar in 2007 and the Takhtasinh Parmar Prize in 2008-09.</t>
        </is>
      </c>
      <c r="K393" s="5" t="inlineStr">
        <is>
          <t>Reference encyclopedia</t>
        </is>
      </c>
      <c r="L393" s="5" t="inlineStr">
        <is>
          <t>C</t>
        </is>
      </c>
      <c r="M393" s="5" t="inlineStr">
        <is>
          <t>Collaborator article; downloaded as raw wikitext.</t>
        </is>
      </c>
    </row>
    <row r="394" ht="124" customHeight="1">
      <c r="A394" s="15" t="inlineStr">
        <is>
          <t>SOURCE-393</t>
        </is>
      </c>
      <c r="B394" s="5" t="n"/>
      <c r="C394" s="5" t="n"/>
      <c r="D394" s="5" t="inlineStr">
        <is>
          <t>Shafi Inamdar</t>
        </is>
      </c>
      <c r="E394" s="5" t="inlineStr">
        <is>
          <t>Wikipedia</t>
        </is>
      </c>
      <c r="F394" s="5" t="n"/>
      <c r="G394" s="5" t="n"/>
      <c r="H394" s="22" t="inlineStr">
        <is>
          <t>https://en.wikipedia.org/wiki/Shafi_Inamdar</t>
        </is>
      </c>
      <c r="I394" s="16" t="n">
        <v>46299</v>
      </c>
      <c r="J394" s="5" t="inlineStr">
        <is>
          <t>His life dates of 23 October 1945 to 13 March 1996, his education in Ratnagiri and Mumbai and his B.Sc. from K. C. College in 1963, his film debut in Vijeta and his roles in Ardh Satya, Aaj Ki Awaz, Awam, Nazrana and Love 86, his television fame in Yeh Jo Hai Zindagi, his marriage to the actress Bhakti Barve, and his death from a heart attack.</t>
        </is>
      </c>
      <c r="K394" s="5" t="inlineStr">
        <is>
          <t>Reference encyclopedia</t>
        </is>
      </c>
      <c r="L394" s="5" t="inlineStr">
        <is>
          <t>C</t>
        </is>
      </c>
      <c r="M394" s="5" t="inlineStr">
        <is>
          <t>Collaborator article; downloaded as raw wikitext.</t>
        </is>
      </c>
    </row>
    <row r="395" ht="109" customHeight="1">
      <c r="A395" s="15" t="inlineStr">
        <is>
          <t>SOURCE-394</t>
        </is>
      </c>
      <c r="B395" s="5" t="n"/>
      <c r="C395" s="5" t="n"/>
      <c r="D395" s="5" t="inlineStr">
        <is>
          <t>Shakun Batra</t>
        </is>
      </c>
      <c r="E395" s="5" t="inlineStr">
        <is>
          <t>Wikipedia</t>
        </is>
      </c>
      <c r="F395" s="5" t="n"/>
      <c r="G395" s="5" t="n"/>
      <c r="H395" s="22" t="inlineStr">
        <is>
          <t>https://en.wikipedia.org/wiki/Shakun_Batra</t>
        </is>
      </c>
      <c r="I395" s="16" t="n">
        <v>46299</v>
      </c>
      <c r="J395" s="5" t="inlineStr">
        <is>
          <t>His birth on 1 January 1983, his early work as a bit-part actor in Don: The Chase Begins Again (2006) and as an assistant director on Jaane Tu... Ya Jaane Na and Rock On!!, his writing and directing debut with Ek Main Aur Ekk Tu (2012), the New York Times notice of that film, and his later Kapoor &amp; Sons (2016) and Gehraiyaan (2022).</t>
        </is>
      </c>
      <c r="K395" s="5" t="inlineStr">
        <is>
          <t>Reference encyclopedia</t>
        </is>
      </c>
      <c r="L395" s="5" t="inlineStr">
        <is>
          <t>C</t>
        </is>
      </c>
      <c r="M395" s="5" t="inlineStr">
        <is>
          <t>Collaborator article; downloaded as raw wikitext.</t>
        </is>
      </c>
    </row>
    <row r="396" ht="139" customHeight="1">
      <c r="A396" s="15" t="inlineStr">
        <is>
          <t>SOURCE-395</t>
        </is>
      </c>
      <c r="B396" s="5" t="n"/>
      <c r="C396" s="5" t="n"/>
      <c r="D396" s="5" t="inlineStr">
        <is>
          <t>Shamir Tandon</t>
        </is>
      </c>
      <c r="E396" s="5" t="inlineStr">
        <is>
          <t>Wikipedia</t>
        </is>
      </c>
      <c r="F396" s="5" t="n"/>
      <c r="G396" s="5" t="n"/>
      <c r="H396" s="22" t="inlineStr">
        <is>
          <t>https://en.wikipedia.org/wiki/Shamir_Tandon</t>
        </is>
      </c>
      <c r="I396" s="16" t="n">
        <v>46299</v>
      </c>
      <c r="J396" s="5" t="inlineStr">
        <is>
          <t>His Mumbai middle-class origins and early loss of his parents, his cost accountancy and MBA from Narsee Monjee and his corporate career with Kotak Mahindra, Birla Global and Virgin EMI, his debut as a music director with Stumped (2003), his scores for Page 3, Corporate, Traffic Signal, Mission Istaanbul and Inkaar, his work with Lata Mangeshkar, Asha Bhosle, Jagjit Singh and Manna Dey, and his Music Boutique company.</t>
        </is>
      </c>
      <c r="K396" s="5" t="inlineStr">
        <is>
          <t>Reference encyclopedia</t>
        </is>
      </c>
      <c r="L396" s="5" t="inlineStr">
        <is>
          <t>C</t>
        </is>
      </c>
      <c r="M396" s="5" t="inlineStr">
        <is>
          <t>Collaborator article; downloaded as raw wikitext.</t>
        </is>
      </c>
    </row>
    <row r="397" ht="169" customHeight="1">
      <c r="A397" s="15" t="inlineStr">
        <is>
          <t>SOURCE-396</t>
        </is>
      </c>
      <c r="B397" s="5" t="n"/>
      <c r="C397" s="5" t="n"/>
      <c r="D397" s="5" t="inlineStr">
        <is>
          <t>Shashi Kapoor</t>
        </is>
      </c>
      <c r="E397" s="5" t="inlineStr">
        <is>
          <t>Wikipedia</t>
        </is>
      </c>
      <c r="F397" s="5" t="n"/>
      <c r="G397" s="5" t="n"/>
      <c r="H397" s="22" t="inlineStr">
        <is>
          <t>https://en.wikipedia.org/wiki/Shashi_Kapoor</t>
        </is>
      </c>
      <c r="I397" s="16" t="n">
        <v>46299</v>
      </c>
      <c r="J397" s="5" t="inlineStr">
        <is>
          <t>His life dates of 18 March 1938 to 4 December 2017, his birth as Balbir Raj Kapoor and parentage as the youngest son of Prithviraj Kapoor, his child debut in Aag (1948) and adult debut in Dharmputra (1961), his breakthrough with Waqt and Jab Jab Phool Khile in 1965, his successes through the 1970s and 1980s including Deewaar, Kabhi Kabhie, Trishul and Namak Halaal, his four National Film Awards and two Filmfare Awards, and the Padma Bhushan in 2011 and Dadasaheb Phalke Award in 2014.</t>
        </is>
      </c>
      <c r="K397" s="5" t="inlineStr">
        <is>
          <t>Reference encyclopedia</t>
        </is>
      </c>
      <c r="L397" s="5" t="inlineStr">
        <is>
          <t>C</t>
        </is>
      </c>
      <c r="M397" s="5" t="inlineStr">
        <is>
          <t>Collaborator article; downloaded as raw wikitext.</t>
        </is>
      </c>
    </row>
    <row r="398" ht="109" customHeight="1">
      <c r="A398" s="15" t="inlineStr">
        <is>
          <t>SOURCE-397</t>
        </is>
      </c>
      <c r="B398" s="5" t="n"/>
      <c r="C398" s="5" t="n"/>
      <c r="D398" s="5" t="inlineStr">
        <is>
          <t>Shibani Bathija</t>
        </is>
      </c>
      <c r="E398" s="5" t="inlineStr">
        <is>
          <t>Wikipedia</t>
        </is>
      </c>
      <c r="F398" s="5" t="n"/>
      <c r="G398" s="5" t="n"/>
      <c r="H398" s="22" t="inlineStr">
        <is>
          <t>https://en.wikipedia.org/wiki/Shibani_Bathija</t>
        </is>
      </c>
      <c r="I398" s="16" t="n">
        <v>46299</v>
      </c>
      <c r="J398" s="5" t="inlineStr">
        <is>
          <t>Her work as a Hindi-film screenwriter, her studies at DePauw University and San Francisco State, her start in advertising with Sony and her introduction to Karan Johar and Yash Raj Films, her Filmfare Best Screenplay nomination for Kabhi Alvida Naa Kehna shared with Johar, and her credits on Kidnap (2008) and My Name Is Khan (2010).</t>
        </is>
      </c>
      <c r="K398" s="5" t="inlineStr">
        <is>
          <t>Reference encyclopedia</t>
        </is>
      </c>
      <c r="L398" s="5" t="inlineStr">
        <is>
          <t>C</t>
        </is>
      </c>
      <c r="M398" s="5" t="inlineStr">
        <is>
          <t>Collaborator article; downloaded as raw wikitext.</t>
        </is>
      </c>
    </row>
    <row r="399" ht="124" customHeight="1">
      <c r="A399" s="15" t="inlineStr">
        <is>
          <t>SOURCE-398</t>
        </is>
      </c>
      <c r="B399" s="5" t="n"/>
      <c r="C399" s="5" t="n"/>
      <c r="D399" s="5" t="inlineStr">
        <is>
          <t>Shoba Chandrasekhar</t>
        </is>
      </c>
      <c r="E399" s="5" t="inlineStr">
        <is>
          <t>Wikipedia</t>
        </is>
      </c>
      <c r="F399" s="5" t="n"/>
      <c r="G399" s="5" t="n"/>
      <c r="H399" s="22" t="inlineStr">
        <is>
          <t>https://en.wikipedia.org/wiki/Shoba_Chandrasekhar</t>
        </is>
      </c>
      <c r="I399" s="16" t="n">
        <v>46299</v>
      </c>
      <c r="J399" s="5" t="inlineStr">
        <is>
          <t>Her birth on 24 August 1948, her career as a playback singer, screenwriter, producer and director, her first film song from Iru Malargal, her stories for films directed by her husband S. A. Chandrasekhar, her production of ten films and stories for more than fifty, her direction of Nanbargal and Innisai Mazhai, her marriage on 24 April 1973, and her son Vijay.</t>
        </is>
      </c>
      <c r="K399" s="5" t="inlineStr">
        <is>
          <t>Reference encyclopedia</t>
        </is>
      </c>
      <c r="L399" s="5" t="inlineStr">
        <is>
          <t>C</t>
        </is>
      </c>
      <c r="M399" s="5" t="inlineStr">
        <is>
          <t>Collaborator article; downloaded as raw wikitext.</t>
        </is>
      </c>
    </row>
    <row r="400" ht="109" customHeight="1">
      <c r="A400" s="15" t="inlineStr">
        <is>
          <t>SOURCE-399</t>
        </is>
      </c>
      <c r="B400" s="5" t="n"/>
      <c r="C400" s="5" t="n"/>
      <c r="D400" s="5" t="inlineStr">
        <is>
          <t>Shobha Kapoor</t>
        </is>
      </c>
      <c r="E400" s="5" t="inlineStr">
        <is>
          <t>Wikipedia</t>
        </is>
      </c>
      <c r="F400" s="5" t="n"/>
      <c r="G400" s="5" t="n"/>
      <c r="H400" s="22" t="inlineStr">
        <is>
          <t>https://en.wikipedia.org/wiki/Shobha_Kapoor</t>
        </is>
      </c>
      <c r="I400" s="16" t="n">
        <v>46299</v>
      </c>
      <c r="J400" s="5" t="inlineStr">
        <is>
          <t>Her birth on 1 February 1949, her work before marriage as an air hostess, her marriage to the actor Jeetendra, her children Ekta and Tusshar Kapoor, her position as managing director of Balaji Telefilms, her responsibility for administration and production there, and the films produced under Balaji Motion Pictures.</t>
        </is>
      </c>
      <c r="K400" s="5" t="inlineStr">
        <is>
          <t>Reference encyclopedia</t>
        </is>
      </c>
      <c r="L400" s="5" t="inlineStr">
        <is>
          <t>C</t>
        </is>
      </c>
      <c r="M400" s="5" t="inlineStr">
        <is>
          <t>Collaborator article; downloaded as raw wikitext.</t>
        </is>
      </c>
    </row>
    <row r="401" ht="49" customHeight="1">
      <c r="A401" s="15" t="inlineStr">
        <is>
          <t>SOURCE-400</t>
        </is>
      </c>
      <c r="B401" s="5" t="n"/>
      <c r="C401" s="5" t="n"/>
      <c r="D401" s="5" t="inlineStr">
        <is>
          <t>Shyam Goel</t>
        </is>
      </c>
      <c r="E401" s="5" t="inlineStr">
        <is>
          <t>Wikipedia</t>
        </is>
      </c>
      <c r="F401" s="5" t="n"/>
      <c r="G401" s="5" t="n"/>
      <c r="H401" s="22" t="inlineStr">
        <is>
          <t>https://en.wikipedia.org/wiki/Shyam_Goel</t>
        </is>
      </c>
      <c r="I401" s="16" t="n">
        <v>46299</v>
      </c>
      <c r="J401" s="5" t="inlineStr">
        <is>
          <t>His work as an Indian screenwriter and his nomination for Best Story for Aitraaz at the 2005 IIFA awards.</t>
        </is>
      </c>
      <c r="K401" s="5" t="inlineStr">
        <is>
          <t>Reference encyclopedia</t>
        </is>
      </c>
      <c r="L401" s="5" t="inlineStr">
        <is>
          <t>C</t>
        </is>
      </c>
      <c r="M401" s="5" t="inlineStr">
        <is>
          <t>Collaborator article; downloaded as raw wikitext. A short stub.</t>
        </is>
      </c>
    </row>
    <row r="402" ht="139" customHeight="1">
      <c r="A402" s="15" t="inlineStr">
        <is>
          <t>SOURCE-401</t>
        </is>
      </c>
      <c r="B402" s="5" t="n"/>
      <c r="C402" s="5" t="n"/>
      <c r="D402" s="5" t="inlineStr">
        <is>
          <t>Siddharth Anand</t>
        </is>
      </c>
      <c r="E402" s="5" t="inlineStr">
        <is>
          <t>Wikipedia</t>
        </is>
      </c>
      <c r="F402" s="5" t="n"/>
      <c r="G402" s="5" t="n"/>
      <c r="H402" s="22" t="inlineStr">
        <is>
          <t>https://en.wikipedia.org/wiki/Siddharth_Anand</t>
        </is>
      </c>
      <c r="I402" s="16" t="n">
        <v>46299</v>
      </c>
      <c r="J402" s="5" t="inlineStr">
        <is>
          <t>His descent from the screenwriter Inder Raj Anand and his father Bittu Anand's production of Shahenshah, his work assisting Kunal Kohli on Mujhse Dosti Karoge and as associate and executive producer and co-writer of the screenplay of Hum Tum (2004), his directorial debut Salaam Namaste (2005), his later Ta Ra Rum Pum, Bachna Ae Haseeno, Anjaana Anjaani, Bang Bang!, War and Pathaan, and his Marflix Pictures company.</t>
        </is>
      </c>
      <c r="K402" s="5" t="inlineStr">
        <is>
          <t>Reference encyclopedia</t>
        </is>
      </c>
      <c r="L402" s="5" t="inlineStr">
        <is>
          <t>C</t>
        </is>
      </c>
      <c r="M402" s="5" t="inlineStr">
        <is>
          <t>Collaborator article; downloaded as raw wikitext.</t>
        </is>
      </c>
    </row>
    <row r="403" ht="109" customHeight="1">
      <c r="A403" s="15" t="inlineStr">
        <is>
          <t>SOURCE-402</t>
        </is>
      </c>
      <c r="B403" s="5" t="n"/>
      <c r="C403" s="5" t="n"/>
      <c r="D403" s="5" t="inlineStr">
        <is>
          <t>Smeep Kang</t>
        </is>
      </c>
      <c r="E403" s="5" t="inlineStr">
        <is>
          <t>Wikipedia</t>
        </is>
      </c>
      <c r="F403" s="5" t="n"/>
      <c r="G403" s="5" t="n"/>
      <c r="H403" s="22" t="inlineStr">
        <is>
          <t>https://en.wikipedia.org/wiki/Smeep_Kang</t>
        </is>
      </c>
      <c r="I403" s="16" t="n">
        <v>46299</v>
      </c>
      <c r="J403" s="5" t="inlineStr">
        <is>
          <t>His birth on 30 January 1973, his chemical engineering degree from Punjab University, his work in Punjabi cinema as director, producer and actor, and his comedies Meri Vahuti Da Viyah (2007), Chak De Phatte (2008), Carry On Jatta (2012), Lucky Di Unlucky Story (2013), Bhaji in Problem and Vaisakhi List (2016).</t>
        </is>
      </c>
      <c r="K403" s="5" t="inlineStr">
        <is>
          <t>Reference encyclopedia</t>
        </is>
      </c>
      <c r="L403" s="5" t="inlineStr">
        <is>
          <t>C</t>
        </is>
      </c>
      <c r="M403" s="5" t="inlineStr">
        <is>
          <t>Collaborator article; downloaded as raw wikitext.</t>
        </is>
      </c>
    </row>
    <row r="404" ht="94" customHeight="1">
      <c r="A404" s="15" t="inlineStr">
        <is>
          <t>SOURCE-403</t>
        </is>
      </c>
      <c r="B404" s="5" t="n"/>
      <c r="C404" s="5" t="n"/>
      <c r="D404" s="5" t="inlineStr">
        <is>
          <t>Subhash Kapoor</t>
        </is>
      </c>
      <c r="E404" s="5" t="inlineStr">
        <is>
          <t>Wikipedia</t>
        </is>
      </c>
      <c r="F404" s="5" t="n"/>
      <c r="G404" s="5" t="n"/>
      <c r="H404" s="22" t="inlineStr">
        <is>
          <t>https://en.wikipedia.org/wiki/Subhash_Kapoor</t>
        </is>
      </c>
      <c r="I404" s="16" t="n">
        <v>46299</v>
      </c>
      <c r="J404" s="5" t="inlineStr">
        <is>
          <t>His MA in Hindi literature and his career as a political journalist in Delhi in the 1990s, his move to Mumbai in 2006, his feature debut Say Salaam India (2007), and his satires Phas Gaye Re Obama (2010), Jolly LLB (2013) and Jolly LLB 2 (2017).</t>
        </is>
      </c>
      <c r="K404" s="5" t="inlineStr">
        <is>
          <t>Reference encyclopedia</t>
        </is>
      </c>
      <c r="L404" s="5" t="inlineStr">
        <is>
          <t>C</t>
        </is>
      </c>
      <c r="M404" s="5" t="inlineStr">
        <is>
          <t>Collaborator article; downloaded as raw wikitext. Note: this is the Jolly LLB director, who shares a name with the Khazana producer credited in this filmography.</t>
        </is>
      </c>
    </row>
    <row r="405" ht="64" customHeight="1">
      <c r="A405" s="15" t="inlineStr">
        <is>
          <t>SOURCE-404</t>
        </is>
      </c>
      <c r="B405" s="5" t="n"/>
      <c r="C405" s="5" t="n"/>
      <c r="D405" s="5" t="inlineStr">
        <is>
          <t>Farebi</t>
        </is>
      </c>
      <c r="E405" s="5" t="inlineStr">
        <is>
          <t>Wikipedia</t>
        </is>
      </c>
      <c r="F405" s="5" t="n"/>
      <c r="G405" s="5" t="n"/>
      <c r="H405" s="22" t="inlineStr">
        <is>
          <t>https://en.wikipedia.org/wiki/Farebi</t>
        </is>
      </c>
      <c r="I405" s="16" t="n">
        <v>46299</v>
      </c>
      <c r="J405" s="5" t="inlineStr">
        <is>
          <t>That Farebi is a 1974 Hindi drama directed by Suresh Issar and Sudesh Issar and produced by Pramod Khanna.</t>
        </is>
      </c>
      <c r="K405" s="5" t="inlineStr">
        <is>
          <t>Reference encyclopedia</t>
        </is>
      </c>
      <c r="L405" s="5" t="inlineStr">
        <is>
          <t>C</t>
        </is>
      </c>
      <c r="M405" s="5" t="inlineStr">
        <is>
          <t>Reached as the redirect target for the search term Sudesh Issar; the only Wikipedia trace of that collaborator. Downloaded as raw wikitext.</t>
        </is>
      </c>
    </row>
    <row r="406" ht="184" customHeight="1">
      <c r="A406" s="15" t="inlineStr">
        <is>
          <t>SOURCE-405</t>
        </is>
      </c>
      <c r="B406" s="5" t="n"/>
      <c r="C406" s="5" t="n"/>
      <c r="D406" s="5" t="inlineStr">
        <is>
          <t>Sudhir Mishra</t>
        </is>
      </c>
      <c r="E406" s="5" t="inlineStr">
        <is>
          <t>Wikipedia</t>
        </is>
      </c>
      <c r="F406" s="5" t="n"/>
      <c r="G406" s="5" t="n"/>
      <c r="H406" s="22" t="inlineStr">
        <is>
          <t>https://en.wikipedia.org/wiki/Sudhir_Mishra</t>
        </is>
      </c>
      <c r="I406" s="16" t="n">
        <v>46299</v>
      </c>
      <c r="J406" s="5" t="inlineStr">
        <is>
          <t>His birth in Lucknow on 22 January 1959, his family including the Banaras Hindu University vice-chancellor Devendra Nath Mishra and the Madhya Pradesh chief minister Dwarka Prasad Mishra, his apprenticeship with Badal Sircar and his time at the Film and Television Institute of India in Pune, his start as an assistant on Jaane Bhi Do Yaaron (1983), Mohan Joshi Hazir Ho! and Khamosh, his directorial debut Yeh Woh Manzil To Nahin (1987), his films Dharavi, Hazaaron Khwaishein Aisi, Chameli and Serious Men, and his three national awards and French Order of Arts and Letters.</t>
        </is>
      </c>
      <c r="K406" s="5" t="inlineStr">
        <is>
          <t>Reference encyclopedia</t>
        </is>
      </c>
      <c r="L406" s="5" t="inlineStr">
        <is>
          <t>C</t>
        </is>
      </c>
      <c r="M406" s="5" t="inlineStr">
        <is>
          <t>Collaborator article; downloaded as raw wikitext. Note: the Kuch Khatti Kuch Meethi writing credit may belong to a different Sudhir Mishra.</t>
        </is>
      </c>
    </row>
    <row r="407" ht="124" customHeight="1">
      <c r="A407" s="15" t="inlineStr">
        <is>
          <t>SOURCE-406</t>
        </is>
      </c>
      <c r="B407" s="5" t="n"/>
      <c r="C407" s="5" t="n"/>
      <c r="D407" s="5" t="inlineStr">
        <is>
          <t>Sujit Kumar</t>
        </is>
      </c>
      <c r="E407" s="5" t="inlineStr">
        <is>
          <t>Wikipedia</t>
        </is>
      </c>
      <c r="F407" s="5" t="n"/>
      <c r="G407" s="5" t="n"/>
      <c r="H407" s="22" t="inlineStr">
        <is>
          <t>https://en.wikipedia.org/wiki/Sujit_Kumar</t>
        </is>
      </c>
      <c r="I407" s="16" t="n">
        <v>46299</v>
      </c>
      <c r="J407" s="5" t="inlineStr">
        <is>
          <t>His life dates of 7 February 1934 to 5 February 2010, his more than 150 Hindi films and at least twenty Bhojpuri films, his lead status in Bhojpuri cinema and character and villain roles in Hindi films, his appearance in Aradhana (1969), his move into film production from the late 1980s, his death from cancer, and the attendance of the Kapoor family at his condolence meeting.</t>
        </is>
      </c>
      <c r="K407" s="5" t="inlineStr">
        <is>
          <t>Reference encyclopedia</t>
        </is>
      </c>
      <c r="L407" s="5" t="inlineStr">
        <is>
          <t>C</t>
        </is>
      </c>
      <c r="M407" s="5" t="inlineStr">
        <is>
          <t>Collaborator article; downloaded as raw wikitext.</t>
        </is>
      </c>
    </row>
    <row r="408" ht="124" customHeight="1">
      <c r="A408" s="15" t="inlineStr">
        <is>
          <t>SOURCE-407</t>
        </is>
      </c>
      <c r="B408" s="5" t="n"/>
      <c r="C408" s="5" t="n"/>
      <c r="D408" s="5" t="inlineStr">
        <is>
          <t>Sumit Arora</t>
        </is>
      </c>
      <c r="E408" s="5" t="inlineStr">
        <is>
          <t>Wikipedia</t>
        </is>
      </c>
      <c r="F408" s="5" t="n"/>
      <c r="G408" s="5" t="n"/>
      <c r="H408" s="22" t="inlineStr">
        <is>
          <t>https://en.wikipedia.org/wiki/Sumit_Arora</t>
        </is>
      </c>
      <c r="I408" s="16" t="n">
        <v>46299</v>
      </c>
      <c r="J408" s="5" t="inlineStr">
        <is>
          <t>His work as an Indian writer and screenwriter in Hindi films and television, his television credits including Chhoona Hai Aasmaan, Dill Mill Gayye and 24, his web series work on Selection Day, The Family Man, Dahaad and Guns &amp; Gulaabs, his dialogues for Stree, Ginny Weds Sunny, 83 and Jawan, and his Star Screen and Zee Cine awards for Best Dialogue for Stree.</t>
        </is>
      </c>
      <c r="K408" s="5" t="inlineStr">
        <is>
          <t>Reference encyclopedia</t>
        </is>
      </c>
      <c r="L408" s="5" t="inlineStr">
        <is>
          <t>C</t>
        </is>
      </c>
      <c r="M408" s="5" t="inlineStr">
        <is>
          <t>Collaborator article; downloaded as raw wikitext.</t>
        </is>
      </c>
    </row>
    <row r="409" ht="169" customHeight="1">
      <c r="A409" s="15" t="inlineStr">
        <is>
          <t>SOURCE-408</t>
        </is>
      </c>
      <c r="B409" s="5" t="n"/>
      <c r="C409" s="5" t="n"/>
      <c r="D409" s="5" t="inlineStr">
        <is>
          <t>Surinder Kapoor</t>
        </is>
      </c>
      <c r="E409" s="5" t="inlineStr">
        <is>
          <t>Wikipedia</t>
        </is>
      </c>
      <c r="F409" s="5" t="n"/>
      <c r="G409" s="5" t="n"/>
      <c r="H409" s="22" t="inlineStr">
        <is>
          <t>https://en.wikipedia.org/wiki/Surinder_Kapoor</t>
        </is>
      </c>
      <c r="I409" s="16" t="n">
        <v>46299</v>
      </c>
      <c r="J409" s="5" t="inlineStr">
        <is>
          <t>His life dates of 23 December 1925 to 24 September 2011, his birth in Peshawar into a Punjabi Hindu family educated in Arya Samaj teachings, his move from Peshawar to Meerut after the 1947 partition and his invitation to Bombay by his cousin Prithviraj Kapoor, his founding of S. K. International Films and his first Hindi success as producer with Shehzada (1972), his presidency of the Film &amp; Television Producers Guild of India from 1995 to 2001, his death from cardiac arrest, and his sons Boney, Anil and Sanjay Kapoor.</t>
        </is>
      </c>
      <c r="K409" s="5" t="inlineStr">
        <is>
          <t>Reference encyclopedia</t>
        </is>
      </c>
      <c r="L409" s="5" t="inlineStr">
        <is>
          <t>C</t>
        </is>
      </c>
      <c r="M409" s="5" t="inlineStr">
        <is>
          <t>Collaborator article; downloaded as raw wikitext.</t>
        </is>
      </c>
    </row>
    <row r="410" ht="94" customHeight="1">
      <c r="A410" s="15" t="inlineStr">
        <is>
          <t>SOURCE-409</t>
        </is>
      </c>
      <c r="B410" s="5" t="n"/>
      <c r="C410" s="5" t="n"/>
      <c r="D410" s="5" t="inlineStr">
        <is>
          <t>Surinder Sodhi</t>
        </is>
      </c>
      <c r="E410" s="5" t="inlineStr">
        <is>
          <t>Wikipedia</t>
        </is>
      </c>
      <c r="F410" s="5" t="n"/>
      <c r="G410" s="5" t="n"/>
      <c r="H410" s="22" t="inlineStr">
        <is>
          <t>https://en.wikipedia.org/wiki/Surinder_Sodhi</t>
        </is>
      </c>
      <c r="I410" s="16" t="n">
        <v>46299</v>
      </c>
      <c r="J410" s="5" t="inlineStr">
        <is>
          <t>His work as an Indian film score composer, often credited as Surendra Sodhi, and his background scores for Deewana, Soldier, Raja Hindustani, Baadshah, Hera Pheri, 23rd March 1931: Shaheed and Special 26, with a 1996 credit on Vijeta as Surender Singh.</t>
        </is>
      </c>
      <c r="K410" s="5" t="inlineStr">
        <is>
          <t>Reference encyclopedia</t>
        </is>
      </c>
      <c r="L410" s="5" t="inlineStr">
        <is>
          <t>C</t>
        </is>
      </c>
      <c r="M410" s="5" t="inlineStr">
        <is>
          <t>Collaborator article; downloaded as raw wikitext. Short article, largely a filmography.</t>
        </is>
      </c>
    </row>
    <row r="411" ht="154" customHeight="1">
      <c r="A411" s="15" t="inlineStr">
        <is>
          <t>SOURCE-410</t>
        </is>
      </c>
      <c r="B411" s="5" t="n"/>
      <c r="C411" s="5" t="n"/>
      <c r="D411" s="5" t="inlineStr">
        <is>
          <t>Sushma Ahuja</t>
        </is>
      </c>
      <c r="E411" s="5" t="inlineStr">
        <is>
          <t>Wikipedia</t>
        </is>
      </c>
      <c r="F411" s="5" t="n"/>
      <c r="G411" s="5" t="n"/>
      <c r="H411" s="22" t="inlineStr">
        <is>
          <t>https://en.wikipedia.org/wiki/Sushma_Ahuja</t>
        </is>
      </c>
      <c r="I411" s="16" t="n">
        <v>46299</v>
      </c>
      <c r="J411" s="5" t="inlineStr">
        <is>
          <t>Her work as an Indian director, writer and actor across Hindi, English and Tamil films and plays, her start as a singer with All India Radio and as a dancer, her work in the Hindi theatre circuit, her move to Madras in 1977 and her work with the Abhudhay theatre group, her encouragement by Singeetham Srinivasa Rao and L. V. Prasad, her apprenticeship under Balu Mahendra, T. Rama Rao and Yash Chopra, and her three children including the actress Richa.</t>
        </is>
      </c>
      <c r="K411" s="5" t="inlineStr">
        <is>
          <t>Reference encyclopedia</t>
        </is>
      </c>
      <c r="L411" s="5" t="inlineStr">
        <is>
          <t>C</t>
        </is>
      </c>
      <c r="M411" s="5" t="inlineStr">
        <is>
          <t>Collaborator article; downloaded as raw wikitext.</t>
        </is>
      </c>
    </row>
    <row r="412" ht="139" customHeight="1">
      <c r="A412" s="15" t="inlineStr">
        <is>
          <t>SOURCE-411</t>
        </is>
      </c>
      <c r="B412" s="5" t="n"/>
      <c r="C412" s="5" t="n"/>
      <c r="D412" s="5" t="inlineStr">
        <is>
          <t>T-Series</t>
        </is>
      </c>
      <c r="E412" s="5" t="inlineStr">
        <is>
          <t>Wikipedia</t>
        </is>
      </c>
      <c r="F412" s="5" t="n"/>
      <c r="G412" s="5" t="n"/>
      <c r="H412" s="22" t="inlineStr">
        <is>
          <t>https://en.wikipedia.org/wiki/T-Series_(company)</t>
        </is>
      </c>
      <c r="I412" s="16" t="n">
        <v>46299</v>
      </c>
      <c r="J412" s="5" t="inlineStr">
        <is>
          <t>That T-Series is the trade name of Super Cassettes Industries Private Limited, an Indian record label and film studio founded by Gulshan Kumar on 11 July 1983, that the T stands for trishula, that it is chaired and managed by Bhushan Kumar with Krishan Kumar and Neeraj Kalyan among its key people, that it is primarily known for Hindi film soundtracks, and that it is the largest music record label in India.</t>
        </is>
      </c>
      <c r="K412" s="5" t="inlineStr">
        <is>
          <t>Reference encyclopedia</t>
        </is>
      </c>
      <c r="L412" s="5" t="inlineStr">
        <is>
          <t>C</t>
        </is>
      </c>
      <c r="M412" s="5" t="inlineStr">
        <is>
          <t>Collaborator article (production banner and record label); downloaded as raw wikitext. The base title T-Series is a disambiguation page.</t>
        </is>
      </c>
    </row>
    <row r="413" ht="169" customHeight="1">
      <c r="A413" s="15" t="inlineStr">
        <is>
          <t>SOURCE-412</t>
        </is>
      </c>
      <c r="B413" s="5" t="n"/>
      <c r="C413" s="5" t="n"/>
      <c r="D413" s="5" t="inlineStr">
        <is>
          <t>T. R. Subba Rao</t>
        </is>
      </c>
      <c r="E413" s="5" t="inlineStr">
        <is>
          <t>Wikipedia</t>
        </is>
      </c>
      <c r="F413" s="5" t="n"/>
      <c r="G413" s="5" t="n"/>
      <c r="H413" s="22" t="inlineStr">
        <is>
          <t>https://en.wikipedia.org/wiki/T._R._Subba_Rao</t>
        </is>
      </c>
      <c r="I413" s="16" t="n">
        <v>46299</v>
      </c>
      <c r="J413" s="5" t="inlineStr">
        <is>
          <t>His life dates of 21 April 1920 to 10 April 1984, his identity as the Kannada novelist and scholar known as TaRaSu, his birth in Chitradurga district and his father's law practice at Harihar, his joining of the Indian freedom movement at seventeen, his standing as a harbinger of the Navya movement in Kannada literature, his novel Durgashtamana and its posthumous Sahitya Akademi award in 1985, and his unfinished autobiography Hindirugi Nodidaaga, completed by his wife and published in 1990.</t>
        </is>
      </c>
      <c r="K413" s="5" t="inlineStr">
        <is>
          <t>Reference encyclopedia</t>
        </is>
      </c>
      <c r="L413" s="5" t="inlineStr">
        <is>
          <t>C</t>
        </is>
      </c>
      <c r="M413" s="5" t="inlineStr">
        <is>
          <t>Collaborator article; downloaded as raw wikitext.</t>
        </is>
      </c>
    </row>
    <row r="414" ht="184" customHeight="1">
      <c r="A414" s="15" t="inlineStr">
        <is>
          <t>SOURCE-413</t>
        </is>
      </c>
      <c r="B414" s="5" t="n"/>
      <c r="C414" s="5" t="n"/>
      <c r="D414" s="5" t="inlineStr">
        <is>
          <t>Tushar Hiranandani</t>
        </is>
      </c>
      <c r="E414" s="5" t="inlineStr">
        <is>
          <t>Wikipedia</t>
        </is>
      </c>
      <c r="F414" s="5" t="n"/>
      <c r="G414" s="5" t="n"/>
      <c r="H414" s="22" t="inlineStr">
        <is>
          <t>https://en.wikipedia.org/wiki/Tushar_Hiranandani</t>
        </is>
      </c>
      <c r="I414" s="16" t="n">
        <v>46299</v>
      </c>
      <c r="J414" s="5" t="inlineStr">
        <is>
          <t>His birth on 13 July 1975 in Mumbai, his family's film distribution company Black and White run by his grandfather Hiranand and father Ashok Hiranandani, his start as a clapper boy on Mann (1999), his writing credits on Masti (2004), Atithi Tum Kab Jaoge? (2010), Housefull 2 (2012), ABCD, Main Tera Hero, Ek Villain (2014), Dishoom (2016) and Half Girlfriend (2017), his collaboration with Milap Zaveri, his position as head of content development at Balaji Motion Pictures, and his directorial debut Saand Ki Aankh (2019) followed by Scam 2003 and Srikanth (2024).</t>
        </is>
      </c>
      <c r="K414" s="5" t="inlineStr">
        <is>
          <t>Reference encyclopedia</t>
        </is>
      </c>
      <c r="L414" s="5" t="inlineStr">
        <is>
          <t>C</t>
        </is>
      </c>
      <c r="M414" s="5" t="inlineStr">
        <is>
          <t>Collaborator article; downloaded as raw wikitext.</t>
        </is>
      </c>
    </row>
    <row r="415" ht="169" customHeight="1">
      <c r="A415" s="15" t="inlineStr">
        <is>
          <t>SOURCE-414</t>
        </is>
      </c>
      <c r="B415" s="5" t="n"/>
      <c r="C415" s="5" t="n"/>
      <c r="D415" s="5" t="inlineStr">
        <is>
          <t>Twinkle Khanna</t>
        </is>
      </c>
      <c r="E415" s="5" t="inlineStr">
        <is>
          <t>Wikipedia</t>
        </is>
      </c>
      <c r="F415" s="5" t="n"/>
      <c r="G415" s="5" t="n"/>
      <c r="H415" s="22" t="inlineStr">
        <is>
          <t>https://en.wikipedia.org/wiki/Twinkle_Khanna</t>
        </is>
      </c>
      <c r="I415" s="16" t="n">
        <v>46299</v>
      </c>
      <c r="J415" s="5" t="inlineStr">
        <is>
          <t>Her birth on 29 December 1973 as the daughter of the actors Dimple Kapadia and Rajesh Khanna, her acting debut in Barsaat (1995) and the Filmfare Award for Best Female Debut, her later films including Jab Pyaar Kisise Hota Hai, Baadshah and Love Ke Liye Kuch Bhi Karega, her departure from acting for interior design and writing, her books from Mrs Funnybones (2015) onwards, her founding of Tweak India in 2019, her master's in fiction writing from Goldsmiths, and her marriage to Akshay Kumar.</t>
        </is>
      </c>
      <c r="K415" s="5" t="inlineStr">
        <is>
          <t>Reference encyclopedia</t>
        </is>
      </c>
      <c r="L415" s="5" t="inlineStr">
        <is>
          <t>C</t>
        </is>
      </c>
      <c r="M415" s="5" t="inlineStr">
        <is>
          <t>Collaborator article; downloaded as raw wikitext.</t>
        </is>
      </c>
    </row>
    <row r="416" ht="169" customHeight="1">
      <c r="A416" s="15" t="inlineStr">
        <is>
          <t>SOURCE-415</t>
        </is>
      </c>
      <c r="B416" s="5" t="n"/>
      <c r="C416" s="5" t="n"/>
      <c r="D416" s="5" t="inlineStr">
        <is>
          <t>Usha Khanna</t>
        </is>
      </c>
      <c r="E416" s="5" t="inlineStr">
        <is>
          <t>Wikipedia</t>
        </is>
      </c>
      <c r="F416" s="5" t="n"/>
      <c r="G416" s="5" t="n"/>
      <c r="H416" s="22" t="inlineStr">
        <is>
          <t>https://en.wikipedia.org/wiki/Usha_Khanna</t>
        </is>
      </c>
      <c r="I416" s="16" t="n">
        <v>46299</v>
      </c>
      <c r="J416" s="5" t="inlineStr">
        <is>
          <t>Her birth on 7 October 1941 in Gwalior to the lyricist and singer Manohar Khanna, her standing as the third woman music director in Hindi cinema after Jaddan Bai and Saraswati Devi, her debut as a music director with Dil Deke Dekho (1959), her three decades of activity from the 1960s to the 1980s, her best-known songs including those from Shabnam, Hum Hindustani, Souten and Aap To Aise Na The, her Filmfare nomination for Souten (1983), and her marriage to and separation from Sawan Kumar Tak.</t>
        </is>
      </c>
      <c r="K416" s="5" t="inlineStr">
        <is>
          <t>Reference encyclopedia</t>
        </is>
      </c>
      <c r="L416" s="5" t="inlineStr">
        <is>
          <t>C</t>
        </is>
      </c>
      <c r="M416" s="5" t="inlineStr">
        <is>
          <t>Collaborator article; downloaded as raw wikitext.</t>
        </is>
      </c>
    </row>
    <row r="417" ht="154" customHeight="1">
      <c r="A417" s="15" t="inlineStr">
        <is>
          <t>SOURCE-416</t>
        </is>
      </c>
      <c r="B417" s="5" t="n"/>
      <c r="C417" s="5" t="n"/>
      <c r="D417" s="5" t="inlineStr">
        <is>
          <t>Uttank Vora</t>
        </is>
      </c>
      <c r="E417" s="5" t="inlineStr">
        <is>
          <t>Wikipedia</t>
        </is>
      </c>
      <c r="F417" s="5" t="n"/>
      <c r="G417" s="5" t="n"/>
      <c r="H417" s="22" t="inlineStr">
        <is>
          <t>https://en.wikipedia.org/wiki/Uttank_Vora</t>
        </is>
      </c>
      <c r="I417" s="16" t="n">
        <v>46299</v>
      </c>
      <c r="J417" s="5" t="inlineStr">
        <is>
          <t>His birth on 23 June 1968 in Mumbai into a Gujarati musical family as the youngest son of Pt. Vinayakrai Vora, who popularised the tar-shehnai, his start in Indian cinema with Ashutosh Gowariker's Pehla Nasha (1993), his television work on Meerabai (1997), Khichdi (2002), Sarabhai vs Sarabhai (2004) and Baa Bahoo Aur Baby (2005), his score for Sarabhai vs Sarabhai Take 2 (2017) with his son Uroovaak, and his start in Gujarati musical theatre.</t>
        </is>
      </c>
      <c r="K417" s="5" t="inlineStr">
        <is>
          <t>Reference encyclopedia</t>
        </is>
      </c>
      <c r="L417" s="5" t="inlineStr">
        <is>
          <t>C</t>
        </is>
      </c>
      <c r="M417" s="5" t="inlineStr">
        <is>
          <t>Collaborator article; downloaded as raw wikitext.</t>
        </is>
      </c>
    </row>
    <row r="418" ht="154" customHeight="1">
      <c r="A418" s="15" t="inlineStr">
        <is>
          <t>SOURCE-417</t>
        </is>
      </c>
      <c r="B418" s="5" t="n"/>
      <c r="C418" s="5" t="n"/>
      <c r="D418" s="5" t="inlineStr">
        <is>
          <t>V. D. Kalra</t>
        </is>
      </c>
      <c r="E418" s="5" t="inlineStr">
        <is>
          <t>Wikipedia</t>
        </is>
      </c>
      <c r="F418" s="5" t="n"/>
      <c r="G418" s="5" t="n"/>
      <c r="H418" s="22" t="inlineStr">
        <is>
          <t>https://en.wikipedia.org/wiki/V._D._Kalra</t>
        </is>
      </c>
      <c r="I418" s="16" t="n">
        <v>46299</v>
      </c>
      <c r="J418" s="5" t="inlineStr">
        <is>
          <t>His identity as the Indian producer Vasudev Lal Kalra, his birth on 5 June 1936 in Dera Ismail Khan and his family's migration to Amritsar in 1947, the transport goods company he and his brothers ran in Kanpur, his entry into production in 1962 with Rut Rangili Aayi after a manager approached him, his credit on Salaam Memsaab, his years active given as 1972 to 1981, his return to the transport business, and his death from cardiac arrest in a Kanpur hospital.</t>
        </is>
      </c>
      <c r="K418" s="5" t="inlineStr">
        <is>
          <t>Reference encyclopedia</t>
        </is>
      </c>
      <c r="L418" s="5" t="inlineStr">
        <is>
          <t>D</t>
        </is>
      </c>
      <c r="M418" s="5" t="inlineStr">
        <is>
          <t>Collaborator article; downloaded as raw wikitext. Unreferenced and tagged for notability, and internally inconsistent on his dates: the lead gives 1936-1981, the infobox gives a death on 9 February 1995, and the body says 1996.</t>
        </is>
      </c>
    </row>
    <row r="419" ht="154" customHeight="1">
      <c r="A419" s="15" t="inlineStr">
        <is>
          <t>SOURCE-418</t>
        </is>
      </c>
      <c r="B419" s="5" t="n"/>
      <c r="C419" s="5" t="n"/>
      <c r="D419" s="5" t="inlineStr">
        <is>
          <t>Valentin Yezhov</t>
        </is>
      </c>
      <c r="E419" s="5" t="inlineStr">
        <is>
          <t>Wikipedia</t>
        </is>
      </c>
      <c r="F419" s="5" t="n"/>
      <c r="G419" s="5" t="n"/>
      <c r="H419" s="22" t="inlineStr">
        <is>
          <t>https://en.wikipedia.org/wiki/Valentin_Yezhov</t>
        </is>
      </c>
      <c r="I419" s="16" t="n">
        <v>46299</v>
      </c>
      <c r="J419" s="5" t="inlineStr">
        <is>
          <t>His life dates of 21 January 1921 to 8 May 2004, his identity as Valentin Ivanovich Yezhov, a Soviet and Russian screenwriter, playwright and professor at VGIK, his entry into cinema in 1953 and his more than fifty screenplays across genres, and his co-writing with Grigory Chukhray of Ballad of a Soldier (1959), which won the special jury prize at Cannes in 1960, the BAFTA Award for Best Film and the Bodil Award in 1961, and received an Academy Award nomination.</t>
        </is>
      </c>
      <c r="K419" s="5" t="inlineStr">
        <is>
          <t>Reference encyclopedia</t>
        </is>
      </c>
      <c r="L419" s="5" t="inlineStr">
        <is>
          <t>C</t>
        </is>
      </c>
      <c r="M419" s="5" t="inlineStr">
        <is>
          <t>Collaborator article; reached under the spelling Valentin Yezhov, downloaded as raw wikitext.</t>
        </is>
      </c>
    </row>
    <row r="420" ht="169" customHeight="1">
      <c r="A420" s="15" t="inlineStr">
        <is>
          <t>SOURCE-419</t>
        </is>
      </c>
      <c r="B420" s="5" t="n"/>
      <c r="C420" s="5" t="n"/>
      <c r="D420" s="5" t="inlineStr">
        <is>
          <t>Vashu Bhagnani</t>
        </is>
      </c>
      <c r="E420" s="5" t="inlineStr">
        <is>
          <t>Wikipedia</t>
        </is>
      </c>
      <c r="F420" s="5" t="n"/>
      <c r="G420" s="5" t="n"/>
      <c r="H420" s="22" t="inlineStr">
        <is>
          <t>https://en.wikipedia.org/wiki/Vashu_Bhagnani</t>
        </is>
      </c>
      <c r="I420" s="16" t="n">
        <v>46299</v>
      </c>
      <c r="J420" s="5" t="inlineStr">
        <is>
          <t>His birth on 19 April 1961 in Calcutta into a Sindhi family, his leaving school in the sixth standard for financial reasons and his early work selling clothes, his move to Mumbai in 1989 and his manufacturing businesses, his founding of Puja Entertainment India in 1995 with Coolie No. 1, his productions including Hero No. 1, Bade Miyan Chote Miyan, Rehnaa Hai Terre Dil Mein, Om Jai Jagadish and Shaadi No. 1, his recent Mission Raniganj and Ganpath, and his son Jackky Bhagnani.</t>
        </is>
      </c>
      <c r="K420" s="5" t="inlineStr">
        <is>
          <t>Reference encyclopedia</t>
        </is>
      </c>
      <c r="L420" s="5" t="inlineStr">
        <is>
          <t>C</t>
        </is>
      </c>
      <c r="M420" s="5" t="inlineStr">
        <is>
          <t>Collaborator article; downloaded as raw wikitext.</t>
        </is>
      </c>
    </row>
    <row r="421" ht="169" customHeight="1">
      <c r="A421" s="15" t="inlineStr">
        <is>
          <t>SOURCE-420</t>
        </is>
      </c>
      <c r="B421" s="5" t="n"/>
      <c r="C421" s="5" t="n"/>
      <c r="D421" s="5" t="inlineStr">
        <is>
          <t>Veeru Devgan</t>
        </is>
      </c>
      <c r="E421" s="5" t="inlineStr">
        <is>
          <t>Wikipedia</t>
        </is>
      </c>
      <c r="F421" s="5" t="n"/>
      <c r="G421" s="5" t="n"/>
      <c r="H421" s="22" t="inlineStr">
        <is>
          <t>https://en.wikipedia.org/wiki/Veeru_Devgan</t>
        </is>
      </c>
      <c r="I421" s="16" t="n">
        <v>46299</v>
      </c>
      <c r="J421" s="5" t="inlineStr">
        <is>
          <t>His life dates of 25 June 1934 to 27 May 2019, his birth in Amritsar as Virender Harjidas Devgan, his running away to Bombay at thirteen and his early hardship and menial work before the action director Ravi Khanna recruited him after seeing him in a street fight, his work as an action choreographer, director and producer on more than 200 films including Roti Kapada Aur Makaan, Mr. Natwarlal, Kranti, Prem Rog, Ram Teri Ganga Maili, Aaj Ka Arjun, Phool Aur Kaante and Jigar, and his son the actor Ajay Devgn.</t>
        </is>
      </c>
      <c r="K421" s="5" t="inlineStr">
        <is>
          <t>Reference encyclopedia</t>
        </is>
      </c>
      <c r="L421" s="5" t="inlineStr">
        <is>
          <t>C</t>
        </is>
      </c>
      <c r="M421" s="5" t="inlineStr">
        <is>
          <t>Collaborator article; downloaded as raw wikitext.</t>
        </is>
      </c>
    </row>
    <row r="422" ht="109" customHeight="1">
      <c r="A422" s="15" t="inlineStr">
        <is>
          <t>SOURCE-421</t>
        </is>
      </c>
      <c r="B422" s="5" t="n"/>
      <c r="C422" s="5" t="n"/>
      <c r="D422" s="5" t="inlineStr">
        <is>
          <t>Venus Records &amp; Tapes</t>
        </is>
      </c>
      <c r="E422" s="5" t="inlineStr">
        <is>
          <t>Wikipedia</t>
        </is>
      </c>
      <c r="F422" s="5" t="n"/>
      <c r="G422" s="5" t="n"/>
      <c r="H422" s="22" t="inlineStr">
        <is>
          <t>https://en.wikipedia.org/wiki/Venus_Records_%26_Tapes</t>
        </is>
      </c>
      <c r="I422" s="16" t="n">
        <v>46299</v>
      </c>
      <c r="J422" s="5" t="inlineStr">
        <is>
          <t>That the label now called Ishtar Music was founded as Venus Music in 1985 by Ganesh Jain and Ratan Jain, that it is primarily known for publishing and marketing Bollywood soundtracks and Indi-pop, and that it was acquired by the French company Believe Digital in 2021 and rebranded as Ishtar.</t>
        </is>
      </c>
      <c r="K422" s="5" t="inlineStr">
        <is>
          <t>Reference encyclopedia</t>
        </is>
      </c>
      <c r="L422" s="5" t="inlineStr">
        <is>
          <t>C</t>
        </is>
      </c>
      <c r="M422" s="5" t="inlineStr">
        <is>
          <t>Collaborator article (production banner and record label); downloaded as raw wikitext.</t>
        </is>
      </c>
    </row>
    <row r="423" ht="139" customHeight="1">
      <c r="A423" s="15" t="inlineStr">
        <is>
          <t>SOURCE-422</t>
        </is>
      </c>
      <c r="B423" s="5" t="n"/>
      <c r="C423" s="5" t="n"/>
      <c r="D423" s="5" t="inlineStr">
        <is>
          <t>Vinod Mehra</t>
        </is>
      </c>
      <c r="E423" s="5" t="inlineStr">
        <is>
          <t>Wikipedia</t>
        </is>
      </c>
      <c r="F423" s="5" t="n"/>
      <c r="G423" s="5" t="n"/>
      <c r="H423" s="22" t="inlineStr">
        <is>
          <t>https://en.wikipedia.org/wiki/Vinod_Mehra</t>
        </is>
      </c>
      <c r="I423" s="16" t="n">
        <v>46299</v>
      </c>
      <c r="J423" s="5" t="inlineStr">
        <is>
          <t>His life dates of 13 February 1945 to 30 October 1990, his birth in Amritsar into a Punjabi Khatri family, his debut as a child actor in Adl-e-Jehangir (1955) and his adult debut in Ek Thi Reeta (1971), his position as male runner-up to Rajesh Khanna in the 1965 United Producers and Filmfare talent contest, his more than 100 films, and his work as producer and director of Gurudev, released in 1993, three years after his death.</t>
        </is>
      </c>
      <c r="K423" s="5" t="inlineStr">
        <is>
          <t>Reference encyclopedia</t>
        </is>
      </c>
      <c r="L423" s="5" t="inlineStr">
        <is>
          <t>C</t>
        </is>
      </c>
      <c r="M423" s="5" t="inlineStr">
        <is>
          <t>Collaborator article; downloaded as raw wikitext.</t>
        </is>
      </c>
    </row>
    <row r="424" ht="139" customHeight="1">
      <c r="A424" s="15" t="inlineStr">
        <is>
          <t>SOURCE-423</t>
        </is>
      </c>
      <c r="B424" s="5" t="n"/>
      <c r="C424" s="5" t="n"/>
      <c r="D424" s="5" t="inlineStr">
        <is>
          <t>Vipul Amrutlal Shah</t>
        </is>
      </c>
      <c r="E424" s="5" t="inlineStr">
        <is>
          <t>Wikipedia</t>
        </is>
      </c>
      <c r="F424" s="5" t="n"/>
      <c r="G424" s="5" t="n"/>
      <c r="H424" s="22" t="inlineStr">
        <is>
          <t>https://en.wikipedia.org/wiki/Vipul_Amrutlal_Shah</t>
        </is>
      </c>
      <c r="I424" s="16" t="n">
        <v>46299</v>
      </c>
      <c r="J424" s="5" t="inlineStr">
        <is>
          <t>His start in Gujarati theatre and television with the serial Ek Mahal Ho Sapno Ka, his Gujarati feature debut Dariya Chhoru, his Hindi debut Aankhen (2002) adapted from his Gujarati play Aandhlo Pato and its commercial success, Waqt: The Race Against Time (2005) also adapted from a play, his direction of six Hindi films of which four starred Akshay Kumar, and his production and writing of The Kerala Story.</t>
        </is>
      </c>
      <c r="K424" s="5" t="inlineStr">
        <is>
          <t>Reference encyclopedia</t>
        </is>
      </c>
      <c r="L424" s="5" t="inlineStr">
        <is>
          <t>C</t>
        </is>
      </c>
      <c r="M424" s="5" t="inlineStr">
        <is>
          <t>Collaborator article; downloaded as raw wikitext.</t>
        </is>
      </c>
    </row>
    <row r="425" ht="139" customHeight="1">
      <c r="A425" s="15" t="inlineStr">
        <is>
          <t>SOURCE-424</t>
        </is>
      </c>
      <c r="B425" s="5" t="n"/>
      <c r="C425" s="5" t="n"/>
      <c r="D425" s="5" t="inlineStr">
        <is>
          <t>Vivek Sharma</t>
        </is>
      </c>
      <c r="E425" s="5" t="inlineStr">
        <is>
          <t>Wikipedia</t>
        </is>
      </c>
      <c r="F425" s="5" t="n"/>
      <c r="G425" s="5" t="n"/>
      <c r="H425" s="22" t="inlineStr">
        <is>
          <t>https://en.wikipedia.org/wiki/Vivek_Sharma</t>
        </is>
      </c>
      <c r="I425" s="16" t="n">
        <v>46299</v>
      </c>
      <c r="J425" s="5" t="inlineStr">
        <is>
          <t>His birth in 1969 in Jabalpur, his master's degree in physics, his move to Mumbai in 1992 and six years as an assistant director to Mahesh Bhatt on films including Hum Hain Rahi Pyar Ke, Naajayaz, Chaahat and Duplicate, his association with Shah Rukh Khan and Juhi Chawla's Dreamz Unlimited on Phir Bhi Dil Hai Hindustani, Asoka and Chalte Chalte, and his directorial debut Bhoothnath with Amitabh Bachchan.</t>
        </is>
      </c>
      <c r="K425" s="5" t="inlineStr">
        <is>
          <t>Reference encyclopedia</t>
        </is>
      </c>
      <c r="L425" s="5" t="inlineStr">
        <is>
          <t>C</t>
        </is>
      </c>
      <c r="M425" s="5" t="inlineStr">
        <is>
          <t>Collaborator article; downloaded as raw wikitext.</t>
        </is>
      </c>
    </row>
    <row r="426" ht="154" customHeight="1">
      <c r="A426" s="15" t="inlineStr">
        <is>
          <t>SOURCE-425</t>
        </is>
      </c>
      <c r="B426" s="5" t="n"/>
      <c r="C426" s="5" t="n"/>
      <c r="D426" s="5" t="inlineStr">
        <is>
          <t>Walt Disney Pictures</t>
        </is>
      </c>
      <c r="E426" s="5" t="inlineStr">
        <is>
          <t>Wikipedia</t>
        </is>
      </c>
      <c r="F426" s="5" t="n"/>
      <c r="G426" s="5" t="n"/>
      <c r="H426" s="22" t="inlineStr">
        <is>
          <t>https://en.wikipedia.org/wiki/Walt_Disney_Pictures</t>
        </is>
      </c>
      <c r="I426" s="16" t="n">
        <v>46299</v>
      </c>
      <c r="J426" s="5" t="inlineStr">
        <is>
          <t>That Walt Disney Pictures is an American film production company and subsidiary of the Walt Disney Studios, founded on 16 October 1923 and based in Burbank, California, that it became the live-action division named Walt Disney Pictures in the 1983 studio reorganisation that also created Touchstone Pictures, that Walt Disney Studios Motion Pictures distributes its films, and that it is one of five live-action studios within the Walt Disney Studios.</t>
        </is>
      </c>
      <c r="K426" s="5" t="inlineStr">
        <is>
          <t>Reference encyclopedia</t>
        </is>
      </c>
      <c r="L426" s="5" t="inlineStr">
        <is>
          <t>C</t>
        </is>
      </c>
      <c r="M426" s="5" t="inlineStr">
        <is>
          <t>Collaborator article (production banner); downloaded as raw wikitext. No separate article exists for the Indian production arm credited on Do Dooni Chaar.</t>
        </is>
      </c>
    </row>
    <row r="427" ht="184" customHeight="1">
      <c r="A427" s="15" t="inlineStr">
        <is>
          <t>SOURCE-426</t>
        </is>
      </c>
      <c r="B427" s="5" t="n"/>
      <c r="C427" s="5" t="n"/>
      <c r="D427" s="5" t="inlineStr">
        <is>
          <t>Yash Johar</t>
        </is>
      </c>
      <c r="E427" s="5" t="inlineStr">
        <is>
          <t>Wikipedia</t>
        </is>
      </c>
      <c r="F427" s="5" t="n"/>
      <c r="G427" s="5" t="n"/>
      <c r="H427" s="22" t="inlineStr">
        <is>
          <t>https://en.wikipedia.org/wiki/Yash_Johar</t>
        </is>
      </c>
      <c r="I427" s="16" t="n">
        <v>46299</v>
      </c>
      <c r="J427" s="5" t="inlineStr">
        <is>
          <t>His life dates of 6 September 1929 to 26 June 2004, his birth in Amritsar into a Punjabi Hindu family associated with the Arya Samaj, his start in the early 1950s as a publicist and still photographer at Filmistan, his production work for Sunil Dutt's Ajanta Arts from 1962 and for Dev Anand's Navketan Films on Guide, Jewel Thief, Prem Pujari and Hare Rama Hare Krishna, his founding of Dharma Productions, his marriage to Hiroo Johar, sister of Yash Chopra, his son Karan Johar, and his death from a chest infection while also suffering from cancer.</t>
        </is>
      </c>
      <c r="K427" s="5" t="inlineStr">
        <is>
          <t>Reference encyclopedia</t>
        </is>
      </c>
      <c r="L427" s="5" t="inlineStr">
        <is>
          <t>C</t>
        </is>
      </c>
      <c r="M427" s="5" t="inlineStr">
        <is>
          <t>Collaborator article; downloaded as raw wikitext.</t>
        </is>
      </c>
    </row>
    <row r="428" ht="154" customHeight="1">
      <c r="A428" s="15" t="inlineStr">
        <is>
          <t>SOURCE-427</t>
        </is>
      </c>
      <c r="B428" s="5" t="n"/>
      <c r="C428" s="5" t="n"/>
      <c r="D428" s="5" t="inlineStr">
        <is>
          <t>Yo Yo Honey Singh</t>
        </is>
      </c>
      <c r="E428" s="5" t="inlineStr">
        <is>
          <t>Wikipedia</t>
        </is>
      </c>
      <c r="F428" s="5" t="n"/>
      <c r="G428" s="5" t="n"/>
      <c r="H428" s="22" t="inlineStr">
        <is>
          <t>https://en.wikipedia.org/wiki/Yo_Yo_Honey_Singh</t>
        </is>
      </c>
      <c r="I428" s="16" t="n">
        <v>46299</v>
      </c>
      <c r="J428" s="5" t="inlineStr">
        <is>
          <t>His birth as Hirdesh Singh on 15 March 1983 in Karampura, Delhi, his education at Guru Nanak Public School in New Delhi, his Punjabi origins, his debut in 2006 collaborating with the singer Ashok Masti on the song Glassy, his rise in the early 2010s through college festivals, the record fee reported in 2012 for his songs in Cocktail and Mastan, his first Hindi film song in Mastan, and the YouTube success of Brown Rang and High Heels.</t>
        </is>
      </c>
      <c r="K428" s="5" t="inlineStr">
        <is>
          <t>Reference encyclopedia</t>
        </is>
      </c>
      <c r="L428" s="5" t="inlineStr">
        <is>
          <t>C</t>
        </is>
      </c>
      <c r="M428" s="5" t="inlineStr">
        <is>
          <t>Collaborator article; downloaded as raw wikitext. Tagged for sourcing problems on biographical details.</t>
        </is>
      </c>
    </row>
    <row r="429" ht="184" customHeight="1">
      <c r="A429" s="15" t="inlineStr">
        <is>
          <t>SOURCE-428</t>
        </is>
      </c>
      <c r="B429" s="5" t="n"/>
      <c r="C429" s="5" t="n"/>
      <c r="D429" s="5" t="inlineStr">
        <is>
          <t>Zakir Hussain (musician)</t>
        </is>
      </c>
      <c r="E429" s="5" t="inlineStr">
        <is>
          <t>Wikipedia</t>
        </is>
      </c>
      <c r="F429" s="5" t="n"/>
      <c r="G429" s="5" t="n"/>
      <c r="H429" s="22" t="inlineStr">
        <is>
          <t>https://en.wikipedia.org/wiki/Zakir_Hussain_(musician)</t>
        </is>
      </c>
      <c r="I429" s="16" t="n">
        <v>46299</v>
      </c>
      <c r="J429" s="5" t="inlineStr">
        <is>
          <t>His life dates of 9 March 1951 to 15 December 2024, his birth in Bombay as the eldest son of the tabla player Alla Rakha, his training in Hindustani classical music from the age of seven and his performing and touring from childhood, his work as a tabla player, composer, arranger, percussionist and music producer across multiple genres, George Harrison's advice that he combine Eastern and Western music, his part in popularising Indian classical music internationally, and his death in San Francisco from complications of idiopathic pulmonary fibrosis.</t>
        </is>
      </c>
      <c r="K429" s="5" t="inlineStr">
        <is>
          <t>Reference encyclopedia</t>
        </is>
      </c>
      <c r="L429" s="5" t="inlineStr">
        <is>
          <t>C</t>
        </is>
      </c>
      <c r="M429" s="5" t="inlineStr">
        <is>
          <t>Collaborator article; reached under the title Zakir Hussain (musician), downloaded as raw wikitext. The base title Zakir Hussain is a disambiguation page listing several people, including a Bollywood actor of the same name.</t>
        </is>
      </c>
    </row>
    <row r="430" ht="199" customHeight="1">
      <c r="A430" s="15" t="inlineStr">
        <is>
          <t>SOURCE-429</t>
        </is>
      </c>
      <c r="B430" s="5" t="n"/>
      <c r="C430" s="5" t="n"/>
      <c r="D430" s="5" t="inlineStr">
        <is>
          <t>Zoya Akhtar</t>
        </is>
      </c>
      <c r="E430" s="5" t="inlineStr">
        <is>
          <t>Wikipedia</t>
        </is>
      </c>
      <c r="F430" s="5" t="n"/>
      <c r="G430" s="5" t="n"/>
      <c r="H430" s="22" t="inlineStr">
        <is>
          <t>https://en.wikipedia.org/wiki/Zoya_Akhtar</t>
        </is>
      </c>
      <c r="I430" s="16" t="n">
        <v>46299</v>
      </c>
      <c r="J430" s="5" t="inlineStr">
        <is>
          <t>Her birth on 14 October 1972 to Javed Akhtar and Honey Irani, her diploma in filmmaking from NYU and her work assisting Mira Nair, Tony Gerber and Dev Benegal, her directorial debut Luck by Chance (2009) and the Filmfare Award for Best Debut Director, her breakthrough Zindagi Na Milegi Dobara (2011) and Filmfare Award for Best Director, her later Dil Dhadakne Do (2015), segments of Lust Stories and Ghost Stories, Gully Boy (2019) and a second Best Director award, the series Made in Heaven and Dahaad, her four Filmfare Awards, and her founding of Tiger Baby Films with Reema Kagti in 2015.</t>
        </is>
      </c>
      <c r="K430" s="5" t="inlineStr">
        <is>
          <t>Reference encyclopedia</t>
        </is>
      </c>
      <c r="L430" s="5" t="inlineStr">
        <is>
          <t>C</t>
        </is>
      </c>
      <c r="M430" s="5" t="inlineStr">
        <is>
          <t>Collaborator article; downloaded as raw wikitext.</t>
        </is>
      </c>
    </row>
    <row r="431" ht="49" customHeight="1">
      <c r="A431" s="15" t="inlineStr">
        <is>
          <t>SOURCE-430</t>
        </is>
      </c>
      <c r="B431" s="5" t="inlineStr">
        <is>
          <t>FILM-001</t>
        </is>
      </c>
      <c r="C431" s="5" t="n"/>
      <c r="D431" s="5" t="inlineStr">
        <is>
          <t>3rd National Film Awards</t>
        </is>
      </c>
      <c r="E431" s="5" t="inlineStr">
        <is>
          <t>Wikipedia</t>
        </is>
      </c>
      <c r="F431" s="5" t="n"/>
      <c r="G431" s="5" t="n"/>
      <c r="H431" s="22" t="inlineStr">
        <is>
          <t>https://en.wikipedia.org/wiki/3rd_National_Film_Awards</t>
        </is>
      </c>
      <c r="I431" s="16" t="n">
        <v>46299</v>
      </c>
      <c r="J431" s="5" t="inlineStr">
        <is>
          <t>Award winners listed at the 3rd National Film Awards, used to confirm the category, recipient and ceremony year.</t>
        </is>
      </c>
      <c r="K431" s="5" t="inlineStr">
        <is>
          <t>Reference encyclopedia</t>
        </is>
      </c>
      <c r="L431" s="5" t="inlineStr">
        <is>
          <t>C</t>
        </is>
      </c>
      <c r="M431" s="5" t="inlineStr">
        <is>
          <t>Downloaded as raw wikitext.</t>
        </is>
      </c>
    </row>
    <row r="432" ht="49" customHeight="1">
      <c r="A432" s="15" t="inlineStr">
        <is>
          <t>SOURCE-431</t>
        </is>
      </c>
      <c r="B432" s="5" t="inlineStr">
        <is>
          <t>FILM-001</t>
        </is>
      </c>
      <c r="C432" s="5" t="n"/>
      <c r="D432" s="5" t="inlineStr">
        <is>
          <t>4th Filmfare Awards</t>
        </is>
      </c>
      <c r="E432" s="5" t="inlineStr">
        <is>
          <t>Wikipedia</t>
        </is>
      </c>
      <c r="F432" s="5" t="n"/>
      <c r="G432" s="5" t="n"/>
      <c r="H432" s="22" t="inlineStr">
        <is>
          <t>https://en.wikipedia.org/wiki/4th_Filmfare_Awards</t>
        </is>
      </c>
      <c r="I432" s="16" t="n">
        <v>46299</v>
      </c>
      <c r="J432" s="5" t="inlineStr">
        <is>
          <t>Winners and nominees at the 4th Filmfare Awards, used to confirm each result as a win or a nomination and to date the ceremony.</t>
        </is>
      </c>
      <c r="K432" s="5" t="inlineStr">
        <is>
          <t>Reference encyclopedia</t>
        </is>
      </c>
      <c r="L432" s="5" t="inlineStr">
        <is>
          <t>C</t>
        </is>
      </c>
      <c r="M432" s="5" t="inlineStr">
        <is>
          <t>Downloaded as raw wikitext.</t>
        </is>
      </c>
    </row>
    <row r="433" ht="49" customHeight="1">
      <c r="A433" s="15" t="inlineStr">
        <is>
          <t>SOURCE-432</t>
        </is>
      </c>
      <c r="B433" s="5" t="inlineStr">
        <is>
          <t>FILM-002</t>
        </is>
      </c>
      <c r="C433" s="5" t="n"/>
      <c r="D433" s="5" t="inlineStr">
        <is>
          <t>18th National Film Awards</t>
        </is>
      </c>
      <c r="E433" s="5" t="inlineStr">
        <is>
          <t>Wikipedia</t>
        </is>
      </c>
      <c r="F433" s="5" t="n"/>
      <c r="G433" s="5" t="n"/>
      <c r="H433" s="22" t="inlineStr">
        <is>
          <t>https://en.wikipedia.org/wiki/18th_National_Film_Awards</t>
        </is>
      </c>
      <c r="I433" s="16" t="n">
        <v>46299</v>
      </c>
      <c r="J433" s="5" t="inlineStr">
        <is>
          <t>Award winners listed at the 18th National Film Awards, used to confirm the category, recipient and ceremony year.</t>
        </is>
      </c>
      <c r="K433" s="5" t="inlineStr">
        <is>
          <t>Reference encyclopedia</t>
        </is>
      </c>
      <c r="L433" s="5" t="inlineStr">
        <is>
          <t>C</t>
        </is>
      </c>
      <c r="M433" s="5" t="inlineStr">
        <is>
          <t>Downloaded as raw wikitext.</t>
        </is>
      </c>
    </row>
    <row r="434" ht="49" customHeight="1">
      <c r="A434" s="15" t="inlineStr">
        <is>
          <t>SOURCE-433</t>
        </is>
      </c>
      <c r="B434" s="5" t="inlineStr">
        <is>
          <t>FILM-002</t>
        </is>
      </c>
      <c r="C434" s="5" t="n"/>
      <c r="D434" s="5" t="inlineStr">
        <is>
          <t>19th Filmfare Awards</t>
        </is>
      </c>
      <c r="E434" s="5" t="inlineStr">
        <is>
          <t>Wikipedia</t>
        </is>
      </c>
      <c r="F434" s="5" t="n"/>
      <c r="G434" s="5" t="n"/>
      <c r="H434" s="22" t="inlineStr">
        <is>
          <t>https://en.wikipedia.org/wiki/19th_Filmfare_Awards</t>
        </is>
      </c>
      <c r="I434" s="16" t="n">
        <v>46299</v>
      </c>
      <c r="J434" s="5" t="inlineStr">
        <is>
          <t>Winners and nominees at the 19th Filmfare Awards, used to confirm each result as a win or a nomination and to date the ceremony.</t>
        </is>
      </c>
      <c r="K434" s="5" t="inlineStr">
        <is>
          <t>Reference encyclopedia</t>
        </is>
      </c>
      <c r="L434" s="5" t="inlineStr">
        <is>
          <t>C</t>
        </is>
      </c>
      <c r="M434" s="5" t="inlineStr">
        <is>
          <t>Downloaded as raw wikitext.</t>
        </is>
      </c>
    </row>
    <row r="435" ht="49" customHeight="1">
      <c r="A435" s="15" t="inlineStr">
        <is>
          <t>SOURCE-434</t>
        </is>
      </c>
      <c r="B435" s="5" t="inlineStr">
        <is>
          <t>FILM-003</t>
        </is>
      </c>
      <c r="C435" s="5" t="n"/>
      <c r="D435" s="5" t="inlineStr">
        <is>
          <t>21st Filmfare Awards</t>
        </is>
      </c>
      <c r="E435" s="5" t="inlineStr">
        <is>
          <t>Wikipedia</t>
        </is>
      </c>
      <c r="F435" s="5" t="n"/>
      <c r="G435" s="5" t="n"/>
      <c r="H435" s="22" t="inlineStr">
        <is>
          <t>https://en.wikipedia.org/wiki/21st_Filmfare_Awards</t>
        </is>
      </c>
      <c r="I435" s="16" t="n">
        <v>46299</v>
      </c>
      <c r="J435" s="5" t="inlineStr">
        <is>
          <t>Winners and nominees at the 21st Filmfare Awards, used to confirm each result as a win or a nomination and to date the ceremony.</t>
        </is>
      </c>
      <c r="K435" s="5" t="inlineStr">
        <is>
          <t>Reference encyclopedia</t>
        </is>
      </c>
      <c r="L435" s="5" t="inlineStr">
        <is>
          <t>C</t>
        </is>
      </c>
      <c r="M435" s="5" t="inlineStr">
        <is>
          <t>Downloaded as raw wikitext.</t>
        </is>
      </c>
    </row>
    <row r="436" ht="49" customHeight="1">
      <c r="A436" s="15" t="inlineStr">
        <is>
          <t>SOURCE-435</t>
        </is>
      </c>
      <c r="B436" s="5" t="inlineStr">
        <is>
          <t>FILM-006; FILM-007</t>
        </is>
      </c>
      <c r="C436" s="5" t="n"/>
      <c r="D436" s="5" t="inlineStr">
        <is>
          <t>23rd Filmfare Awards</t>
        </is>
      </c>
      <c r="E436" s="5" t="inlineStr">
        <is>
          <t>Wikipedia</t>
        </is>
      </c>
      <c r="F436" s="5" t="n"/>
      <c r="G436" s="5" t="n"/>
      <c r="H436" s="22" t="inlineStr">
        <is>
          <t>https://en.wikipedia.org/wiki/23rd_Filmfare_Awards</t>
        </is>
      </c>
      <c r="I436" s="16" t="n">
        <v>46299</v>
      </c>
      <c r="J436" s="5" t="inlineStr">
        <is>
          <t>Winners and nominees at the 23rd Filmfare Awards, used to confirm each result as a win or a nomination and to date the ceremony.</t>
        </is>
      </c>
      <c r="K436" s="5" t="inlineStr">
        <is>
          <t>Reference encyclopedia</t>
        </is>
      </c>
      <c r="L436" s="5" t="inlineStr">
        <is>
          <t>C</t>
        </is>
      </c>
      <c r="M436" s="5" t="inlineStr">
        <is>
          <t>Downloaded as raw wikitext.</t>
        </is>
      </c>
    </row>
    <row r="437" ht="49" customHeight="1">
      <c r="A437" s="15" t="inlineStr">
        <is>
          <t>SOURCE-436</t>
        </is>
      </c>
      <c r="B437" s="5" t="inlineStr">
        <is>
          <t>FILM-009; FILM-010</t>
        </is>
      </c>
      <c r="C437" s="5" t="n"/>
      <c r="D437" s="5" t="inlineStr">
        <is>
          <t>24th Filmfare Awards</t>
        </is>
      </c>
      <c r="E437" s="5" t="inlineStr">
        <is>
          <t>Wikipedia</t>
        </is>
      </c>
      <c r="F437" s="5" t="n"/>
      <c r="G437" s="5" t="n"/>
      <c r="H437" s="22" t="inlineStr">
        <is>
          <t>https://en.wikipedia.org/wiki/24th_Filmfare_Awards</t>
        </is>
      </c>
      <c r="I437" s="16" t="n">
        <v>46299</v>
      </c>
      <c r="J437" s="5" t="inlineStr">
        <is>
          <t>Winners and nominees at the 24th Filmfare Awards, used to confirm each result as a win or a nomination and to date the ceremony.</t>
        </is>
      </c>
      <c r="K437" s="5" t="inlineStr">
        <is>
          <t>Reference encyclopedia</t>
        </is>
      </c>
      <c r="L437" s="5" t="inlineStr">
        <is>
          <t>C</t>
        </is>
      </c>
      <c r="M437" s="5" t="inlineStr">
        <is>
          <t>Downloaded as raw wikitext.</t>
        </is>
      </c>
    </row>
    <row r="438" ht="49" customHeight="1">
      <c r="A438" s="15" t="inlineStr">
        <is>
          <t>SOURCE-437</t>
        </is>
      </c>
      <c r="B438" s="5" t="inlineStr">
        <is>
          <t>FILM-014; FILM-015; FILM-016; FILM-017</t>
        </is>
      </c>
      <c r="C438" s="5" t="n"/>
      <c r="D438" s="5" t="inlineStr">
        <is>
          <t>25th Filmfare Awards</t>
        </is>
      </c>
      <c r="E438" s="5" t="inlineStr">
        <is>
          <t>Wikipedia</t>
        </is>
      </c>
      <c r="F438" s="5" t="n"/>
      <c r="G438" s="5" t="n"/>
      <c r="H438" s="22" t="inlineStr">
        <is>
          <t>https://en.wikipedia.org/wiki/25th_Filmfare_Awards</t>
        </is>
      </c>
      <c r="I438" s="16" t="n">
        <v>46299</v>
      </c>
      <c r="J438" s="5" t="inlineStr">
        <is>
          <t>Winners and nominees at the 25th Filmfare Awards, used to confirm each result as a win or a nomination and to date the ceremony.</t>
        </is>
      </c>
      <c r="K438" s="5" t="inlineStr">
        <is>
          <t>Reference encyclopedia</t>
        </is>
      </c>
      <c r="L438" s="5" t="inlineStr">
        <is>
          <t>C</t>
        </is>
      </c>
      <c r="M438" s="5" t="inlineStr">
        <is>
          <t>Downloaded as raw wikitext.</t>
        </is>
      </c>
    </row>
    <row r="439" ht="49" customHeight="1">
      <c r="A439" s="15" t="inlineStr">
        <is>
          <t>SOURCE-438</t>
        </is>
      </c>
      <c r="B439" s="5" t="inlineStr">
        <is>
          <t>FILM-015</t>
        </is>
      </c>
      <c r="C439" s="5" t="n"/>
      <c r="D439" s="5" t="inlineStr">
        <is>
          <t>25th National Film Awards</t>
        </is>
      </c>
      <c r="E439" s="5" t="inlineStr">
        <is>
          <t>Wikipedia</t>
        </is>
      </c>
      <c r="F439" s="5" t="n"/>
      <c r="G439" s="5" t="n"/>
      <c r="H439" s="22" t="inlineStr">
        <is>
          <t>https://en.wikipedia.org/wiki/25th_National_Film_Awards</t>
        </is>
      </c>
      <c r="I439" s="16" t="n">
        <v>46299</v>
      </c>
      <c r="J439" s="5" t="inlineStr">
        <is>
          <t>Award winners listed at the 25th National Film Awards, used to confirm the category, recipient and ceremony year.</t>
        </is>
      </c>
      <c r="K439" s="5" t="inlineStr">
        <is>
          <t>Reference encyclopedia</t>
        </is>
      </c>
      <c r="L439" s="5" t="inlineStr">
        <is>
          <t>C</t>
        </is>
      </c>
      <c r="M439" s="5" t="inlineStr">
        <is>
          <t>Downloaded as raw wikitext.</t>
        </is>
      </c>
    </row>
    <row r="440" ht="49" customHeight="1">
      <c r="A440" s="15" t="inlineStr">
        <is>
          <t>SOURCE-439</t>
        </is>
      </c>
      <c r="B440" s="5" t="inlineStr">
        <is>
          <t>FILM-020; FILM-022</t>
        </is>
      </c>
      <c r="C440" s="5" t="n"/>
      <c r="D440" s="5" t="inlineStr">
        <is>
          <t>26th Filmfare Awards</t>
        </is>
      </c>
      <c r="E440" s="5" t="inlineStr">
        <is>
          <t>Wikipedia</t>
        </is>
      </c>
      <c r="F440" s="5" t="n"/>
      <c r="G440" s="5" t="n"/>
      <c r="H440" s="22" t="inlineStr">
        <is>
          <t>https://en.wikipedia.org/wiki/26th_Filmfare_Awards</t>
        </is>
      </c>
      <c r="I440" s="16" t="n">
        <v>46299</v>
      </c>
      <c r="J440" s="5" t="inlineStr">
        <is>
          <t>Winners and nominees at the 26th Filmfare Awards, used to confirm each result as a win or a nomination and to date the ceremony.</t>
        </is>
      </c>
      <c r="K440" s="5" t="inlineStr">
        <is>
          <t>Reference encyclopedia</t>
        </is>
      </c>
      <c r="L440" s="5" t="inlineStr">
        <is>
          <t>C</t>
        </is>
      </c>
      <c r="M440" s="5" t="inlineStr">
        <is>
          <t>Downloaded as raw wikitext.</t>
        </is>
      </c>
    </row>
    <row r="441" ht="49" customHeight="1">
      <c r="A441" s="15" t="inlineStr">
        <is>
          <t>SOURCE-440</t>
        </is>
      </c>
      <c r="B441" s="5" t="inlineStr">
        <is>
          <t>FILM-023</t>
        </is>
      </c>
      <c r="C441" s="5" t="n"/>
      <c r="D441" s="5" t="inlineStr">
        <is>
          <t>27th Filmfare Awards</t>
        </is>
      </c>
      <c r="E441" s="5" t="inlineStr">
        <is>
          <t>Wikipedia</t>
        </is>
      </c>
      <c r="F441" s="5" t="n"/>
      <c r="G441" s="5" t="n"/>
      <c r="H441" s="22" t="inlineStr">
        <is>
          <t>https://en.wikipedia.org/wiki/27th_Filmfare_Awards</t>
        </is>
      </c>
      <c r="I441" s="16" t="n">
        <v>46299</v>
      </c>
      <c r="J441" s="5" t="inlineStr">
        <is>
          <t>Winners and nominees at the 27th Filmfare Awards, used to confirm each result as a win or a nomination and to date the ceremony.</t>
        </is>
      </c>
      <c r="K441" s="5" t="inlineStr">
        <is>
          <t>Reference encyclopedia</t>
        </is>
      </c>
      <c r="L441" s="5" t="inlineStr">
        <is>
          <t>C</t>
        </is>
      </c>
      <c r="M441" s="5" t="inlineStr">
        <is>
          <t>Downloaded as raw wikitext.</t>
        </is>
      </c>
    </row>
    <row r="442" ht="49" customHeight="1">
      <c r="A442" s="15" t="inlineStr">
        <is>
          <t>SOURCE-441</t>
        </is>
      </c>
      <c r="B442" s="5" t="inlineStr">
        <is>
          <t>FILM-023; FILM-031</t>
        </is>
      </c>
      <c r="C442" s="5" t="n"/>
      <c r="D442" s="5" t="inlineStr">
        <is>
          <t>28th Filmfare Awards</t>
        </is>
      </c>
      <c r="E442" s="5" t="inlineStr">
        <is>
          <t>Wikipedia</t>
        </is>
      </c>
      <c r="F442" s="5" t="n"/>
      <c r="G442" s="5" t="n"/>
      <c r="H442" s="22" t="inlineStr">
        <is>
          <t>https://en.wikipedia.org/wiki/28th_Filmfare_Awards</t>
        </is>
      </c>
      <c r="I442" s="16" t="n">
        <v>46299</v>
      </c>
      <c r="J442" s="5" t="inlineStr">
        <is>
          <t>Winners and nominees at the 28th Filmfare Awards, used to confirm each result as a win or a nomination and to date the ceremony.</t>
        </is>
      </c>
      <c r="K442" s="5" t="inlineStr">
        <is>
          <t>Reference encyclopedia</t>
        </is>
      </c>
      <c r="L442" s="5" t="inlineStr">
        <is>
          <t>C</t>
        </is>
      </c>
      <c r="M442" s="5" t="inlineStr">
        <is>
          <t>Downloaded as raw wikitext.</t>
        </is>
      </c>
    </row>
    <row r="443" ht="49" customHeight="1">
      <c r="A443" s="15" t="inlineStr">
        <is>
          <t>SOURCE-442</t>
        </is>
      </c>
      <c r="B443" s="5" t="inlineStr">
        <is>
          <t>FILM-032</t>
        </is>
      </c>
      <c r="C443" s="5" t="n"/>
      <c r="D443" s="5" t="inlineStr">
        <is>
          <t>29th Filmfare Awards</t>
        </is>
      </c>
      <c r="E443" s="5" t="inlineStr">
        <is>
          <t>Wikipedia</t>
        </is>
      </c>
      <c r="F443" s="5" t="n"/>
      <c r="G443" s="5" t="n"/>
      <c r="H443" s="22" t="inlineStr">
        <is>
          <t>https://en.wikipedia.org/wiki/29th_Filmfare_Awards</t>
        </is>
      </c>
      <c r="I443" s="16" t="n">
        <v>46299</v>
      </c>
      <c r="J443" s="5" t="inlineStr">
        <is>
          <t>Winners and nominees at the 29th Filmfare Awards, used to confirm each result as a win or a nomination and to date the ceremony.</t>
        </is>
      </c>
      <c r="K443" s="5" t="inlineStr">
        <is>
          <t>Reference encyclopedia</t>
        </is>
      </c>
      <c r="L443" s="5" t="inlineStr">
        <is>
          <t>C</t>
        </is>
      </c>
      <c r="M443" s="5" t="inlineStr">
        <is>
          <t>Downloaded as raw wikitext.</t>
        </is>
      </c>
    </row>
    <row r="444" ht="49" customHeight="1">
      <c r="A444" s="15" t="inlineStr">
        <is>
          <t>SOURCE-443</t>
        </is>
      </c>
      <c r="B444" s="5" t="inlineStr">
        <is>
          <t>FILM-037</t>
        </is>
      </c>
      <c r="C444" s="5" t="n"/>
      <c r="D444" s="5" t="inlineStr">
        <is>
          <t>30th Filmfare Awards</t>
        </is>
      </c>
      <c r="E444" s="5" t="inlineStr">
        <is>
          <t>Wikipedia</t>
        </is>
      </c>
      <c r="F444" s="5" t="n"/>
      <c r="G444" s="5" t="n"/>
      <c r="H444" s="22" t="inlineStr">
        <is>
          <t>https://en.wikipedia.org/wiki/30th_Filmfare_Awards</t>
        </is>
      </c>
      <c r="I444" s="16" t="n">
        <v>46299</v>
      </c>
      <c r="J444" s="5" t="inlineStr">
        <is>
          <t>Winners and nominees at the 30th Filmfare Awards, used to confirm each result as a win or a nomination and to date the ceremony.</t>
        </is>
      </c>
      <c r="K444" s="5" t="inlineStr">
        <is>
          <t>Reference encyclopedia</t>
        </is>
      </c>
      <c r="L444" s="5" t="inlineStr">
        <is>
          <t>C</t>
        </is>
      </c>
      <c r="M444" s="5" t="inlineStr">
        <is>
          <t>Downloaded as raw wikitext.</t>
        </is>
      </c>
    </row>
    <row r="445" ht="49" customHeight="1">
      <c r="A445" s="15" t="inlineStr">
        <is>
          <t>SOURCE-444</t>
        </is>
      </c>
      <c r="B445" s="5" t="inlineStr">
        <is>
          <t>FILM-039</t>
        </is>
      </c>
      <c r="C445" s="5" t="n"/>
      <c r="D445" s="5" t="inlineStr">
        <is>
          <t>31st Filmfare Awards</t>
        </is>
      </c>
      <c r="E445" s="5" t="inlineStr">
        <is>
          <t>Wikipedia</t>
        </is>
      </c>
      <c r="F445" s="5" t="n"/>
      <c r="G445" s="5" t="n"/>
      <c r="H445" s="22" t="inlineStr">
        <is>
          <t>https://en.wikipedia.org/wiki/31st_Filmfare_Awards</t>
        </is>
      </c>
      <c r="I445" s="16" t="n">
        <v>46299</v>
      </c>
      <c r="J445" s="5" t="inlineStr">
        <is>
          <t>Winners and nominees at the 31st Filmfare Awards, used to confirm each result as a win or a nomination and to date the ceremony.</t>
        </is>
      </c>
      <c r="K445" s="5" t="inlineStr">
        <is>
          <t>Reference encyclopedia</t>
        </is>
      </c>
      <c r="L445" s="5" t="inlineStr">
        <is>
          <t>C</t>
        </is>
      </c>
      <c r="M445" s="5" t="inlineStr">
        <is>
          <t>Downloaded as raw wikitext.</t>
        </is>
      </c>
    </row>
    <row r="446" ht="49" customHeight="1">
      <c r="A446" s="15" t="inlineStr">
        <is>
          <t>SOURCE-445</t>
        </is>
      </c>
      <c r="B446" s="5" t="inlineStr">
        <is>
          <t>FILM-049; FILM-050</t>
        </is>
      </c>
      <c r="C446" s="5" t="n"/>
      <c r="D446" s="5" t="inlineStr">
        <is>
          <t>33rd Filmfare Awards</t>
        </is>
      </c>
      <c r="E446" s="5" t="inlineStr">
        <is>
          <t>Wikipedia</t>
        </is>
      </c>
      <c r="F446" s="5" t="n"/>
      <c r="G446" s="5" t="n"/>
      <c r="H446" s="22" t="inlineStr">
        <is>
          <t>https://en.wikipedia.org/wiki/33rd_Filmfare_Awards</t>
        </is>
      </c>
      <c r="I446" s="16" t="n">
        <v>46299</v>
      </c>
      <c r="J446" s="5" t="inlineStr">
        <is>
          <t>Winners and nominees at the 33rd Filmfare Awards, used to confirm each result as a win or a nomination and to date the ceremony.</t>
        </is>
      </c>
      <c r="K446" s="5" t="inlineStr">
        <is>
          <t>Reference encyclopedia</t>
        </is>
      </c>
      <c r="L446" s="5" t="inlineStr">
        <is>
          <t>C</t>
        </is>
      </c>
      <c r="M446" s="5" t="inlineStr">
        <is>
          <t>Downloaded as raw wikitext.</t>
        </is>
      </c>
    </row>
    <row r="447" ht="49" customHeight="1">
      <c r="A447" s="15" t="inlineStr">
        <is>
          <t>SOURCE-446</t>
        </is>
      </c>
      <c r="B447" s="5" t="inlineStr">
        <is>
          <t>FILM-065</t>
        </is>
      </c>
      <c r="C447" s="5" t="n"/>
      <c r="D447" s="5" t="inlineStr">
        <is>
          <t>34th Filmfare Awards</t>
        </is>
      </c>
      <c r="E447" s="5" t="inlineStr">
        <is>
          <t>Wikipedia</t>
        </is>
      </c>
      <c r="F447" s="5" t="n"/>
      <c r="G447" s="5" t="n"/>
      <c r="H447" s="22" t="inlineStr">
        <is>
          <t>https://en.wikipedia.org/wiki/34th_Filmfare_Awards</t>
        </is>
      </c>
      <c r="I447" s="16" t="n">
        <v>46299</v>
      </c>
      <c r="J447" s="5" t="inlineStr">
        <is>
          <t>Winners and nominees at the 34th Filmfare Awards, used to confirm each result as a win or a nomination and to date the ceremony.</t>
        </is>
      </c>
      <c r="K447" s="5" t="inlineStr">
        <is>
          <t>Reference encyclopedia</t>
        </is>
      </c>
      <c r="L447" s="5" t="inlineStr">
        <is>
          <t>C</t>
        </is>
      </c>
      <c r="M447" s="5" t="inlineStr">
        <is>
          <t>Downloaded as raw wikitext.</t>
        </is>
      </c>
    </row>
    <row r="448" ht="49" customHeight="1">
      <c r="A448" s="15" t="inlineStr">
        <is>
          <t>SOURCE-447</t>
        </is>
      </c>
      <c r="B448" s="5" t="inlineStr">
        <is>
          <t>FILM-074</t>
        </is>
      </c>
      <c r="C448" s="5" t="n"/>
      <c r="D448" s="5" t="inlineStr">
        <is>
          <t>37th National Film Awards</t>
        </is>
      </c>
      <c r="E448" s="5" t="inlineStr">
        <is>
          <t>Wikipedia</t>
        </is>
      </c>
      <c r="F448" s="5" t="n"/>
      <c r="G448" s="5" t="n"/>
      <c r="H448" s="22" t="inlineStr">
        <is>
          <t>https://en.wikipedia.org/wiki/37th_National_Film_Awards</t>
        </is>
      </c>
      <c r="I448" s="16" t="n">
        <v>46299</v>
      </c>
      <c r="J448" s="5" t="inlineStr">
        <is>
          <t>Award winners listed at the 37th National Film Awards, used to confirm the category, recipient and ceremony year.</t>
        </is>
      </c>
      <c r="K448" s="5" t="inlineStr">
        <is>
          <t>Reference encyclopedia</t>
        </is>
      </c>
      <c r="L448" s="5" t="inlineStr">
        <is>
          <t>C</t>
        </is>
      </c>
      <c r="M448" s="5" t="inlineStr">
        <is>
          <t>Downloaded as raw wikitext.</t>
        </is>
      </c>
    </row>
    <row r="449" ht="49" customHeight="1">
      <c r="A449" s="15" t="inlineStr">
        <is>
          <t>SOURCE-448</t>
        </is>
      </c>
      <c r="B449" s="5" t="inlineStr">
        <is>
          <t>FILM-074</t>
        </is>
      </c>
      <c r="C449" s="5" t="n"/>
      <c r="D449" s="5" t="inlineStr">
        <is>
          <t>35th Filmfare Awards</t>
        </is>
      </c>
      <c r="E449" s="5" t="inlineStr">
        <is>
          <t>Wikipedia</t>
        </is>
      </c>
      <c r="F449" s="5" t="n"/>
      <c r="G449" s="5" t="n"/>
      <c r="H449" s="22" t="inlineStr">
        <is>
          <t>https://en.wikipedia.org/wiki/35th_Filmfare_Awards</t>
        </is>
      </c>
      <c r="I449" s="16" t="n">
        <v>46299</v>
      </c>
      <c r="J449" s="5" t="inlineStr">
        <is>
          <t>Winners and nominees at the 35th Filmfare Awards, used to confirm each result as a win or a nomination and to date the ceremony.</t>
        </is>
      </c>
      <c r="K449" s="5" t="inlineStr">
        <is>
          <t>Reference encyclopedia</t>
        </is>
      </c>
      <c r="L449" s="5" t="inlineStr">
        <is>
          <t>C</t>
        </is>
      </c>
      <c r="M449" s="5" t="inlineStr">
        <is>
          <t>Downloaded as raw wikitext.</t>
        </is>
      </c>
    </row>
    <row r="450" ht="49" customHeight="1">
      <c r="A450" s="15" t="inlineStr">
        <is>
          <t>SOURCE-449</t>
        </is>
      </c>
      <c r="B450" s="5" t="inlineStr">
        <is>
          <t>FILM-081</t>
        </is>
      </c>
      <c r="C450" s="5" t="n"/>
      <c r="D450" s="5" t="inlineStr">
        <is>
          <t>37th Filmfare Awards</t>
        </is>
      </c>
      <c r="E450" s="5" t="inlineStr">
        <is>
          <t>Wikipedia</t>
        </is>
      </c>
      <c r="F450" s="5" t="n"/>
      <c r="G450" s="5" t="n"/>
      <c r="H450" s="22" t="inlineStr">
        <is>
          <t>https://en.wikipedia.org/wiki/37th_Filmfare_Awards</t>
        </is>
      </c>
      <c r="I450" s="16" t="n">
        <v>46299</v>
      </c>
      <c r="J450" s="5" t="inlineStr">
        <is>
          <t>Winners and nominees at the 37th Filmfare Awards, used to confirm each result as a win or a nomination and to date the ceremony.</t>
        </is>
      </c>
      <c r="K450" s="5" t="inlineStr">
        <is>
          <t>Reference encyclopedia</t>
        </is>
      </c>
      <c r="L450" s="5" t="inlineStr">
        <is>
          <t>C</t>
        </is>
      </c>
      <c r="M450" s="5" t="inlineStr">
        <is>
          <t>Downloaded as raw wikitext.</t>
        </is>
      </c>
    </row>
    <row r="451" ht="49" customHeight="1">
      <c r="A451" s="15" t="inlineStr">
        <is>
          <t>SOURCE-450</t>
        </is>
      </c>
      <c r="B451" s="5" t="inlineStr">
        <is>
          <t>FILM-087; FILM-089</t>
        </is>
      </c>
      <c r="C451" s="5" t="n"/>
      <c r="D451" s="5" t="inlineStr">
        <is>
          <t>38th Filmfare Awards</t>
        </is>
      </c>
      <c r="E451" s="5" t="inlineStr">
        <is>
          <t>Wikipedia</t>
        </is>
      </c>
      <c r="F451" s="5" t="n"/>
      <c r="G451" s="5" t="n"/>
      <c r="H451" s="22" t="inlineStr">
        <is>
          <t>https://en.wikipedia.org/wiki/38th_Filmfare_Awards</t>
        </is>
      </c>
      <c r="I451" s="16" t="n">
        <v>46299</v>
      </c>
      <c r="J451" s="5" t="inlineStr">
        <is>
          <t>Winners and nominees at the 38th Filmfare Awards, used to confirm each result as a win or a nomination and to date the ceremony.</t>
        </is>
      </c>
      <c r="K451" s="5" t="inlineStr">
        <is>
          <t>Reference encyclopedia</t>
        </is>
      </c>
      <c r="L451" s="5" t="inlineStr">
        <is>
          <t>C</t>
        </is>
      </c>
      <c r="M451" s="5" t="inlineStr">
        <is>
          <t>Downloaded as raw wikitext.</t>
        </is>
      </c>
    </row>
    <row r="452" ht="49" customHeight="1">
      <c r="A452" s="15" t="inlineStr">
        <is>
          <t>SOURCE-451</t>
        </is>
      </c>
      <c r="B452" s="5" t="inlineStr">
        <is>
          <t>FILM-093</t>
        </is>
      </c>
      <c r="C452" s="5" t="n"/>
      <c r="D452" s="5" t="inlineStr">
        <is>
          <t>40th National Film Awards</t>
        </is>
      </c>
      <c r="E452" s="5" t="inlineStr">
        <is>
          <t>Wikipedia</t>
        </is>
      </c>
      <c r="F452" s="5" t="n"/>
      <c r="G452" s="5" t="n"/>
      <c r="H452" s="22" t="inlineStr">
        <is>
          <t>https://en.wikipedia.org/wiki/40th_National_Film_Awards</t>
        </is>
      </c>
      <c r="I452" s="16" t="n">
        <v>46299</v>
      </c>
      <c r="J452" s="5" t="inlineStr">
        <is>
          <t>Award winners listed at the 40th National Film Awards, used to confirm the category, recipient and ceremony year.</t>
        </is>
      </c>
      <c r="K452" s="5" t="inlineStr">
        <is>
          <t>Reference encyclopedia</t>
        </is>
      </c>
      <c r="L452" s="5" t="inlineStr">
        <is>
          <t>C</t>
        </is>
      </c>
      <c r="M452" s="5" t="inlineStr">
        <is>
          <t>Downloaded as raw wikitext.</t>
        </is>
      </c>
    </row>
    <row r="453" ht="49" customHeight="1">
      <c r="A453" s="15" t="inlineStr">
        <is>
          <t>SOURCE-452</t>
        </is>
      </c>
      <c r="B453" s="5" t="inlineStr">
        <is>
          <t>FILM-092; FILM-093</t>
        </is>
      </c>
      <c r="C453" s="5" t="n"/>
      <c r="D453" s="5" t="inlineStr">
        <is>
          <t>39th Filmfare Awards</t>
        </is>
      </c>
      <c r="E453" s="5" t="inlineStr">
        <is>
          <t>Wikipedia</t>
        </is>
      </c>
      <c r="F453" s="5" t="n"/>
      <c r="G453" s="5" t="n"/>
      <c r="H453" s="22" t="inlineStr">
        <is>
          <t>https://en.wikipedia.org/wiki/39th_Filmfare_Awards</t>
        </is>
      </c>
      <c r="I453" s="16" t="n">
        <v>46299</v>
      </c>
      <c r="J453" s="5" t="inlineStr">
        <is>
          <t>Winners and nominees at the 39th Filmfare Awards, used to confirm each result as a win or a nomination and to date the ceremony.</t>
        </is>
      </c>
      <c r="K453" s="5" t="inlineStr">
        <is>
          <t>Reference encyclopedia</t>
        </is>
      </c>
      <c r="L453" s="5" t="inlineStr">
        <is>
          <t>C</t>
        </is>
      </c>
      <c r="M453" s="5" t="inlineStr">
        <is>
          <t>Downloaded as raw wikitext.</t>
        </is>
      </c>
    </row>
    <row r="454" ht="49" customHeight="1">
      <c r="A454" s="15" t="inlineStr">
        <is>
          <t>SOURCE-453</t>
        </is>
      </c>
      <c r="B454" s="5" t="inlineStr">
        <is>
          <t>FILM-106</t>
        </is>
      </c>
      <c r="C454" s="5" t="n"/>
      <c r="D454" s="5" t="inlineStr">
        <is>
          <t>41st Filmfare Awards</t>
        </is>
      </c>
      <c r="E454" s="5" t="inlineStr">
        <is>
          <t>Wikipedia</t>
        </is>
      </c>
      <c r="F454" s="5" t="n"/>
      <c r="G454" s="5" t="n"/>
      <c r="H454" s="22" t="inlineStr">
        <is>
          <t>https://en.wikipedia.org/wiki/41st_Filmfare_Awards</t>
        </is>
      </c>
      <c r="I454" s="16" t="n">
        <v>46299</v>
      </c>
      <c r="J454" s="5" t="inlineStr">
        <is>
          <t>Winners and nominees at the 41st Filmfare Awards, used to confirm each result as a win or a nomination and to date the ceremony.</t>
        </is>
      </c>
      <c r="K454" s="5" t="inlineStr">
        <is>
          <t>Reference encyclopedia</t>
        </is>
      </c>
      <c r="L454" s="5" t="inlineStr">
        <is>
          <t>C</t>
        </is>
      </c>
      <c r="M454" s="5" t="inlineStr">
        <is>
          <t>Downloaded as raw wikitext.</t>
        </is>
      </c>
    </row>
    <row r="455" ht="49" customHeight="1">
      <c r="A455" s="15" t="inlineStr">
        <is>
          <t>SOURCE-454</t>
        </is>
      </c>
      <c r="B455" s="5" t="inlineStr">
        <is>
          <t>FILM-108</t>
        </is>
      </c>
      <c r="C455" s="5" t="n"/>
      <c r="D455" s="5" t="inlineStr">
        <is>
          <t>42nd Filmfare Awards</t>
        </is>
      </c>
      <c r="E455" s="5" t="inlineStr">
        <is>
          <t>Wikipedia</t>
        </is>
      </c>
      <c r="F455" s="5" t="n"/>
      <c r="G455" s="5" t="n"/>
      <c r="H455" s="22" t="inlineStr">
        <is>
          <t>https://en.wikipedia.org/wiki/42nd_Filmfare_Awards</t>
        </is>
      </c>
      <c r="I455" s="16" t="n">
        <v>46299</v>
      </c>
      <c r="J455" s="5" t="inlineStr">
        <is>
          <t>Winners and nominees at the 42nd Filmfare Awards, used to confirm each result as a win or a nomination and to date the ceremony.</t>
        </is>
      </c>
      <c r="K455" s="5" t="inlineStr">
        <is>
          <t>Reference encyclopedia</t>
        </is>
      </c>
      <c r="L455" s="5" t="inlineStr">
        <is>
          <t>C</t>
        </is>
      </c>
      <c r="M455" s="5" t="inlineStr">
        <is>
          <t>Downloaded as raw wikitext.</t>
        </is>
      </c>
    </row>
    <row r="456" ht="49" customHeight="1">
      <c r="A456" s="15" t="inlineStr">
        <is>
          <t>SOURCE-455</t>
        </is>
      </c>
      <c r="B456" s="5" t="inlineStr">
        <is>
          <t>FILM-117</t>
        </is>
      </c>
      <c r="C456" s="5" t="n"/>
      <c r="D456" s="5" t="inlineStr">
        <is>
          <t>49th Filmfare Awards</t>
        </is>
      </c>
      <c r="E456" s="5" t="inlineStr">
        <is>
          <t>Wikipedia</t>
        </is>
      </c>
      <c r="F456" s="5" t="n"/>
      <c r="G456" s="5" t="n"/>
      <c r="H456" s="22" t="inlineStr">
        <is>
          <t>https://en.wikipedia.org/wiki/49th_Filmfare_Awards</t>
        </is>
      </c>
      <c r="I456" s="16" t="n">
        <v>46299</v>
      </c>
      <c r="J456" s="5" t="inlineStr">
        <is>
          <t>Winners and nominees at the 49th Filmfare Awards, used to confirm each result as a win or a nomination and to date the ceremony.</t>
        </is>
      </c>
      <c r="K456" s="5" t="inlineStr">
        <is>
          <t>Reference encyclopedia</t>
        </is>
      </c>
      <c r="L456" s="5" t="inlineStr">
        <is>
          <t>C</t>
        </is>
      </c>
      <c r="M456" s="5" t="inlineStr">
        <is>
          <t>Downloaded as raw wikitext.</t>
        </is>
      </c>
    </row>
    <row r="457" ht="49" customHeight="1">
      <c r="A457" s="15" t="inlineStr">
        <is>
          <t>SOURCE-456</t>
        </is>
      </c>
      <c r="B457" s="5" t="inlineStr">
        <is>
          <t>FILM-118</t>
        </is>
      </c>
      <c r="C457" s="5" t="n"/>
      <c r="D457" s="5" t="inlineStr">
        <is>
          <t>52nd National Film Awards</t>
        </is>
      </c>
      <c r="E457" s="5" t="inlineStr">
        <is>
          <t>Wikipedia</t>
        </is>
      </c>
      <c r="F457" s="5" t="n"/>
      <c r="G457" s="5" t="n"/>
      <c r="H457" s="22" t="inlineStr">
        <is>
          <t>https://en.wikipedia.org/wiki/52nd_National_Film_Awards</t>
        </is>
      </c>
      <c r="I457" s="16" t="n">
        <v>46299</v>
      </c>
      <c r="J457" s="5" t="inlineStr">
        <is>
          <t>Award winners listed at the 52nd National Film Awards, used to confirm the category, recipient and ceremony year.</t>
        </is>
      </c>
      <c r="K457" s="5" t="inlineStr">
        <is>
          <t>Reference encyclopedia</t>
        </is>
      </c>
      <c r="L457" s="5" t="inlineStr">
        <is>
          <t>C</t>
        </is>
      </c>
      <c r="M457" s="5" t="inlineStr">
        <is>
          <t>Downloaded as raw wikitext.</t>
        </is>
      </c>
    </row>
    <row r="458" ht="49" customHeight="1">
      <c r="A458" s="15" t="inlineStr">
        <is>
          <t>SOURCE-457</t>
        </is>
      </c>
      <c r="B458" s="5" t="inlineStr">
        <is>
          <t>FILM-118</t>
        </is>
      </c>
      <c r="C458" s="5" t="n"/>
      <c r="D458" s="5" t="inlineStr">
        <is>
          <t>50th Filmfare Awards</t>
        </is>
      </c>
      <c r="E458" s="5" t="inlineStr">
        <is>
          <t>Wikipedia</t>
        </is>
      </c>
      <c r="F458" s="5" t="n"/>
      <c r="G458" s="5" t="n"/>
      <c r="H458" s="22" t="inlineStr">
        <is>
          <t>https://en.wikipedia.org/wiki/50th_Filmfare_Awards</t>
        </is>
      </c>
      <c r="I458" s="16" t="n">
        <v>46299</v>
      </c>
      <c r="J458" s="5" t="inlineStr">
        <is>
          <t>Winners and nominees at the 50th Filmfare Awards, used to confirm each result as a win or a nomination and to date the ceremony.</t>
        </is>
      </c>
      <c r="K458" s="5" t="inlineStr">
        <is>
          <t>Reference encyclopedia</t>
        </is>
      </c>
      <c r="L458" s="5" t="inlineStr">
        <is>
          <t>C</t>
        </is>
      </c>
      <c r="M458" s="5" t="inlineStr">
        <is>
          <t>Downloaded as raw wikitext.</t>
        </is>
      </c>
    </row>
    <row r="459" ht="49" customHeight="1">
      <c r="A459" s="15" t="inlineStr">
        <is>
          <t>SOURCE-458</t>
        </is>
      </c>
      <c r="B459" s="5" t="inlineStr">
        <is>
          <t>FILM-120</t>
        </is>
      </c>
      <c r="C459" s="5" t="n"/>
      <c r="D459" s="5" t="inlineStr">
        <is>
          <t>52nd Filmfare Awards</t>
        </is>
      </c>
      <c r="E459" s="5" t="inlineStr">
        <is>
          <t>Wikipedia</t>
        </is>
      </c>
      <c r="F459" s="5" t="n"/>
      <c r="G459" s="5" t="n"/>
      <c r="H459" s="22" t="inlineStr">
        <is>
          <t>https://en.wikipedia.org/wiki/52nd_Filmfare_Awards</t>
        </is>
      </c>
      <c r="I459" s="16" t="n">
        <v>46299</v>
      </c>
      <c r="J459" s="5" t="inlineStr">
        <is>
          <t>Winners and nominees at the 52nd Filmfare Awards, used to confirm each result as a win or a nomination and to date the ceremony.</t>
        </is>
      </c>
      <c r="K459" s="5" t="inlineStr">
        <is>
          <t>Reference encyclopedia</t>
        </is>
      </c>
      <c r="L459" s="5" t="inlineStr">
        <is>
          <t>C</t>
        </is>
      </c>
      <c r="M459" s="5" t="inlineStr">
        <is>
          <t>Downloaded as raw wikitext.</t>
        </is>
      </c>
    </row>
    <row r="460" ht="49" customHeight="1">
      <c r="A460" s="15" t="inlineStr">
        <is>
          <t>SOURCE-459</t>
        </is>
      </c>
      <c r="B460" s="5" t="inlineStr">
        <is>
          <t>FILM-123; FILM-125</t>
        </is>
      </c>
      <c r="C460" s="5" t="n"/>
      <c r="D460" s="5" t="inlineStr">
        <is>
          <t>53rd Filmfare Awards</t>
        </is>
      </c>
      <c r="E460" s="5" t="inlineStr">
        <is>
          <t>Wikipedia</t>
        </is>
      </c>
      <c r="F460" s="5" t="n"/>
      <c r="G460" s="5" t="n"/>
      <c r="H460" s="22" t="inlineStr">
        <is>
          <t>https://en.wikipedia.org/wiki/53rd_Filmfare_Awards</t>
        </is>
      </c>
      <c r="I460" s="16" t="n">
        <v>46299</v>
      </c>
      <c r="J460" s="5" t="inlineStr">
        <is>
          <t>Winners and nominees at the 53rd Filmfare Awards, used to confirm each result as a win or a nomination and to date the ceremony.</t>
        </is>
      </c>
      <c r="K460" s="5" t="inlineStr">
        <is>
          <t>Reference encyclopedia</t>
        </is>
      </c>
      <c r="L460" s="5" t="inlineStr">
        <is>
          <t>C</t>
        </is>
      </c>
      <c r="M460" s="5" t="inlineStr">
        <is>
          <t>Downloaded as raw wikitext.</t>
        </is>
      </c>
    </row>
    <row r="461" ht="49" customHeight="1">
      <c r="A461" s="15" t="inlineStr">
        <is>
          <t>SOURCE-460</t>
        </is>
      </c>
      <c r="B461" s="5" t="inlineStr">
        <is>
          <t>FILM-125</t>
        </is>
      </c>
      <c r="C461" s="5" t="n"/>
      <c r="D461" s="5" t="inlineStr">
        <is>
          <t>55th National Film Awards</t>
        </is>
      </c>
      <c r="E461" s="5" t="inlineStr">
        <is>
          <t>Wikipedia</t>
        </is>
      </c>
      <c r="F461" s="5" t="n"/>
      <c r="G461" s="5" t="n"/>
      <c r="H461" s="22" t="inlineStr">
        <is>
          <t>https://en.wikipedia.org/wiki/55th_National_Film_Awards</t>
        </is>
      </c>
      <c r="I461" s="16" t="n">
        <v>46299</v>
      </c>
      <c r="J461" s="5" t="inlineStr">
        <is>
          <t>Award winners listed at the 55th National Film Awards, used to confirm the category, recipient and ceremony year.</t>
        </is>
      </c>
      <c r="K461" s="5" t="inlineStr">
        <is>
          <t>Reference encyclopedia</t>
        </is>
      </c>
      <c r="L461" s="5" t="inlineStr">
        <is>
          <t>C</t>
        </is>
      </c>
      <c r="M461" s="5" t="inlineStr">
        <is>
          <t>Downloaded as raw wikitext.</t>
        </is>
      </c>
    </row>
    <row r="462" ht="49" customHeight="1">
      <c r="A462" s="15" t="inlineStr">
        <is>
          <t>SOURCE-461</t>
        </is>
      </c>
      <c r="B462" s="5" t="inlineStr">
        <is>
          <t>FILM-128; FILM-129; FILM-131</t>
        </is>
      </c>
      <c r="C462" s="5" t="n"/>
      <c r="D462" s="5" t="inlineStr">
        <is>
          <t>55th Filmfare Awards</t>
        </is>
      </c>
      <c r="E462" s="5" t="inlineStr">
        <is>
          <t>Wikipedia</t>
        </is>
      </c>
      <c r="F462" s="5" t="n"/>
      <c r="G462" s="5" t="n"/>
      <c r="H462" s="22" t="inlineStr">
        <is>
          <t>https://en.wikipedia.org/wiki/55th_Filmfare_Awards</t>
        </is>
      </c>
      <c r="I462" s="16" t="n">
        <v>46299</v>
      </c>
      <c r="J462" s="5" t="inlineStr">
        <is>
          <t>Winners and nominees at the 55th Filmfare Awards, used to confirm each result as a win or a nomination and to date the ceremony.</t>
        </is>
      </c>
      <c r="K462" s="5" t="inlineStr">
        <is>
          <t>Reference encyclopedia</t>
        </is>
      </c>
      <c r="L462" s="5" t="inlineStr">
        <is>
          <t>C</t>
        </is>
      </c>
      <c r="M462" s="5" t="inlineStr">
        <is>
          <t>Downloaded as raw wikitext.</t>
        </is>
      </c>
    </row>
    <row r="463" ht="49" customHeight="1">
      <c r="A463" s="15" t="inlineStr">
        <is>
          <t>SOURCE-462</t>
        </is>
      </c>
      <c r="B463" s="5" t="inlineStr">
        <is>
          <t>FILM-129</t>
        </is>
      </c>
      <c r="C463" s="5" t="n"/>
      <c r="D463" s="5" t="inlineStr">
        <is>
          <t>57th National Film Awards</t>
        </is>
      </c>
      <c r="E463" s="5" t="inlineStr">
        <is>
          <t>Wikipedia</t>
        </is>
      </c>
      <c r="F463" s="5" t="n"/>
      <c r="G463" s="5" t="n"/>
      <c r="H463" s="22" t="inlineStr">
        <is>
          <t>https://en.wikipedia.org/wiki/57th_National_Film_Awards</t>
        </is>
      </c>
      <c r="I463" s="16" t="n">
        <v>46299</v>
      </c>
      <c r="J463" s="5" t="inlineStr">
        <is>
          <t>Award winners listed at the 57th National Film Awards, used to confirm the category, recipient and ceremony year.</t>
        </is>
      </c>
      <c r="K463" s="5" t="inlineStr">
        <is>
          <t>Reference encyclopedia</t>
        </is>
      </c>
      <c r="L463" s="5" t="inlineStr">
        <is>
          <t>C</t>
        </is>
      </c>
      <c r="M463" s="5" t="inlineStr">
        <is>
          <t>Downloaded as raw wikitext.</t>
        </is>
      </c>
    </row>
    <row r="464" ht="49" customHeight="1">
      <c r="A464" s="15" t="inlineStr">
        <is>
          <t>SOURCE-463</t>
        </is>
      </c>
      <c r="B464" s="5" t="inlineStr">
        <is>
          <t>FILM-134</t>
        </is>
      </c>
      <c r="C464" s="5" t="n"/>
      <c r="D464" s="5" t="inlineStr">
        <is>
          <t>58th National Film Awards</t>
        </is>
      </c>
      <c r="E464" s="5" t="inlineStr">
        <is>
          <t>Wikipedia</t>
        </is>
      </c>
      <c r="F464" s="5" t="n"/>
      <c r="G464" s="5" t="n"/>
      <c r="H464" s="22" t="inlineStr">
        <is>
          <t>https://en.wikipedia.org/wiki/58th_National_Film_Awards</t>
        </is>
      </c>
      <c r="I464" s="16" t="n">
        <v>46299</v>
      </c>
      <c r="J464" s="5" t="inlineStr">
        <is>
          <t>Award winners listed at the 58th National Film Awards, used to confirm the category, recipient and ceremony year.</t>
        </is>
      </c>
      <c r="K464" s="5" t="inlineStr">
        <is>
          <t>Reference encyclopedia</t>
        </is>
      </c>
      <c r="L464" s="5" t="inlineStr">
        <is>
          <t>C</t>
        </is>
      </c>
      <c r="M464" s="5" t="inlineStr">
        <is>
          <t>Downloaded as raw wikitext.</t>
        </is>
      </c>
    </row>
    <row r="465" ht="49" customHeight="1">
      <c r="A465" s="15" t="inlineStr">
        <is>
          <t>SOURCE-464</t>
        </is>
      </c>
      <c r="B465" s="5" t="inlineStr">
        <is>
          <t>FILM-134</t>
        </is>
      </c>
      <c r="C465" s="5" t="n"/>
      <c r="D465" s="5" t="inlineStr">
        <is>
          <t>56th Filmfare Awards</t>
        </is>
      </c>
      <c r="E465" s="5" t="inlineStr">
        <is>
          <t>Wikipedia</t>
        </is>
      </c>
      <c r="F465" s="5" t="n"/>
      <c r="G465" s="5" t="n"/>
      <c r="H465" s="22" t="inlineStr">
        <is>
          <t>https://en.wikipedia.org/wiki/56th_Filmfare_Awards</t>
        </is>
      </c>
      <c r="I465" s="16" t="n">
        <v>46299</v>
      </c>
      <c r="J465" s="5" t="inlineStr">
        <is>
          <t>Winners and nominees at the 56th Filmfare Awards, used to confirm each result as a win or a nomination and to date the ceremony.</t>
        </is>
      </c>
      <c r="K465" s="5" t="inlineStr">
        <is>
          <t>Reference encyclopedia</t>
        </is>
      </c>
      <c r="L465" s="5" t="inlineStr">
        <is>
          <t>C</t>
        </is>
      </c>
      <c r="M465" s="5" t="inlineStr">
        <is>
          <t>Downloaded as raw wikitext.</t>
        </is>
      </c>
    </row>
    <row r="466" ht="49" customHeight="1">
      <c r="A466" s="15" t="inlineStr">
        <is>
          <t>SOURCE-465</t>
        </is>
      </c>
      <c r="B466" s="5" t="inlineStr">
        <is>
          <t>FILM-137; FILM-139; FILM-140</t>
        </is>
      </c>
      <c r="C466" s="5" t="n"/>
      <c r="D466" s="5" t="inlineStr">
        <is>
          <t>58th Filmfare Awards</t>
        </is>
      </c>
      <c r="E466" s="5" t="inlineStr">
        <is>
          <t>Wikipedia</t>
        </is>
      </c>
      <c r="F466" s="5" t="n"/>
      <c r="G466" s="5" t="n"/>
      <c r="H466" s="22" t="inlineStr">
        <is>
          <t>https://en.wikipedia.org/wiki/58th_Filmfare_Awards</t>
        </is>
      </c>
      <c r="I466" s="16" t="n">
        <v>46299</v>
      </c>
      <c r="J466" s="5" t="inlineStr">
        <is>
          <t>Winners and nominees at the 58th Filmfare Awards, used to confirm each result as a win or a nomination and to date the ceremony.</t>
        </is>
      </c>
      <c r="K466" s="5" t="inlineStr">
        <is>
          <t>Reference encyclopedia</t>
        </is>
      </c>
      <c r="L466" s="5" t="inlineStr">
        <is>
          <t>C</t>
        </is>
      </c>
      <c r="M466" s="5" t="inlineStr">
        <is>
          <t>Downloaded as raw wikitext.</t>
        </is>
      </c>
    </row>
    <row r="467" ht="49" customHeight="1">
      <c r="A467" s="15" t="inlineStr">
        <is>
          <t>SOURCE-466</t>
        </is>
      </c>
      <c r="B467" s="5" t="inlineStr">
        <is>
          <t>FILM-143; FILM-144</t>
        </is>
      </c>
      <c r="C467" s="5" t="n"/>
      <c r="D467" s="5" t="inlineStr">
        <is>
          <t>59th Filmfare Awards</t>
        </is>
      </c>
      <c r="E467" s="5" t="inlineStr">
        <is>
          <t>Wikipedia</t>
        </is>
      </c>
      <c r="F467" s="5" t="n"/>
      <c r="G467" s="5" t="n"/>
      <c r="H467" s="22" t="inlineStr">
        <is>
          <t>https://en.wikipedia.org/wiki/59th_Filmfare_Awards</t>
        </is>
      </c>
      <c r="I467" s="16" t="n">
        <v>46299</v>
      </c>
      <c r="J467" s="5" t="inlineStr">
        <is>
          <t>Winners and nominees at the 59th Filmfare Awards, used to confirm each result as a win or a nomination and to date the ceremony.</t>
        </is>
      </c>
      <c r="K467" s="5" t="inlineStr">
        <is>
          <t>Reference encyclopedia</t>
        </is>
      </c>
      <c r="L467" s="5" t="inlineStr">
        <is>
          <t>C</t>
        </is>
      </c>
      <c r="M467" s="5" t="inlineStr">
        <is>
          <t>Downloaded as raw wikitext.</t>
        </is>
      </c>
    </row>
    <row r="468" ht="49" customHeight="1">
      <c r="A468" s="15" t="inlineStr">
        <is>
          <t>SOURCE-467</t>
        </is>
      </c>
      <c r="B468" s="5" t="inlineStr">
        <is>
          <t>FILM-152</t>
        </is>
      </c>
      <c r="C468" s="5" t="n"/>
      <c r="D468" s="5" t="inlineStr">
        <is>
          <t>62nd Filmfare Awards</t>
        </is>
      </c>
      <c r="E468" s="5" t="inlineStr">
        <is>
          <t>Wikipedia</t>
        </is>
      </c>
      <c r="F468" s="5" t="n"/>
      <c r="G468" s="5" t="n"/>
      <c r="H468" s="22" t="inlineStr">
        <is>
          <t>https://en.wikipedia.org/wiki/62nd_Filmfare_Awards</t>
        </is>
      </c>
      <c r="I468" s="16" t="n">
        <v>46299</v>
      </c>
      <c r="J468" s="5" t="inlineStr">
        <is>
          <t>Winners and nominees at the 62nd Filmfare Awards, used to confirm each result as a win or a nomination and to date the ceremony.</t>
        </is>
      </c>
      <c r="K468" s="5" t="inlineStr">
        <is>
          <t>Reference encyclopedia</t>
        </is>
      </c>
      <c r="L468" s="5" t="inlineStr">
        <is>
          <t>C</t>
        </is>
      </c>
      <c r="M468" s="5" t="inlineStr">
        <is>
          <t>Downloaded as raw wikitext.</t>
        </is>
      </c>
    </row>
    <row r="469" ht="49" customHeight="1">
      <c r="A469" s="15" t="inlineStr">
        <is>
          <t>SOURCE-468</t>
        </is>
      </c>
      <c r="B469" s="5" t="inlineStr">
        <is>
          <t>FILM-155; FILM-156</t>
        </is>
      </c>
      <c r="C469" s="5" t="n"/>
      <c r="D469" s="5" t="inlineStr">
        <is>
          <t>64th Filmfare Awards</t>
        </is>
      </c>
      <c r="E469" s="5" t="inlineStr">
        <is>
          <t>Wikipedia</t>
        </is>
      </c>
      <c r="F469" s="5" t="n"/>
      <c r="G469" s="5" t="n"/>
      <c r="H469" s="22" t="inlineStr">
        <is>
          <t>https://en.wikipedia.org/wiki/64th_Filmfare_Awards</t>
        </is>
      </c>
      <c r="I469" s="16" t="n">
        <v>46299</v>
      </c>
      <c r="J469" s="5" t="inlineStr">
        <is>
          <t>Winners and nominees at the 64th Filmfare Awards, used to confirm each result as a win or a nomination and to date the ceremony.</t>
        </is>
      </c>
      <c r="K469" s="5" t="inlineStr">
        <is>
          <t>Reference encyclopedia</t>
        </is>
      </c>
      <c r="L469" s="5" t="inlineStr">
        <is>
          <t>C</t>
        </is>
      </c>
      <c r="M469" s="5" t="inlineStr">
        <is>
          <t>Downloaded as raw wikitext.</t>
        </is>
      </c>
    </row>
  </sheetData>
  <autoFilter ref="A1:M469"/>
  <dataValidations count="1">
    <dataValidation sqref="L2:L669" showDropDown="0" showInputMessage="0" showErrorMessage="1" allowBlank="1" errorTitle="Reliability Tier" error="Choose a value from the list." type="list">
      <formula1>"A,B,C,D"</formula1>
    </dataValidation>
  </dataValidations>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 xmlns:r="http://schemas.openxmlformats.org/officeDocument/2006/relationships" ref="H126" r:id="rId125"/>
    <hyperlink xmlns:r="http://schemas.openxmlformats.org/officeDocument/2006/relationships" ref="H127" r:id="rId126"/>
    <hyperlink xmlns:r="http://schemas.openxmlformats.org/officeDocument/2006/relationships" ref="H128" r:id="rId127"/>
    <hyperlink xmlns:r="http://schemas.openxmlformats.org/officeDocument/2006/relationships" ref="H129" r:id="rId128"/>
    <hyperlink xmlns:r="http://schemas.openxmlformats.org/officeDocument/2006/relationships" ref="H130" r:id="rId129"/>
    <hyperlink xmlns:r="http://schemas.openxmlformats.org/officeDocument/2006/relationships" ref="H131" r:id="rId130"/>
    <hyperlink xmlns:r="http://schemas.openxmlformats.org/officeDocument/2006/relationships" ref="H132" r:id="rId131"/>
    <hyperlink xmlns:r="http://schemas.openxmlformats.org/officeDocument/2006/relationships" ref="H133" r:id="rId132"/>
    <hyperlink xmlns:r="http://schemas.openxmlformats.org/officeDocument/2006/relationships" ref="H134" r:id="rId133"/>
    <hyperlink xmlns:r="http://schemas.openxmlformats.org/officeDocument/2006/relationships" ref="H135" r:id="rId134"/>
    <hyperlink xmlns:r="http://schemas.openxmlformats.org/officeDocument/2006/relationships" ref="H136" r:id="rId135"/>
    <hyperlink xmlns:r="http://schemas.openxmlformats.org/officeDocument/2006/relationships" ref="H137" r:id="rId136"/>
    <hyperlink xmlns:r="http://schemas.openxmlformats.org/officeDocument/2006/relationships" ref="H138" r:id="rId137"/>
    <hyperlink xmlns:r="http://schemas.openxmlformats.org/officeDocument/2006/relationships" ref="H139" r:id="rId138"/>
    <hyperlink xmlns:r="http://schemas.openxmlformats.org/officeDocument/2006/relationships" ref="H140" r:id="rId139"/>
    <hyperlink xmlns:r="http://schemas.openxmlformats.org/officeDocument/2006/relationships" ref="H141" r:id="rId140"/>
    <hyperlink xmlns:r="http://schemas.openxmlformats.org/officeDocument/2006/relationships" ref="H142" r:id="rId141"/>
    <hyperlink xmlns:r="http://schemas.openxmlformats.org/officeDocument/2006/relationships" ref="H143" r:id="rId142"/>
    <hyperlink xmlns:r="http://schemas.openxmlformats.org/officeDocument/2006/relationships" ref="H144" r:id="rId143"/>
    <hyperlink xmlns:r="http://schemas.openxmlformats.org/officeDocument/2006/relationships" ref="H145" r:id="rId144"/>
    <hyperlink xmlns:r="http://schemas.openxmlformats.org/officeDocument/2006/relationships" ref="H146" r:id="rId145"/>
    <hyperlink xmlns:r="http://schemas.openxmlformats.org/officeDocument/2006/relationships" ref="H147" r:id="rId146"/>
    <hyperlink xmlns:r="http://schemas.openxmlformats.org/officeDocument/2006/relationships" ref="H148" r:id="rId147"/>
    <hyperlink xmlns:r="http://schemas.openxmlformats.org/officeDocument/2006/relationships" ref="H149" r:id="rId148"/>
    <hyperlink xmlns:r="http://schemas.openxmlformats.org/officeDocument/2006/relationships" ref="H150" r:id="rId149"/>
    <hyperlink xmlns:r="http://schemas.openxmlformats.org/officeDocument/2006/relationships" ref="H151" r:id="rId150"/>
    <hyperlink xmlns:r="http://schemas.openxmlformats.org/officeDocument/2006/relationships" ref="H152" r:id="rId151"/>
    <hyperlink xmlns:r="http://schemas.openxmlformats.org/officeDocument/2006/relationships" ref="H153" r:id="rId152"/>
    <hyperlink xmlns:r="http://schemas.openxmlformats.org/officeDocument/2006/relationships" ref="H154" r:id="rId153"/>
    <hyperlink xmlns:r="http://schemas.openxmlformats.org/officeDocument/2006/relationships" ref="H155" r:id="rId154"/>
    <hyperlink xmlns:r="http://schemas.openxmlformats.org/officeDocument/2006/relationships" ref="H156" r:id="rId155"/>
    <hyperlink xmlns:r="http://schemas.openxmlformats.org/officeDocument/2006/relationships" ref="H157" r:id="rId156"/>
    <hyperlink xmlns:r="http://schemas.openxmlformats.org/officeDocument/2006/relationships" ref="H158" r:id="rId157"/>
    <hyperlink xmlns:r="http://schemas.openxmlformats.org/officeDocument/2006/relationships" ref="H159" r:id="rId158"/>
    <hyperlink xmlns:r="http://schemas.openxmlformats.org/officeDocument/2006/relationships" ref="H160" r:id="rId159"/>
    <hyperlink xmlns:r="http://schemas.openxmlformats.org/officeDocument/2006/relationships" ref="H161" r:id="rId160"/>
    <hyperlink xmlns:r="http://schemas.openxmlformats.org/officeDocument/2006/relationships" ref="H162" r:id="rId161"/>
    <hyperlink xmlns:r="http://schemas.openxmlformats.org/officeDocument/2006/relationships" ref="H163" r:id="rId162"/>
    <hyperlink xmlns:r="http://schemas.openxmlformats.org/officeDocument/2006/relationships" ref="H164" r:id="rId163"/>
    <hyperlink xmlns:r="http://schemas.openxmlformats.org/officeDocument/2006/relationships" ref="H165" r:id="rId164"/>
    <hyperlink xmlns:r="http://schemas.openxmlformats.org/officeDocument/2006/relationships" ref="H166" r:id="rId165"/>
    <hyperlink xmlns:r="http://schemas.openxmlformats.org/officeDocument/2006/relationships" ref="H167" r:id="rId166"/>
    <hyperlink xmlns:r="http://schemas.openxmlformats.org/officeDocument/2006/relationships" ref="H168" r:id="rId167"/>
    <hyperlink xmlns:r="http://schemas.openxmlformats.org/officeDocument/2006/relationships" ref="H169" r:id="rId168"/>
    <hyperlink xmlns:r="http://schemas.openxmlformats.org/officeDocument/2006/relationships" ref="H170" r:id="rId169"/>
    <hyperlink xmlns:r="http://schemas.openxmlformats.org/officeDocument/2006/relationships" ref="H171" r:id="rId170"/>
    <hyperlink xmlns:r="http://schemas.openxmlformats.org/officeDocument/2006/relationships" ref="H172" r:id="rId171"/>
    <hyperlink xmlns:r="http://schemas.openxmlformats.org/officeDocument/2006/relationships" ref="H173" r:id="rId172"/>
    <hyperlink xmlns:r="http://schemas.openxmlformats.org/officeDocument/2006/relationships" ref="H174" r:id="rId173"/>
    <hyperlink xmlns:r="http://schemas.openxmlformats.org/officeDocument/2006/relationships" ref="H175" r:id="rId174"/>
    <hyperlink xmlns:r="http://schemas.openxmlformats.org/officeDocument/2006/relationships" ref="H176" r:id="rId175"/>
    <hyperlink xmlns:r="http://schemas.openxmlformats.org/officeDocument/2006/relationships" ref="H177" r:id="rId176"/>
    <hyperlink xmlns:r="http://schemas.openxmlformats.org/officeDocument/2006/relationships" ref="H178" r:id="rId177"/>
    <hyperlink xmlns:r="http://schemas.openxmlformats.org/officeDocument/2006/relationships" ref="H179" r:id="rId178"/>
    <hyperlink xmlns:r="http://schemas.openxmlformats.org/officeDocument/2006/relationships" ref="H180" r:id="rId179"/>
    <hyperlink xmlns:r="http://schemas.openxmlformats.org/officeDocument/2006/relationships" ref="H181" r:id="rId180"/>
    <hyperlink xmlns:r="http://schemas.openxmlformats.org/officeDocument/2006/relationships" ref="H182" r:id="rId181"/>
    <hyperlink xmlns:r="http://schemas.openxmlformats.org/officeDocument/2006/relationships" ref="H183" r:id="rId182"/>
    <hyperlink xmlns:r="http://schemas.openxmlformats.org/officeDocument/2006/relationships" ref="H184" r:id="rId183"/>
    <hyperlink xmlns:r="http://schemas.openxmlformats.org/officeDocument/2006/relationships" ref="H185" r:id="rId184"/>
    <hyperlink xmlns:r="http://schemas.openxmlformats.org/officeDocument/2006/relationships" ref="H186" r:id="rId185"/>
    <hyperlink xmlns:r="http://schemas.openxmlformats.org/officeDocument/2006/relationships" ref="H187" r:id="rId186"/>
    <hyperlink xmlns:r="http://schemas.openxmlformats.org/officeDocument/2006/relationships" ref="H188" r:id="rId187"/>
    <hyperlink xmlns:r="http://schemas.openxmlformats.org/officeDocument/2006/relationships" ref="H189" r:id="rId188"/>
    <hyperlink xmlns:r="http://schemas.openxmlformats.org/officeDocument/2006/relationships" ref="H190" r:id="rId189"/>
    <hyperlink xmlns:r="http://schemas.openxmlformats.org/officeDocument/2006/relationships" ref="H191" r:id="rId190"/>
    <hyperlink xmlns:r="http://schemas.openxmlformats.org/officeDocument/2006/relationships" ref="H192" r:id="rId191"/>
    <hyperlink xmlns:r="http://schemas.openxmlformats.org/officeDocument/2006/relationships" ref="H193" r:id="rId192"/>
    <hyperlink xmlns:r="http://schemas.openxmlformats.org/officeDocument/2006/relationships" ref="H194" r:id="rId193"/>
    <hyperlink xmlns:r="http://schemas.openxmlformats.org/officeDocument/2006/relationships" ref="H195" r:id="rId194"/>
    <hyperlink xmlns:r="http://schemas.openxmlformats.org/officeDocument/2006/relationships" ref="H196" r:id="rId195"/>
    <hyperlink xmlns:r="http://schemas.openxmlformats.org/officeDocument/2006/relationships" ref="H197" r:id="rId196"/>
    <hyperlink xmlns:r="http://schemas.openxmlformats.org/officeDocument/2006/relationships" ref="H198" r:id="rId197"/>
    <hyperlink xmlns:r="http://schemas.openxmlformats.org/officeDocument/2006/relationships" ref="H199" r:id="rId198"/>
    <hyperlink xmlns:r="http://schemas.openxmlformats.org/officeDocument/2006/relationships" ref="H200" r:id="rId199"/>
    <hyperlink xmlns:r="http://schemas.openxmlformats.org/officeDocument/2006/relationships" ref="H201" r:id="rId200"/>
    <hyperlink xmlns:r="http://schemas.openxmlformats.org/officeDocument/2006/relationships" ref="H202" r:id="rId201"/>
    <hyperlink xmlns:r="http://schemas.openxmlformats.org/officeDocument/2006/relationships" ref="H203" r:id="rId202"/>
    <hyperlink xmlns:r="http://schemas.openxmlformats.org/officeDocument/2006/relationships" ref="H204" r:id="rId203"/>
    <hyperlink xmlns:r="http://schemas.openxmlformats.org/officeDocument/2006/relationships" ref="H205" r:id="rId204"/>
    <hyperlink xmlns:r="http://schemas.openxmlformats.org/officeDocument/2006/relationships" ref="H206" r:id="rId205"/>
    <hyperlink xmlns:r="http://schemas.openxmlformats.org/officeDocument/2006/relationships" ref="H207" r:id="rId206"/>
    <hyperlink xmlns:r="http://schemas.openxmlformats.org/officeDocument/2006/relationships" ref="H208" r:id="rId207"/>
    <hyperlink xmlns:r="http://schemas.openxmlformats.org/officeDocument/2006/relationships" ref="H209" r:id="rId208"/>
    <hyperlink xmlns:r="http://schemas.openxmlformats.org/officeDocument/2006/relationships" ref="H210" r:id="rId209"/>
    <hyperlink xmlns:r="http://schemas.openxmlformats.org/officeDocument/2006/relationships" ref="H211" r:id="rId210"/>
    <hyperlink xmlns:r="http://schemas.openxmlformats.org/officeDocument/2006/relationships" ref="H212" r:id="rId211"/>
    <hyperlink xmlns:r="http://schemas.openxmlformats.org/officeDocument/2006/relationships" ref="H213" r:id="rId212"/>
    <hyperlink xmlns:r="http://schemas.openxmlformats.org/officeDocument/2006/relationships" ref="H214" r:id="rId213"/>
    <hyperlink xmlns:r="http://schemas.openxmlformats.org/officeDocument/2006/relationships" ref="H215" r:id="rId214"/>
    <hyperlink xmlns:r="http://schemas.openxmlformats.org/officeDocument/2006/relationships" ref="H216" r:id="rId215"/>
    <hyperlink xmlns:r="http://schemas.openxmlformats.org/officeDocument/2006/relationships" ref="H217" r:id="rId216"/>
    <hyperlink xmlns:r="http://schemas.openxmlformats.org/officeDocument/2006/relationships" ref="H218" r:id="rId217"/>
    <hyperlink xmlns:r="http://schemas.openxmlformats.org/officeDocument/2006/relationships" ref="H219" r:id="rId218"/>
    <hyperlink xmlns:r="http://schemas.openxmlformats.org/officeDocument/2006/relationships" ref="H220" r:id="rId219"/>
    <hyperlink xmlns:r="http://schemas.openxmlformats.org/officeDocument/2006/relationships" ref="H221" r:id="rId220"/>
    <hyperlink xmlns:r="http://schemas.openxmlformats.org/officeDocument/2006/relationships" ref="H222" r:id="rId221"/>
    <hyperlink xmlns:r="http://schemas.openxmlformats.org/officeDocument/2006/relationships" ref="H223" r:id="rId222"/>
    <hyperlink xmlns:r="http://schemas.openxmlformats.org/officeDocument/2006/relationships" ref="H224" r:id="rId223"/>
    <hyperlink xmlns:r="http://schemas.openxmlformats.org/officeDocument/2006/relationships" ref="H225" r:id="rId224"/>
    <hyperlink xmlns:r="http://schemas.openxmlformats.org/officeDocument/2006/relationships" ref="H226" r:id="rId225"/>
    <hyperlink xmlns:r="http://schemas.openxmlformats.org/officeDocument/2006/relationships" ref="H227" r:id="rId226"/>
    <hyperlink xmlns:r="http://schemas.openxmlformats.org/officeDocument/2006/relationships" ref="H228" r:id="rId227"/>
    <hyperlink xmlns:r="http://schemas.openxmlformats.org/officeDocument/2006/relationships" ref="H229" r:id="rId228"/>
    <hyperlink xmlns:r="http://schemas.openxmlformats.org/officeDocument/2006/relationships" ref="H230" r:id="rId229"/>
    <hyperlink xmlns:r="http://schemas.openxmlformats.org/officeDocument/2006/relationships" ref="H231" r:id="rId230"/>
    <hyperlink xmlns:r="http://schemas.openxmlformats.org/officeDocument/2006/relationships" ref="H232" r:id="rId231"/>
    <hyperlink xmlns:r="http://schemas.openxmlformats.org/officeDocument/2006/relationships" ref="H233" r:id="rId232"/>
    <hyperlink xmlns:r="http://schemas.openxmlformats.org/officeDocument/2006/relationships" ref="H234" r:id="rId233"/>
    <hyperlink xmlns:r="http://schemas.openxmlformats.org/officeDocument/2006/relationships" ref="H235" r:id="rId234"/>
    <hyperlink xmlns:r="http://schemas.openxmlformats.org/officeDocument/2006/relationships" ref="H236" r:id="rId235"/>
    <hyperlink xmlns:r="http://schemas.openxmlformats.org/officeDocument/2006/relationships" ref="H237" r:id="rId236"/>
    <hyperlink xmlns:r="http://schemas.openxmlformats.org/officeDocument/2006/relationships" ref="H238" r:id="rId237"/>
    <hyperlink xmlns:r="http://schemas.openxmlformats.org/officeDocument/2006/relationships" ref="H239" r:id="rId238"/>
    <hyperlink xmlns:r="http://schemas.openxmlformats.org/officeDocument/2006/relationships" ref="H240" r:id="rId239"/>
    <hyperlink xmlns:r="http://schemas.openxmlformats.org/officeDocument/2006/relationships" ref="H241" r:id="rId240"/>
    <hyperlink xmlns:r="http://schemas.openxmlformats.org/officeDocument/2006/relationships" ref="H242" r:id="rId241"/>
    <hyperlink xmlns:r="http://schemas.openxmlformats.org/officeDocument/2006/relationships" ref="H243" r:id="rId242"/>
    <hyperlink xmlns:r="http://schemas.openxmlformats.org/officeDocument/2006/relationships" ref="H244" r:id="rId243"/>
    <hyperlink xmlns:r="http://schemas.openxmlformats.org/officeDocument/2006/relationships" ref="H245" r:id="rId244"/>
    <hyperlink xmlns:r="http://schemas.openxmlformats.org/officeDocument/2006/relationships" ref="H246" r:id="rId245"/>
    <hyperlink xmlns:r="http://schemas.openxmlformats.org/officeDocument/2006/relationships" ref="H247" r:id="rId246"/>
    <hyperlink xmlns:r="http://schemas.openxmlformats.org/officeDocument/2006/relationships" ref="H248" r:id="rId247"/>
    <hyperlink xmlns:r="http://schemas.openxmlformats.org/officeDocument/2006/relationships" ref="H249" r:id="rId248"/>
    <hyperlink xmlns:r="http://schemas.openxmlformats.org/officeDocument/2006/relationships" ref="H250" r:id="rId249"/>
    <hyperlink xmlns:r="http://schemas.openxmlformats.org/officeDocument/2006/relationships" ref="H251" r:id="rId250"/>
    <hyperlink xmlns:r="http://schemas.openxmlformats.org/officeDocument/2006/relationships" ref="H252" r:id="rId251"/>
    <hyperlink xmlns:r="http://schemas.openxmlformats.org/officeDocument/2006/relationships" ref="H253" r:id="rId252"/>
    <hyperlink xmlns:r="http://schemas.openxmlformats.org/officeDocument/2006/relationships" ref="H254" r:id="rId253"/>
    <hyperlink xmlns:r="http://schemas.openxmlformats.org/officeDocument/2006/relationships" ref="H255" r:id="rId254"/>
    <hyperlink xmlns:r="http://schemas.openxmlformats.org/officeDocument/2006/relationships" ref="H256" r:id="rId255"/>
    <hyperlink xmlns:r="http://schemas.openxmlformats.org/officeDocument/2006/relationships" ref="H257" r:id="rId256"/>
    <hyperlink xmlns:r="http://schemas.openxmlformats.org/officeDocument/2006/relationships" ref="H258" r:id="rId257"/>
    <hyperlink xmlns:r="http://schemas.openxmlformats.org/officeDocument/2006/relationships" ref="H259" r:id="rId258"/>
    <hyperlink xmlns:r="http://schemas.openxmlformats.org/officeDocument/2006/relationships" ref="H260" r:id="rId259"/>
    <hyperlink xmlns:r="http://schemas.openxmlformats.org/officeDocument/2006/relationships" ref="H261" r:id="rId260"/>
    <hyperlink xmlns:r="http://schemas.openxmlformats.org/officeDocument/2006/relationships" ref="H262" r:id="rId261"/>
    <hyperlink xmlns:r="http://schemas.openxmlformats.org/officeDocument/2006/relationships" ref="H263" r:id="rId262"/>
    <hyperlink xmlns:r="http://schemas.openxmlformats.org/officeDocument/2006/relationships" ref="H264" r:id="rId263"/>
    <hyperlink xmlns:r="http://schemas.openxmlformats.org/officeDocument/2006/relationships" ref="H265" r:id="rId264"/>
    <hyperlink xmlns:r="http://schemas.openxmlformats.org/officeDocument/2006/relationships" ref="H266" r:id="rId265"/>
    <hyperlink xmlns:r="http://schemas.openxmlformats.org/officeDocument/2006/relationships" ref="H267" r:id="rId266"/>
    <hyperlink xmlns:r="http://schemas.openxmlformats.org/officeDocument/2006/relationships" ref="H268" r:id="rId267"/>
    <hyperlink xmlns:r="http://schemas.openxmlformats.org/officeDocument/2006/relationships" ref="H269" r:id="rId268"/>
    <hyperlink xmlns:r="http://schemas.openxmlformats.org/officeDocument/2006/relationships" ref="H270" r:id="rId269"/>
    <hyperlink xmlns:r="http://schemas.openxmlformats.org/officeDocument/2006/relationships" ref="H271" r:id="rId270"/>
    <hyperlink xmlns:r="http://schemas.openxmlformats.org/officeDocument/2006/relationships" ref="H272" r:id="rId271"/>
    <hyperlink xmlns:r="http://schemas.openxmlformats.org/officeDocument/2006/relationships" ref="H273" r:id="rId272"/>
    <hyperlink xmlns:r="http://schemas.openxmlformats.org/officeDocument/2006/relationships" ref="H274" r:id="rId273"/>
    <hyperlink xmlns:r="http://schemas.openxmlformats.org/officeDocument/2006/relationships" ref="H275" r:id="rId274"/>
    <hyperlink xmlns:r="http://schemas.openxmlformats.org/officeDocument/2006/relationships" ref="H276" r:id="rId275"/>
    <hyperlink xmlns:r="http://schemas.openxmlformats.org/officeDocument/2006/relationships" ref="H277" r:id="rId276"/>
    <hyperlink xmlns:r="http://schemas.openxmlformats.org/officeDocument/2006/relationships" ref="H278" r:id="rId277"/>
    <hyperlink xmlns:r="http://schemas.openxmlformats.org/officeDocument/2006/relationships" ref="H279" r:id="rId278"/>
    <hyperlink xmlns:r="http://schemas.openxmlformats.org/officeDocument/2006/relationships" ref="H280" r:id="rId279"/>
    <hyperlink xmlns:r="http://schemas.openxmlformats.org/officeDocument/2006/relationships" ref="H281" r:id="rId280"/>
    <hyperlink xmlns:r="http://schemas.openxmlformats.org/officeDocument/2006/relationships" ref="H282" r:id="rId281"/>
    <hyperlink xmlns:r="http://schemas.openxmlformats.org/officeDocument/2006/relationships" ref="H283" r:id="rId282"/>
    <hyperlink xmlns:r="http://schemas.openxmlformats.org/officeDocument/2006/relationships" ref="H284" r:id="rId283"/>
    <hyperlink xmlns:r="http://schemas.openxmlformats.org/officeDocument/2006/relationships" ref="H285" r:id="rId284"/>
    <hyperlink xmlns:r="http://schemas.openxmlformats.org/officeDocument/2006/relationships" ref="H286" r:id="rId285"/>
    <hyperlink xmlns:r="http://schemas.openxmlformats.org/officeDocument/2006/relationships" ref="H287" r:id="rId286"/>
    <hyperlink xmlns:r="http://schemas.openxmlformats.org/officeDocument/2006/relationships" ref="H288" r:id="rId287"/>
    <hyperlink xmlns:r="http://schemas.openxmlformats.org/officeDocument/2006/relationships" ref="H289" r:id="rId288"/>
    <hyperlink xmlns:r="http://schemas.openxmlformats.org/officeDocument/2006/relationships" ref="H290" r:id="rId289"/>
    <hyperlink xmlns:r="http://schemas.openxmlformats.org/officeDocument/2006/relationships" ref="H291" r:id="rId290"/>
    <hyperlink xmlns:r="http://schemas.openxmlformats.org/officeDocument/2006/relationships" ref="H292" r:id="rId291"/>
    <hyperlink xmlns:r="http://schemas.openxmlformats.org/officeDocument/2006/relationships" ref="H293" r:id="rId292"/>
    <hyperlink xmlns:r="http://schemas.openxmlformats.org/officeDocument/2006/relationships" ref="H294" r:id="rId293"/>
    <hyperlink xmlns:r="http://schemas.openxmlformats.org/officeDocument/2006/relationships" ref="H295" r:id="rId294"/>
    <hyperlink xmlns:r="http://schemas.openxmlformats.org/officeDocument/2006/relationships" ref="H296" r:id="rId295"/>
    <hyperlink xmlns:r="http://schemas.openxmlformats.org/officeDocument/2006/relationships" ref="H297" r:id="rId296"/>
    <hyperlink xmlns:r="http://schemas.openxmlformats.org/officeDocument/2006/relationships" ref="H298" r:id="rId297"/>
    <hyperlink xmlns:r="http://schemas.openxmlformats.org/officeDocument/2006/relationships" ref="H299" r:id="rId298"/>
    <hyperlink xmlns:r="http://schemas.openxmlformats.org/officeDocument/2006/relationships" ref="H300" r:id="rId299"/>
    <hyperlink xmlns:r="http://schemas.openxmlformats.org/officeDocument/2006/relationships" ref="H301" r:id="rId300"/>
    <hyperlink xmlns:r="http://schemas.openxmlformats.org/officeDocument/2006/relationships" ref="H302" r:id="rId301"/>
    <hyperlink xmlns:r="http://schemas.openxmlformats.org/officeDocument/2006/relationships" ref="H303" r:id="rId302"/>
    <hyperlink xmlns:r="http://schemas.openxmlformats.org/officeDocument/2006/relationships" ref="H304" r:id="rId303"/>
    <hyperlink xmlns:r="http://schemas.openxmlformats.org/officeDocument/2006/relationships" ref="H305" r:id="rId304"/>
    <hyperlink xmlns:r="http://schemas.openxmlformats.org/officeDocument/2006/relationships" ref="H306" r:id="rId305"/>
    <hyperlink xmlns:r="http://schemas.openxmlformats.org/officeDocument/2006/relationships" ref="H307" r:id="rId306"/>
    <hyperlink xmlns:r="http://schemas.openxmlformats.org/officeDocument/2006/relationships" ref="H308" r:id="rId307"/>
    <hyperlink xmlns:r="http://schemas.openxmlformats.org/officeDocument/2006/relationships" ref="H309" r:id="rId308"/>
    <hyperlink xmlns:r="http://schemas.openxmlformats.org/officeDocument/2006/relationships" ref="H310" r:id="rId309"/>
    <hyperlink xmlns:r="http://schemas.openxmlformats.org/officeDocument/2006/relationships" ref="H311" r:id="rId310"/>
    <hyperlink xmlns:r="http://schemas.openxmlformats.org/officeDocument/2006/relationships" ref="H312" r:id="rId311"/>
    <hyperlink xmlns:r="http://schemas.openxmlformats.org/officeDocument/2006/relationships" ref="H313" r:id="rId312"/>
    <hyperlink xmlns:r="http://schemas.openxmlformats.org/officeDocument/2006/relationships" ref="H314" r:id="rId313"/>
    <hyperlink xmlns:r="http://schemas.openxmlformats.org/officeDocument/2006/relationships" ref="H315" r:id="rId314"/>
    <hyperlink xmlns:r="http://schemas.openxmlformats.org/officeDocument/2006/relationships" ref="H316" r:id="rId315"/>
    <hyperlink xmlns:r="http://schemas.openxmlformats.org/officeDocument/2006/relationships" ref="H317" r:id="rId316"/>
    <hyperlink xmlns:r="http://schemas.openxmlformats.org/officeDocument/2006/relationships" ref="H318" r:id="rId317"/>
    <hyperlink xmlns:r="http://schemas.openxmlformats.org/officeDocument/2006/relationships" ref="H319" r:id="rId318"/>
    <hyperlink xmlns:r="http://schemas.openxmlformats.org/officeDocument/2006/relationships" ref="H320" r:id="rId319"/>
    <hyperlink xmlns:r="http://schemas.openxmlformats.org/officeDocument/2006/relationships" ref="H321" r:id="rId320"/>
    <hyperlink xmlns:r="http://schemas.openxmlformats.org/officeDocument/2006/relationships" ref="H322" r:id="rId321"/>
    <hyperlink xmlns:r="http://schemas.openxmlformats.org/officeDocument/2006/relationships" ref="H323" r:id="rId322"/>
    <hyperlink xmlns:r="http://schemas.openxmlformats.org/officeDocument/2006/relationships" ref="H324" r:id="rId323"/>
    <hyperlink xmlns:r="http://schemas.openxmlformats.org/officeDocument/2006/relationships" ref="H325" r:id="rId324"/>
    <hyperlink xmlns:r="http://schemas.openxmlformats.org/officeDocument/2006/relationships" ref="H326" r:id="rId325"/>
    <hyperlink xmlns:r="http://schemas.openxmlformats.org/officeDocument/2006/relationships" ref="H327" r:id="rId326"/>
    <hyperlink xmlns:r="http://schemas.openxmlformats.org/officeDocument/2006/relationships" ref="H328" r:id="rId327"/>
    <hyperlink xmlns:r="http://schemas.openxmlformats.org/officeDocument/2006/relationships" ref="H329" r:id="rId328"/>
    <hyperlink xmlns:r="http://schemas.openxmlformats.org/officeDocument/2006/relationships" ref="H330" r:id="rId329"/>
    <hyperlink xmlns:r="http://schemas.openxmlformats.org/officeDocument/2006/relationships" ref="H331" r:id="rId330"/>
    <hyperlink xmlns:r="http://schemas.openxmlformats.org/officeDocument/2006/relationships" ref="H332" r:id="rId331"/>
    <hyperlink xmlns:r="http://schemas.openxmlformats.org/officeDocument/2006/relationships" ref="H333" r:id="rId332"/>
    <hyperlink xmlns:r="http://schemas.openxmlformats.org/officeDocument/2006/relationships" ref="H334" r:id="rId333"/>
    <hyperlink xmlns:r="http://schemas.openxmlformats.org/officeDocument/2006/relationships" ref="H335" r:id="rId334"/>
    <hyperlink xmlns:r="http://schemas.openxmlformats.org/officeDocument/2006/relationships" ref="H336" r:id="rId335"/>
    <hyperlink xmlns:r="http://schemas.openxmlformats.org/officeDocument/2006/relationships" ref="H337" r:id="rId336"/>
    <hyperlink xmlns:r="http://schemas.openxmlformats.org/officeDocument/2006/relationships" ref="H338" r:id="rId337"/>
    <hyperlink xmlns:r="http://schemas.openxmlformats.org/officeDocument/2006/relationships" ref="H339" r:id="rId338"/>
    <hyperlink xmlns:r="http://schemas.openxmlformats.org/officeDocument/2006/relationships" ref="H340" r:id="rId339"/>
    <hyperlink xmlns:r="http://schemas.openxmlformats.org/officeDocument/2006/relationships" ref="H341" r:id="rId340"/>
    <hyperlink xmlns:r="http://schemas.openxmlformats.org/officeDocument/2006/relationships" ref="H342" r:id="rId341"/>
    <hyperlink xmlns:r="http://schemas.openxmlformats.org/officeDocument/2006/relationships" ref="H343" r:id="rId342"/>
    <hyperlink xmlns:r="http://schemas.openxmlformats.org/officeDocument/2006/relationships" ref="H344" r:id="rId343"/>
    <hyperlink xmlns:r="http://schemas.openxmlformats.org/officeDocument/2006/relationships" ref="H345" r:id="rId344"/>
    <hyperlink xmlns:r="http://schemas.openxmlformats.org/officeDocument/2006/relationships" ref="H346" r:id="rId345"/>
    <hyperlink xmlns:r="http://schemas.openxmlformats.org/officeDocument/2006/relationships" ref="H347" r:id="rId346"/>
    <hyperlink xmlns:r="http://schemas.openxmlformats.org/officeDocument/2006/relationships" ref="H348" r:id="rId347"/>
    <hyperlink xmlns:r="http://schemas.openxmlformats.org/officeDocument/2006/relationships" ref="H349" r:id="rId348"/>
    <hyperlink xmlns:r="http://schemas.openxmlformats.org/officeDocument/2006/relationships" ref="H350" r:id="rId349"/>
    <hyperlink xmlns:r="http://schemas.openxmlformats.org/officeDocument/2006/relationships" ref="H351" r:id="rId350"/>
    <hyperlink xmlns:r="http://schemas.openxmlformats.org/officeDocument/2006/relationships" ref="H352" r:id="rId351"/>
    <hyperlink xmlns:r="http://schemas.openxmlformats.org/officeDocument/2006/relationships" ref="H353" r:id="rId352"/>
    <hyperlink xmlns:r="http://schemas.openxmlformats.org/officeDocument/2006/relationships" ref="H354" r:id="rId353"/>
    <hyperlink xmlns:r="http://schemas.openxmlformats.org/officeDocument/2006/relationships" ref="H355" r:id="rId354"/>
    <hyperlink xmlns:r="http://schemas.openxmlformats.org/officeDocument/2006/relationships" ref="H356" r:id="rId355"/>
    <hyperlink xmlns:r="http://schemas.openxmlformats.org/officeDocument/2006/relationships" ref="H357" r:id="rId356"/>
    <hyperlink xmlns:r="http://schemas.openxmlformats.org/officeDocument/2006/relationships" ref="H358" r:id="rId357"/>
    <hyperlink xmlns:r="http://schemas.openxmlformats.org/officeDocument/2006/relationships" ref="H359" r:id="rId358"/>
    <hyperlink xmlns:r="http://schemas.openxmlformats.org/officeDocument/2006/relationships" ref="H360" r:id="rId359"/>
    <hyperlink xmlns:r="http://schemas.openxmlformats.org/officeDocument/2006/relationships" ref="H361" r:id="rId360"/>
    <hyperlink xmlns:r="http://schemas.openxmlformats.org/officeDocument/2006/relationships" ref="H362" r:id="rId361"/>
    <hyperlink xmlns:r="http://schemas.openxmlformats.org/officeDocument/2006/relationships" ref="H363" r:id="rId362"/>
    <hyperlink xmlns:r="http://schemas.openxmlformats.org/officeDocument/2006/relationships" ref="H364" r:id="rId363"/>
    <hyperlink xmlns:r="http://schemas.openxmlformats.org/officeDocument/2006/relationships" ref="H365" r:id="rId364"/>
    <hyperlink xmlns:r="http://schemas.openxmlformats.org/officeDocument/2006/relationships" ref="H366" r:id="rId365"/>
    <hyperlink xmlns:r="http://schemas.openxmlformats.org/officeDocument/2006/relationships" ref="H367" r:id="rId366"/>
    <hyperlink xmlns:r="http://schemas.openxmlformats.org/officeDocument/2006/relationships" ref="H368" r:id="rId367"/>
    <hyperlink xmlns:r="http://schemas.openxmlformats.org/officeDocument/2006/relationships" ref="H369" r:id="rId368"/>
    <hyperlink xmlns:r="http://schemas.openxmlformats.org/officeDocument/2006/relationships" ref="H370" r:id="rId369"/>
    <hyperlink xmlns:r="http://schemas.openxmlformats.org/officeDocument/2006/relationships" ref="H371" r:id="rId370"/>
    <hyperlink xmlns:r="http://schemas.openxmlformats.org/officeDocument/2006/relationships" ref="H372" r:id="rId371"/>
    <hyperlink xmlns:r="http://schemas.openxmlformats.org/officeDocument/2006/relationships" ref="H373" r:id="rId372"/>
    <hyperlink xmlns:r="http://schemas.openxmlformats.org/officeDocument/2006/relationships" ref="H374" r:id="rId373"/>
    <hyperlink xmlns:r="http://schemas.openxmlformats.org/officeDocument/2006/relationships" ref="H375" r:id="rId374"/>
    <hyperlink xmlns:r="http://schemas.openxmlformats.org/officeDocument/2006/relationships" ref="H376" r:id="rId375"/>
    <hyperlink xmlns:r="http://schemas.openxmlformats.org/officeDocument/2006/relationships" ref="H377" r:id="rId376"/>
    <hyperlink xmlns:r="http://schemas.openxmlformats.org/officeDocument/2006/relationships" ref="H378" r:id="rId377"/>
    <hyperlink xmlns:r="http://schemas.openxmlformats.org/officeDocument/2006/relationships" ref="H379" r:id="rId378"/>
    <hyperlink xmlns:r="http://schemas.openxmlformats.org/officeDocument/2006/relationships" ref="H380" r:id="rId379"/>
    <hyperlink xmlns:r="http://schemas.openxmlformats.org/officeDocument/2006/relationships" ref="H381" r:id="rId380"/>
    <hyperlink xmlns:r="http://schemas.openxmlformats.org/officeDocument/2006/relationships" ref="H382" r:id="rId381"/>
    <hyperlink xmlns:r="http://schemas.openxmlformats.org/officeDocument/2006/relationships" ref="H383" r:id="rId382"/>
    <hyperlink xmlns:r="http://schemas.openxmlformats.org/officeDocument/2006/relationships" ref="H384" r:id="rId383"/>
    <hyperlink xmlns:r="http://schemas.openxmlformats.org/officeDocument/2006/relationships" ref="H385" r:id="rId384"/>
    <hyperlink xmlns:r="http://schemas.openxmlformats.org/officeDocument/2006/relationships" ref="H386" r:id="rId385"/>
    <hyperlink xmlns:r="http://schemas.openxmlformats.org/officeDocument/2006/relationships" ref="H387" r:id="rId386"/>
    <hyperlink xmlns:r="http://schemas.openxmlformats.org/officeDocument/2006/relationships" ref="H388" r:id="rId387"/>
    <hyperlink xmlns:r="http://schemas.openxmlformats.org/officeDocument/2006/relationships" ref="H389" r:id="rId388"/>
    <hyperlink xmlns:r="http://schemas.openxmlformats.org/officeDocument/2006/relationships" ref="H390" r:id="rId389"/>
    <hyperlink xmlns:r="http://schemas.openxmlformats.org/officeDocument/2006/relationships" ref="H391" r:id="rId390"/>
    <hyperlink xmlns:r="http://schemas.openxmlformats.org/officeDocument/2006/relationships" ref="H392" r:id="rId391"/>
    <hyperlink xmlns:r="http://schemas.openxmlformats.org/officeDocument/2006/relationships" ref="H393" r:id="rId392"/>
    <hyperlink xmlns:r="http://schemas.openxmlformats.org/officeDocument/2006/relationships" ref="H394" r:id="rId393"/>
    <hyperlink xmlns:r="http://schemas.openxmlformats.org/officeDocument/2006/relationships" ref="H395" r:id="rId394"/>
    <hyperlink xmlns:r="http://schemas.openxmlformats.org/officeDocument/2006/relationships" ref="H396" r:id="rId395"/>
    <hyperlink xmlns:r="http://schemas.openxmlformats.org/officeDocument/2006/relationships" ref="H397" r:id="rId396"/>
    <hyperlink xmlns:r="http://schemas.openxmlformats.org/officeDocument/2006/relationships" ref="H398" r:id="rId397"/>
    <hyperlink xmlns:r="http://schemas.openxmlformats.org/officeDocument/2006/relationships" ref="H399" r:id="rId398"/>
    <hyperlink xmlns:r="http://schemas.openxmlformats.org/officeDocument/2006/relationships" ref="H400" r:id="rId399"/>
    <hyperlink xmlns:r="http://schemas.openxmlformats.org/officeDocument/2006/relationships" ref="H401" r:id="rId400"/>
    <hyperlink xmlns:r="http://schemas.openxmlformats.org/officeDocument/2006/relationships" ref="H402" r:id="rId401"/>
    <hyperlink xmlns:r="http://schemas.openxmlformats.org/officeDocument/2006/relationships" ref="H403" r:id="rId402"/>
    <hyperlink xmlns:r="http://schemas.openxmlformats.org/officeDocument/2006/relationships" ref="H404" r:id="rId403"/>
    <hyperlink xmlns:r="http://schemas.openxmlformats.org/officeDocument/2006/relationships" ref="H405" r:id="rId404"/>
    <hyperlink xmlns:r="http://schemas.openxmlformats.org/officeDocument/2006/relationships" ref="H406" r:id="rId405"/>
    <hyperlink xmlns:r="http://schemas.openxmlformats.org/officeDocument/2006/relationships" ref="H407" r:id="rId406"/>
    <hyperlink xmlns:r="http://schemas.openxmlformats.org/officeDocument/2006/relationships" ref="H408" r:id="rId407"/>
    <hyperlink xmlns:r="http://schemas.openxmlformats.org/officeDocument/2006/relationships" ref="H409" r:id="rId408"/>
    <hyperlink xmlns:r="http://schemas.openxmlformats.org/officeDocument/2006/relationships" ref="H410" r:id="rId409"/>
    <hyperlink xmlns:r="http://schemas.openxmlformats.org/officeDocument/2006/relationships" ref="H411" r:id="rId410"/>
    <hyperlink xmlns:r="http://schemas.openxmlformats.org/officeDocument/2006/relationships" ref="H412" r:id="rId411"/>
    <hyperlink xmlns:r="http://schemas.openxmlformats.org/officeDocument/2006/relationships" ref="H413" r:id="rId412"/>
    <hyperlink xmlns:r="http://schemas.openxmlformats.org/officeDocument/2006/relationships" ref="H414" r:id="rId413"/>
    <hyperlink xmlns:r="http://schemas.openxmlformats.org/officeDocument/2006/relationships" ref="H415" r:id="rId414"/>
    <hyperlink xmlns:r="http://schemas.openxmlformats.org/officeDocument/2006/relationships" ref="H416" r:id="rId415"/>
    <hyperlink xmlns:r="http://schemas.openxmlformats.org/officeDocument/2006/relationships" ref="H417" r:id="rId416"/>
    <hyperlink xmlns:r="http://schemas.openxmlformats.org/officeDocument/2006/relationships" ref="H418" r:id="rId417"/>
    <hyperlink xmlns:r="http://schemas.openxmlformats.org/officeDocument/2006/relationships" ref="H419" r:id="rId418"/>
    <hyperlink xmlns:r="http://schemas.openxmlformats.org/officeDocument/2006/relationships" ref="H420" r:id="rId419"/>
    <hyperlink xmlns:r="http://schemas.openxmlformats.org/officeDocument/2006/relationships" ref="H421" r:id="rId420"/>
    <hyperlink xmlns:r="http://schemas.openxmlformats.org/officeDocument/2006/relationships" ref="H422" r:id="rId421"/>
    <hyperlink xmlns:r="http://schemas.openxmlformats.org/officeDocument/2006/relationships" ref="H423" r:id="rId422"/>
    <hyperlink xmlns:r="http://schemas.openxmlformats.org/officeDocument/2006/relationships" ref="H424" r:id="rId423"/>
    <hyperlink xmlns:r="http://schemas.openxmlformats.org/officeDocument/2006/relationships" ref="H425" r:id="rId424"/>
    <hyperlink xmlns:r="http://schemas.openxmlformats.org/officeDocument/2006/relationships" ref="H426" r:id="rId425"/>
    <hyperlink xmlns:r="http://schemas.openxmlformats.org/officeDocument/2006/relationships" ref="H427" r:id="rId426"/>
    <hyperlink xmlns:r="http://schemas.openxmlformats.org/officeDocument/2006/relationships" ref="H428" r:id="rId427"/>
    <hyperlink xmlns:r="http://schemas.openxmlformats.org/officeDocument/2006/relationships" ref="H429" r:id="rId428"/>
    <hyperlink xmlns:r="http://schemas.openxmlformats.org/officeDocument/2006/relationships" ref="H430" r:id="rId429"/>
    <hyperlink xmlns:r="http://schemas.openxmlformats.org/officeDocument/2006/relationships" ref="H431" r:id="rId430"/>
    <hyperlink xmlns:r="http://schemas.openxmlformats.org/officeDocument/2006/relationships" ref="H432" r:id="rId431"/>
    <hyperlink xmlns:r="http://schemas.openxmlformats.org/officeDocument/2006/relationships" ref="H433" r:id="rId432"/>
    <hyperlink xmlns:r="http://schemas.openxmlformats.org/officeDocument/2006/relationships" ref="H434" r:id="rId433"/>
    <hyperlink xmlns:r="http://schemas.openxmlformats.org/officeDocument/2006/relationships" ref="H435" r:id="rId434"/>
    <hyperlink xmlns:r="http://schemas.openxmlformats.org/officeDocument/2006/relationships" ref="H436" r:id="rId435"/>
    <hyperlink xmlns:r="http://schemas.openxmlformats.org/officeDocument/2006/relationships" ref="H437" r:id="rId436"/>
    <hyperlink xmlns:r="http://schemas.openxmlformats.org/officeDocument/2006/relationships" ref="H438" r:id="rId437"/>
    <hyperlink xmlns:r="http://schemas.openxmlformats.org/officeDocument/2006/relationships" ref="H439" r:id="rId438"/>
    <hyperlink xmlns:r="http://schemas.openxmlformats.org/officeDocument/2006/relationships" ref="H440" r:id="rId439"/>
    <hyperlink xmlns:r="http://schemas.openxmlformats.org/officeDocument/2006/relationships" ref="H441" r:id="rId440"/>
    <hyperlink xmlns:r="http://schemas.openxmlformats.org/officeDocument/2006/relationships" ref="H442" r:id="rId441"/>
    <hyperlink xmlns:r="http://schemas.openxmlformats.org/officeDocument/2006/relationships" ref="H443" r:id="rId442"/>
    <hyperlink xmlns:r="http://schemas.openxmlformats.org/officeDocument/2006/relationships" ref="H444" r:id="rId443"/>
    <hyperlink xmlns:r="http://schemas.openxmlformats.org/officeDocument/2006/relationships" ref="H445" r:id="rId444"/>
    <hyperlink xmlns:r="http://schemas.openxmlformats.org/officeDocument/2006/relationships" ref="H446" r:id="rId445"/>
    <hyperlink xmlns:r="http://schemas.openxmlformats.org/officeDocument/2006/relationships" ref="H447" r:id="rId446"/>
    <hyperlink xmlns:r="http://schemas.openxmlformats.org/officeDocument/2006/relationships" ref="H448" r:id="rId447"/>
    <hyperlink xmlns:r="http://schemas.openxmlformats.org/officeDocument/2006/relationships" ref="H449" r:id="rId448"/>
    <hyperlink xmlns:r="http://schemas.openxmlformats.org/officeDocument/2006/relationships" ref="H450" r:id="rId449"/>
    <hyperlink xmlns:r="http://schemas.openxmlformats.org/officeDocument/2006/relationships" ref="H451" r:id="rId450"/>
    <hyperlink xmlns:r="http://schemas.openxmlformats.org/officeDocument/2006/relationships" ref="H452" r:id="rId451"/>
    <hyperlink xmlns:r="http://schemas.openxmlformats.org/officeDocument/2006/relationships" ref="H453" r:id="rId452"/>
    <hyperlink xmlns:r="http://schemas.openxmlformats.org/officeDocument/2006/relationships" ref="H454" r:id="rId453"/>
    <hyperlink xmlns:r="http://schemas.openxmlformats.org/officeDocument/2006/relationships" ref="H455" r:id="rId454"/>
    <hyperlink xmlns:r="http://schemas.openxmlformats.org/officeDocument/2006/relationships" ref="H456" r:id="rId455"/>
    <hyperlink xmlns:r="http://schemas.openxmlformats.org/officeDocument/2006/relationships" ref="H457" r:id="rId456"/>
    <hyperlink xmlns:r="http://schemas.openxmlformats.org/officeDocument/2006/relationships" ref="H458" r:id="rId457"/>
    <hyperlink xmlns:r="http://schemas.openxmlformats.org/officeDocument/2006/relationships" ref="H459" r:id="rId458"/>
    <hyperlink xmlns:r="http://schemas.openxmlformats.org/officeDocument/2006/relationships" ref="H460" r:id="rId459"/>
    <hyperlink xmlns:r="http://schemas.openxmlformats.org/officeDocument/2006/relationships" ref="H461" r:id="rId460"/>
    <hyperlink xmlns:r="http://schemas.openxmlformats.org/officeDocument/2006/relationships" ref="H462" r:id="rId461"/>
    <hyperlink xmlns:r="http://schemas.openxmlformats.org/officeDocument/2006/relationships" ref="H463" r:id="rId462"/>
    <hyperlink xmlns:r="http://schemas.openxmlformats.org/officeDocument/2006/relationships" ref="H464" r:id="rId463"/>
    <hyperlink xmlns:r="http://schemas.openxmlformats.org/officeDocument/2006/relationships" ref="H465" r:id="rId464"/>
    <hyperlink xmlns:r="http://schemas.openxmlformats.org/officeDocument/2006/relationships" ref="H466" r:id="rId465"/>
    <hyperlink xmlns:r="http://schemas.openxmlformats.org/officeDocument/2006/relationships" ref="H467" r:id="rId466"/>
    <hyperlink xmlns:r="http://schemas.openxmlformats.org/officeDocument/2006/relationships" ref="H468" r:id="rId467"/>
    <hyperlink xmlns:r="http://schemas.openxmlformats.org/officeDocument/2006/relationships" ref="H469" r:id="rId46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2026-10-04T18:31:27Z</dcterms:created>
  <dcterms:modified xsi:type="dcterms:W3CDTF">2026-10-04T18:31:28Z</dcterms:modified>
</cp:coreProperties>
</file>